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UniqueProcedureModalities" sheetId="7" r:id="rId11"/>
    <sheet state="visible" name="Modalities" sheetId="8" r:id="rId12"/>
    <sheet state="visible" name="BookingCategories" sheetId="9" r:id="rId13"/>
    <sheet state="visible" name="ProcedureBillingCodes" sheetId="10" r:id="rId14"/>
    <sheet state="visible" name="ProcedureClinics" sheetId="11" r:id="rId15"/>
    <sheet state="visible" name="ProcedureRadiologists" sheetId="12" r:id="rId16"/>
    <sheet state="visible" name="ProcedureBookingCategories" sheetId="13" r:id="rId17"/>
    <sheet state="visible" name="RadiologistClinics" sheetId="14" r:id="rId18"/>
    <sheet state="visible" name="ProcedureAliases" sheetId="15" r:id="rId19"/>
    <sheet state="visible" name="ProcedureRules" sheetId="16" r:id="rId20"/>
  </sheets>
  <definedNames>
    <definedName hidden="1" localSheetId="4" name="_xlnm._FilterDatabase">Radiologists!$A$1:$G$51</definedName>
    <definedName hidden="1" localSheetId="5" name="_xlnm._FilterDatabase">BillingCodes!$A$1:$I$454</definedName>
    <definedName hidden="1" localSheetId="9" name="_xlnm._FilterDatabase">ProcedureBillingCodes!$A$1:$F$2128</definedName>
    <definedName hidden="1" localSheetId="10" name="_xlnm._FilterDatabase">ProcedureClinics!$A$1:$F$1210</definedName>
    <definedName hidden="1" localSheetId="11" name="_xlnm._FilterDatabase">ProcedureRadiologists!$A$1:$F$2434</definedName>
    <definedName hidden="1" localSheetId="12" name="_xlnm._FilterDatabase">ProcedureBookingCategories!$A$1:$G$1593</definedName>
    <definedName hidden="1" localSheetId="13" name="_xlnm._FilterDatabase">RadiologistClinics!$A$1:$F$94</definedName>
    <definedName hidden="1" localSheetId="14" name="_xlnm._FilterDatabase">ProcedureAliases!$A$1:$D$410</definedName>
  </definedNames>
  <calcPr/>
</workbook>
</file>

<file path=xl/sharedStrings.xml><?xml version="1.0" encoding="utf-8"?>
<sst xmlns="http://schemas.openxmlformats.org/spreadsheetml/2006/main" count="13054" uniqueCount="1824">
  <si>
    <t>Table</t>
  </si>
  <si>
    <t>Search Procedure</t>
  </si>
  <si>
    <t>DuplicateIDs</t>
  </si>
  <si>
    <t>Procedures</t>
  </si>
  <si>
    <t>Clinics</t>
  </si>
  <si>
    <t>Lateral Femoral Cutaneous Nerve Block</t>
  </si>
  <si>
    <t>Radiologists</t>
  </si>
  <si>
    <t>Modalities</t>
  </si>
  <si>
    <t>ProcedureID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</si>
  <si>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</si>
  <si>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</si>
  <si>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</si>
  <si>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</si>
  <si>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</si>
  <si>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</si>
  <si>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 Name</t>
  </si>
  <si>
    <t>ProcedureAliases</t>
  </si>
  <si>
    <t>ProcedureBillingCodes</t>
  </si>
  <si>
    <t>Source</t>
  </si>
  <si>
    <t>Aliases:</t>
  </si>
  <si>
    <t>ClinicID</t>
  </si>
  <si>
    <t>Booking Availability and Guidelines</t>
  </si>
  <si>
    <t>SourceLabel</t>
  </si>
  <si>
    <t>ClinicCode</t>
  </si>
  <si>
    <t>ProcedureName</t>
  </si>
  <si>
    <t>Radiologist Skillset</t>
  </si>
  <si>
    <t>ProcedureType</t>
  </si>
  <si>
    <t>ClinicName</t>
  </si>
  <si>
    <t>City</t>
  </si>
  <si>
    <t>BodyPart</t>
  </si>
  <si>
    <t>Status</t>
  </si>
  <si>
    <t>BookedBy</t>
  </si>
  <si>
    <t>Available Clinics</t>
  </si>
  <si>
    <t>Clinic Notes / Protocol</t>
  </si>
  <si>
    <t>Primary</t>
  </si>
  <si>
    <t>Secondary</t>
  </si>
  <si>
    <t>Gender</t>
  </si>
  <si>
    <t>Can Perform</t>
  </si>
  <si>
    <t>Rad Notes</t>
  </si>
  <si>
    <t>Hip (injection or aspiration)</t>
  </si>
  <si>
    <t>BW</t>
  </si>
  <si>
    <t>Hip Joint Injection</t>
  </si>
  <si>
    <t>Brentwood</t>
  </si>
  <si>
    <t>Injection</t>
  </si>
  <si>
    <t>Calgary</t>
  </si>
  <si>
    <t>Hip</t>
  </si>
  <si>
    <t>Active</t>
  </si>
  <si>
    <t>Central Bookings</t>
  </si>
  <si>
    <t>CA</t>
  </si>
  <si>
    <t>Caleo</t>
  </si>
  <si>
    <t>Hip Joint Aspiration</t>
  </si>
  <si>
    <t>Aspiration</t>
  </si>
  <si>
    <t>CH</t>
  </si>
  <si>
    <t>Chinook</t>
  </si>
  <si>
    <t>Greater Trochanteric Bursa (Troch Bursa)</t>
  </si>
  <si>
    <t>Greater Trochanteric Bursa Injection</t>
  </si>
  <si>
    <t>CWIC</t>
  </si>
  <si>
    <t>Knee (Injection or Aspiration)</t>
  </si>
  <si>
    <t>Knee Joint Injection</t>
  </si>
  <si>
    <t>GL</t>
  </si>
  <si>
    <t>Glenmore Landing</t>
  </si>
  <si>
    <t>Knee</t>
  </si>
  <si>
    <t>Knee Joint Aspiration</t>
  </si>
  <si>
    <t>MB</t>
  </si>
  <si>
    <t>Marlborough</t>
  </si>
  <si>
    <t>OK</t>
  </si>
  <si>
    <t>Okotoks</t>
  </si>
  <si>
    <t>Ankle</t>
  </si>
  <si>
    <t>Ankle Injection</t>
  </si>
  <si>
    <t>PP</t>
  </si>
  <si>
    <t>RadiologistID</t>
  </si>
  <si>
    <t>Pacific Place</t>
  </si>
  <si>
    <t>SA</t>
  </si>
  <si>
    <t>RadiologistName</t>
  </si>
  <si>
    <t>Savanna</t>
  </si>
  <si>
    <t>HomeClinicCode</t>
  </si>
  <si>
    <t>Plantar Fascia</t>
  </si>
  <si>
    <t>SR</t>
  </si>
  <si>
    <t>Plantar Fascia Injection</t>
  </si>
  <si>
    <t>Sunridge</t>
  </si>
  <si>
    <t>Foot</t>
  </si>
  <si>
    <t>GenderColor</t>
  </si>
  <si>
    <t>SV</t>
  </si>
  <si>
    <t>MTP's (Feet)</t>
  </si>
  <si>
    <t>Aly, A</t>
  </si>
  <si>
    <t>Symons Valley</t>
  </si>
  <si>
    <t>MTP Injection</t>
  </si>
  <si>
    <t>Male</t>
  </si>
  <si>
    <t>Inactive</t>
  </si>
  <si>
    <t>WH</t>
  </si>
  <si>
    <t>Westhills</t>
  </si>
  <si>
    <t>#004f94</t>
  </si>
  <si>
    <t>Shoulder (Sub AC or GH)</t>
  </si>
  <si>
    <t>Shoulder Not Specified</t>
  </si>
  <si>
    <t>Aytour, I</t>
  </si>
  <si>
    <t>109 St</t>
  </si>
  <si>
    <t>Shoulder</t>
  </si>
  <si>
    <t>Edmonton</t>
  </si>
  <si>
    <t>EL</t>
  </si>
  <si>
    <t>Sub Acromial Bursa Injection</t>
  </si>
  <si>
    <t>Ellerslie</t>
  </si>
  <si>
    <t>Campbell, G</t>
  </si>
  <si>
    <t>Glenohumeral Joint Injection</t>
  </si>
  <si>
    <t>MR</t>
  </si>
  <si>
    <t>Mira</t>
  </si>
  <si>
    <t>Chen, C</t>
  </si>
  <si>
    <t>NT</t>
  </si>
  <si>
    <t>AC Joint Injection</t>
  </si>
  <si>
    <t>Northtown</t>
  </si>
  <si>
    <t>Davies, R</t>
  </si>
  <si>
    <t>RH</t>
  </si>
  <si>
    <t>Rabbithill</t>
  </si>
  <si>
    <t>Elbow Joint</t>
  </si>
  <si>
    <t>Elbow Joint Injection</t>
  </si>
  <si>
    <t>SP</t>
  </si>
  <si>
    <t>Elbow</t>
  </si>
  <si>
    <t>Sherwood Park</t>
  </si>
  <si>
    <t>Dunn, I</t>
  </si>
  <si>
    <t>Elbow: Epicondyles</t>
  </si>
  <si>
    <t>WG</t>
  </si>
  <si>
    <t>Medial Epicondyle Injection</t>
  </si>
  <si>
    <t>Westgate</t>
  </si>
  <si>
    <t>Dyke, C</t>
  </si>
  <si>
    <t>Female</t>
  </si>
  <si>
    <t>Lateral Epicondyle Injection</t>
  </si>
  <si>
    <t>#F1A7B3</t>
  </si>
  <si>
    <t>Thumbs (1st CMC Joints)</t>
  </si>
  <si>
    <t>El Zein, M</t>
  </si>
  <si>
    <t>1st CMC Joint Injection</t>
  </si>
  <si>
    <t>Hand</t>
  </si>
  <si>
    <t>Trigger Fingers</t>
  </si>
  <si>
    <t>Trigger Finger Injection</t>
  </si>
  <si>
    <t>Fedorowicz, A</t>
  </si>
  <si>
    <t>Lumbar Facets</t>
  </si>
  <si>
    <t>Lumbar Facet Injection</t>
  </si>
  <si>
    <t>Ford, C</t>
  </si>
  <si>
    <t>Lumbar Spine</t>
  </si>
  <si>
    <t>Sacroilliac (SI) Joint</t>
  </si>
  <si>
    <t>SI Joint Injection</t>
  </si>
  <si>
    <t>Fu, W</t>
  </si>
  <si>
    <t>Ischial Bursa</t>
  </si>
  <si>
    <t>Ischial Bursa Injection</t>
  </si>
  <si>
    <t>Guite, J</t>
  </si>
  <si>
    <t>Pubic Symphysis</t>
  </si>
  <si>
    <t>Pubic Symphysis Injection</t>
  </si>
  <si>
    <t>Ho, A</t>
  </si>
  <si>
    <t>Pes Anserine Bursa</t>
  </si>
  <si>
    <t>Pes Anserine Bursa Injection</t>
  </si>
  <si>
    <t>Kanga, K</t>
  </si>
  <si>
    <t>Subtalar</t>
  </si>
  <si>
    <t>Subtalar Joint Injection</t>
  </si>
  <si>
    <t>Kasirye-Mbugua, N</t>
  </si>
  <si>
    <t>Talonavicular</t>
  </si>
  <si>
    <t>Talonavicular Joint Injection</t>
  </si>
  <si>
    <t>Katz, N</t>
  </si>
  <si>
    <t>Retrocalcaneal Bursa</t>
  </si>
  <si>
    <t>Retrocalcaneal Bursa Injection</t>
  </si>
  <si>
    <t>Kawamura, N</t>
  </si>
  <si>
    <t>Toes</t>
  </si>
  <si>
    <t>Foot Joint Injection</t>
  </si>
  <si>
    <t>Kim, N</t>
  </si>
  <si>
    <t>Hydrodilate Shoulder</t>
  </si>
  <si>
    <t>Shoulder Hydrodilation</t>
  </si>
  <si>
    <t>Hydrodilation</t>
  </si>
  <si>
    <t>Ko, S</t>
  </si>
  <si>
    <t>Biceps Tendon</t>
  </si>
  <si>
    <t>Biceps Tendon Injection</t>
  </si>
  <si>
    <t>Lane, M</t>
  </si>
  <si>
    <t>Olecranon Bursa (Injection or Aspiration)</t>
  </si>
  <si>
    <t>Olecranon Bursa Injection</t>
  </si>
  <si>
    <t>Olecranon Bursa Aspiration</t>
  </si>
  <si>
    <t>Liew, J</t>
  </si>
  <si>
    <t>Wrist (Radiocarpal Joint)</t>
  </si>
  <si>
    <t>Radiocarpal Joint Injection</t>
  </si>
  <si>
    <t>Loe, B</t>
  </si>
  <si>
    <t>Wrist</t>
  </si>
  <si>
    <t>Luong, V</t>
  </si>
  <si>
    <t>DeQuervain's Tendon</t>
  </si>
  <si>
    <t>DeQuervain's Tendon Injection</t>
  </si>
  <si>
    <t>Marro, A</t>
  </si>
  <si>
    <t>Fingers</t>
  </si>
  <si>
    <t>McKerlie, I</t>
  </si>
  <si>
    <t>Finger Joint Injection</t>
  </si>
  <si>
    <t>Murji, S</t>
  </si>
  <si>
    <t>Iliopsoas Bursa</t>
  </si>
  <si>
    <t>Iliopsoas Bursa Injection</t>
  </si>
  <si>
    <t>Murray, N</t>
  </si>
  <si>
    <t>Pakdel, A</t>
  </si>
  <si>
    <t>Sinus Tarsi</t>
  </si>
  <si>
    <t>Sinus Tarsi Injection</t>
  </si>
  <si>
    <t>Palathinkal, D</t>
  </si>
  <si>
    <t>Piriformis</t>
  </si>
  <si>
    <t>Pattison, P</t>
  </si>
  <si>
    <t>Piriformis Injection</t>
  </si>
  <si>
    <t>Porter, J</t>
  </si>
  <si>
    <t>Proximal Tib-Fib Joint</t>
  </si>
  <si>
    <t>Proximal Tibiofibular Joint Injection</t>
  </si>
  <si>
    <t>Randeria, M</t>
  </si>
  <si>
    <t>Sternoclavicular (SC) Joints</t>
  </si>
  <si>
    <t>Ratajewicz, S</t>
  </si>
  <si>
    <t>Sternoclavicular Joint Injection</t>
  </si>
  <si>
    <t>Taylor, C</t>
  </si>
  <si>
    <t>Temporalmandibular Joint (TMJ)</t>
  </si>
  <si>
    <t>Temporomandibular Joint Injection</t>
  </si>
  <si>
    <t>Head</t>
  </si>
  <si>
    <t>Williams, D</t>
  </si>
  <si>
    <t>Pars Interarticularis (Pars block)</t>
  </si>
  <si>
    <t>Pars Interarticularis Block</t>
  </si>
  <si>
    <t>Wong, B</t>
  </si>
  <si>
    <t>Block</t>
  </si>
  <si>
    <t>Zelazo, J</t>
  </si>
  <si>
    <t>Kharay, A</t>
  </si>
  <si>
    <t>Coccyx</t>
  </si>
  <si>
    <t>Coccygeal Injection</t>
  </si>
  <si>
    <t>Demers, V</t>
  </si>
  <si>
    <t>Irish, K</t>
  </si>
  <si>
    <t>Trigger Point Injections</t>
  </si>
  <si>
    <t>Trigger Point Injection</t>
  </si>
  <si>
    <t>Soft Tissue / Muscle</t>
  </si>
  <si>
    <t>Kruger, G</t>
  </si>
  <si>
    <t>Greater &amp; Lesser Occipital Nerve (GLON Block)</t>
  </si>
  <si>
    <t>Greater and Lesser Occipital Nerve Block</t>
  </si>
  <si>
    <t>Litt, B</t>
  </si>
  <si>
    <t>PRP Injections</t>
  </si>
  <si>
    <t>PRP Injection</t>
  </si>
  <si>
    <t>Motkoski, J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</si>
  <si>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</si>
  <si>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</si>
  <si>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</si>
  <si>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</si>
  <si>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</si>
  <si>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</si>
  <si>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</si>
  <si>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Novak, J</t>
  </si>
  <si>
    <t>Cervical Facet Injection</t>
  </si>
  <si>
    <t>Cervical Spine</t>
  </si>
  <si>
    <t>Cervical C0/C1 Facet</t>
  </si>
  <si>
    <t>Oluyomi, T</t>
  </si>
  <si>
    <t>Cervical C0/C1 Facet Injection</t>
  </si>
  <si>
    <t>Reagan, A</t>
  </si>
  <si>
    <t>Cervical C1/C2 Facet</t>
  </si>
  <si>
    <t>Cervical C1/C2 Facet Injection</t>
  </si>
  <si>
    <t>Venu, V</t>
  </si>
  <si>
    <t>Cervical Epidural (ESI)</t>
  </si>
  <si>
    <t>Cervical Epidural Steroid Injection</t>
  </si>
  <si>
    <t>Epidural</t>
  </si>
  <si>
    <t>Zakaria, H</t>
  </si>
  <si>
    <t>Cervical Interlaminar Epidural (ESI)</t>
  </si>
  <si>
    <t>Cervical Interlaminar Epidural Steroid Injection</t>
  </si>
  <si>
    <t>Bently, H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</si>
  <si>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</si>
  <si>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</si>
  <si>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</si>
  <si>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</si>
  <si>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</si>
  <si>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</si>
  <si>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</si>
  <si>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</si>
  <si>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</si>
  <si>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</si>
  <si>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</si>
  <si>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</si>
  <si>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</si>
  <si>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</si>
  <si>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</si>
  <si>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</si>
  <si>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</si>
  <si>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</si>
  <si>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</si>
  <si>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</si>
  <si>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</si>
  <si>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</si>
  <si>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</si>
  <si>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</si>
  <si>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</si>
  <si>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</si>
  <si>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</si>
  <si>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</si>
  <si>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</si>
  <si>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</si>
  <si>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</si>
  <si>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</si>
  <si>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</si>
  <si>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</si>
  <si>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</si>
  <si>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</si>
  <si>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</si>
  <si>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</si>
  <si>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</si>
  <si>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</si>
  <si>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</si>
  <si>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</si>
  <si>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</si>
  <si>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</si>
  <si>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BillingCodeID</t>
  </si>
  <si>
    <t>ModalityAbbrev</t>
  </si>
  <si>
    <t>Iliotibial (IT) Band</t>
  </si>
  <si>
    <t>MSPCode</t>
  </si>
  <si>
    <t>Iliotibial Band Injection</t>
  </si>
  <si>
    <t>InternalFeecode</t>
  </si>
  <si>
    <t>Leg</t>
  </si>
  <si>
    <t>ServiceAbbrev</t>
  </si>
  <si>
    <t>ServiceName</t>
  </si>
  <si>
    <t>Lateral Femoral Cutaneous Nerve (Meralgia Paresthetica)</t>
  </si>
  <si>
    <t>ModalityID</t>
  </si>
  <si>
    <t>Notes</t>
  </si>
  <si>
    <t>RF</t>
  </si>
  <si>
    <t>Mortons Neuroma</t>
  </si>
  <si>
    <t>Mortons Neuroma Injection</t>
  </si>
  <si>
    <t>92.76ART</t>
  </si>
  <si>
    <t>Ankle Arthrogra</t>
  </si>
  <si>
    <t>Ankle Arthrogram</t>
  </si>
  <si>
    <t>Needle Tenotomy (Tendonosis)</t>
  </si>
  <si>
    <t>Precutaneous Needle Tenotomy</t>
  </si>
  <si>
    <t>Tenotomy</t>
  </si>
  <si>
    <t>UGIW</t>
  </si>
  <si>
    <t>UGI WRAPPER</t>
  </si>
  <si>
    <t>Peroneal Tendon Sheath</t>
  </si>
  <si>
    <t>Peroneal Tendon Sheath Injection</t>
  </si>
  <si>
    <t>SHDARTW</t>
  </si>
  <si>
    <t>Plantar Fibroma</t>
  </si>
  <si>
    <t>Plantar Fibroma Injection</t>
  </si>
  <si>
    <t>SHOULDER ARTHROGRAM WRAPPER</t>
  </si>
  <si>
    <t>Posterior Tibialis Tendon Sheath</t>
  </si>
  <si>
    <t>Posterior Tibialis Tendon Sheath Injection</t>
  </si>
  <si>
    <t>SHDGHINJW</t>
  </si>
  <si>
    <t>SHOULDER / GLENOHUMERAL JOINT INJECTION WRAPPER</t>
  </si>
  <si>
    <t>Subgluteous Maximus</t>
  </si>
  <si>
    <t>Subgluteus Maximus Bursa Injection</t>
  </si>
  <si>
    <t>ELBARTW</t>
  </si>
  <si>
    <t>ELBOW ARTHROGRAM WRAPPER</t>
  </si>
  <si>
    <t>Tasral Tunnel</t>
  </si>
  <si>
    <t>Tarsal Tunnel Injection</t>
  </si>
  <si>
    <t>ELBINJW</t>
  </si>
  <si>
    <t>ELBOW JOINT INJECTION WRAPPER</t>
  </si>
  <si>
    <t>Achilles Tendon (PRP only)</t>
  </si>
  <si>
    <t>Achilles Tendon PRP</t>
  </si>
  <si>
    <t>WRTARTW</t>
  </si>
  <si>
    <t>WRIST ARTHROGRAM WRAPPER</t>
  </si>
  <si>
    <t>Shoulder/other tendon calcification (Barbotage &amp; Lavage)</t>
  </si>
  <si>
    <t>Calcific Tendon Barbotage</t>
  </si>
  <si>
    <t>Barbotage</t>
  </si>
  <si>
    <t>WRTJTINJW</t>
  </si>
  <si>
    <t>Cubital Tunnel</t>
  </si>
  <si>
    <t>WRIST JOINT INJECTION WRAPPER</t>
  </si>
  <si>
    <t>Cubital Tunnel Injection</t>
  </si>
  <si>
    <t>LSINJW</t>
  </si>
  <si>
    <t>Extensor Carpi Ulnaris (ECU) Wrist</t>
  </si>
  <si>
    <t>Extensor Carpi Ulnaris Injection</t>
  </si>
  <si>
    <t>SPINE FACET INJECTION - LUMBAR WRAPPER</t>
  </si>
  <si>
    <t>Stellate Ganglion</t>
  </si>
  <si>
    <t>NRVBLKINJW</t>
  </si>
  <si>
    <t>Stellate Ganglion Block</t>
  </si>
  <si>
    <t>NERVE BLOCK INJECTION WRAPPER</t>
  </si>
  <si>
    <t>Neck / Cervical Sympathetic Region</t>
  </si>
  <si>
    <t>Sciatic Nerve</t>
  </si>
  <si>
    <t>HIPARTW</t>
  </si>
  <si>
    <t>Sciatic Nerve Block</t>
  </si>
  <si>
    <t>HIP ARTHROGRAM WRAPPER</t>
  </si>
  <si>
    <t>Dupuytrens Contracture</t>
  </si>
  <si>
    <t>Dupuytrens Contracture Injection</t>
  </si>
  <si>
    <t>HIPINJW</t>
  </si>
  <si>
    <t>HIP JOINT INJECTION WRAPPER</t>
  </si>
  <si>
    <t>Medial Branch Blocks (Lumbar) *Must be protocolled</t>
  </si>
  <si>
    <t>KNEARTW</t>
  </si>
  <si>
    <t>Lumbar Medial Branch Block</t>
  </si>
  <si>
    <t>KNEE ARTHROGRAM WRAPPER</t>
  </si>
  <si>
    <t>Medial Branch Blocks (SI) *Must be protocolled</t>
  </si>
  <si>
    <t>SI Medial Branch Block</t>
  </si>
  <si>
    <t>KNEINJW</t>
  </si>
  <si>
    <t>KNEE INJECTION/PERIARTICULAR WRAPPER</t>
  </si>
  <si>
    <t>Suprascapular Nerve Block</t>
  </si>
  <si>
    <t>ANKARTW</t>
  </si>
  <si>
    <t>ANKLE ARTHROGRAM WRAPPER</t>
  </si>
  <si>
    <t>Cervical MBB</t>
  </si>
  <si>
    <t>Cervical Medial Branch Block</t>
  </si>
  <si>
    <t>ANKINJW</t>
  </si>
  <si>
    <t>ANKLE SOFT TISSUE INJECTION WRAPPER</t>
  </si>
  <si>
    <t>Thoracic MBB</t>
  </si>
  <si>
    <t>Thoracic Medial Branch Block</t>
  </si>
  <si>
    <t>SBFTW</t>
  </si>
  <si>
    <t>SMALL BOWEL FOLLOW THROUGH WITH ABDO X-RAYS WRAPPER</t>
  </si>
  <si>
    <t>Stereo</t>
  </si>
  <si>
    <t>Stereotactic Biopsy</t>
  </si>
  <si>
    <t>Biopsy</t>
  </si>
  <si>
    <t>Breast</t>
  </si>
  <si>
    <t>BEWITHAIRW</t>
  </si>
  <si>
    <t>BARIUM ENEMA WITH AIR AND ABD X-RAYS WRAPPER</t>
  </si>
  <si>
    <t>Needle Loc</t>
  </si>
  <si>
    <t>Needle Localization</t>
  </si>
  <si>
    <t>BENOAIRW</t>
  </si>
  <si>
    <t>BARIUM ENEMA - NO AIR WITH ABD X-RAYS WRAPPER</t>
  </si>
  <si>
    <t>FN BX</t>
  </si>
  <si>
    <t>Fine Needle Biopsy</t>
  </si>
  <si>
    <t>92.76Only</t>
  </si>
  <si>
    <t>Thyroid BX</t>
  </si>
  <si>
    <t>Ankle Fluoroscopy</t>
  </si>
  <si>
    <t>Thyroid Biopsy</t>
  </si>
  <si>
    <t>Thyroid</t>
  </si>
  <si>
    <t>Breast BX</t>
  </si>
  <si>
    <t>X98</t>
  </si>
  <si>
    <t>Breast Biopsy</t>
  </si>
  <si>
    <t>X98FL</t>
  </si>
  <si>
    <t>ABDFL</t>
  </si>
  <si>
    <t>Abdomen  X-rays - One view</t>
  </si>
  <si>
    <t>MSK BX</t>
  </si>
  <si>
    <t>Musculoskeletal Biopsy</t>
  </si>
  <si>
    <t>X81</t>
  </si>
  <si>
    <t>X81CINE</t>
  </si>
  <si>
    <t>ESOCINE</t>
  </si>
  <si>
    <t>ModalityName</t>
  </si>
  <si>
    <t>ESOPHAGUS EXAMINATION</t>
  </si>
  <si>
    <t>Salivary BX</t>
  </si>
  <si>
    <t>Salivary Gland Biopsy</t>
  </si>
  <si>
    <t>Salivary</t>
  </si>
  <si>
    <t>FL</t>
  </si>
  <si>
    <t>ACJTW</t>
  </si>
  <si>
    <t>Groin BX</t>
  </si>
  <si>
    <t>AC JOINT INJECTION WRAPPER</t>
  </si>
  <si>
    <t>Groin Biopsy</t>
  </si>
  <si>
    <t>US</t>
  </si>
  <si>
    <t>Groin</t>
  </si>
  <si>
    <t>SIJTINJW</t>
  </si>
  <si>
    <t>Axilla BX</t>
  </si>
  <si>
    <t>Mammo</t>
  </si>
  <si>
    <t>Axillary Biopsy</t>
  </si>
  <si>
    <t>SI JOINT INJECTION WRAPPER</t>
  </si>
  <si>
    <t>Axilla</t>
  </si>
  <si>
    <t>BMD</t>
  </si>
  <si>
    <t>Neck BX</t>
  </si>
  <si>
    <t>BILACINJW</t>
  </si>
  <si>
    <t>Neck Biopsy</t>
  </si>
  <si>
    <t>Neck</t>
  </si>
  <si>
    <t>BILATERAL AC JOINTS WRAPPER</t>
  </si>
  <si>
    <t>Xray</t>
  </si>
  <si>
    <t>Knee Joint Radiofrequency Ablation/ Genicular Nerve Block (CA only)</t>
  </si>
  <si>
    <t>CT</t>
  </si>
  <si>
    <t>JTASPW</t>
  </si>
  <si>
    <t>Knee Joint Genicular Nerve Block</t>
  </si>
  <si>
    <t>JOINT ASPIRATION WRAPPER</t>
  </si>
  <si>
    <t>MRI</t>
  </si>
  <si>
    <t>Knee Joint Radiofrequency Ablation</t>
  </si>
  <si>
    <t>JTASPANDINJW</t>
  </si>
  <si>
    <t>Ablation</t>
  </si>
  <si>
    <t>NucMed</t>
  </si>
  <si>
    <t>JOINT ASPIRATION WITH INJECTION WRAPPER</t>
  </si>
  <si>
    <t>Thoracic RFN</t>
  </si>
  <si>
    <t>Thoracic Radiofrequency Neurotomy</t>
  </si>
  <si>
    <t>BRTBIO</t>
  </si>
  <si>
    <t>Breast Biopsy Booking Code</t>
  </si>
  <si>
    <t>Cervical RFN</t>
  </si>
  <si>
    <t>Cervical Radiofrequency Neurotomy</t>
  </si>
  <si>
    <t>X23</t>
  </si>
  <si>
    <t>X23FL</t>
  </si>
  <si>
    <t>CHESTFL</t>
  </si>
  <si>
    <t>CHEST - FLUOROSCOPY</t>
  </si>
  <si>
    <t>Lumbar RFN</t>
  </si>
  <si>
    <t>Lumbar Radiofrequency Neurotomy</t>
  </si>
  <si>
    <t>2LSINJW</t>
  </si>
  <si>
    <t>SI RFN</t>
  </si>
  <si>
    <t>BILATERAL LUMBAR SPINE FACET INJECTION WRAPPER</t>
  </si>
  <si>
    <t>Sacroiliac Radiofrequency Neurotomy</t>
  </si>
  <si>
    <t>_x0002_ShInjArtWRP</t>
  </si>
  <si>
    <t>Wrist Arthrogram *Must be protocolled</t>
  </si>
  <si>
    <t>ShInjArtWRP</t>
  </si>
  <si>
    <t>Wrist Arthrogram</t>
  </si>
  <si>
    <t>Shoulder Injection and Arthrogram Wrapper</t>
  </si>
  <si>
    <t>Arthrogram</t>
  </si>
  <si>
    <t>MRI Bookings</t>
  </si>
  <si>
    <t>Shoulder Arthrograms</t>
  </si>
  <si>
    <t>SHDARTINJW</t>
  </si>
  <si>
    <t>Shoulder Arthrogram</t>
  </si>
  <si>
    <t>SHOULDER ARTHROGRAM AND INJECTION WRAPPER</t>
  </si>
  <si>
    <t>ACJTSUBJTW</t>
  </si>
  <si>
    <t>Pre-Patellar Bursa</t>
  </si>
  <si>
    <t>Pre-Patellar Bursa Injection</t>
  </si>
  <si>
    <t>AC JOINT AND SUBACROMIAL BURSAE INJECTION WRAPPER</t>
  </si>
  <si>
    <t>Botox for Migraines</t>
  </si>
  <si>
    <t>WARTINJW</t>
  </si>
  <si>
    <t>Migraines Botox Injection</t>
  </si>
  <si>
    <t>WRIST ARTHROGRAM AND INJECTION WRAPPER</t>
  </si>
  <si>
    <t>COURIERFL</t>
  </si>
  <si>
    <t>Botox for TMJ Migraines</t>
  </si>
  <si>
    <t>Temporomandibular Joint Botox Injection</t>
  </si>
  <si>
    <t>Courier Cost</t>
  </si>
  <si>
    <t>Botox for piriformais Syndrome *Pt must supply the Botox</t>
  </si>
  <si>
    <t>Piriformis Syndrome Botox Injection</t>
  </si>
  <si>
    <t>BFEEFL</t>
  </si>
  <si>
    <t>Basic Processing Fee (incl. up to 25 pages)</t>
  </si>
  <si>
    <t>Any Other Joint Aspirations</t>
  </si>
  <si>
    <t>PFEEFL</t>
  </si>
  <si>
    <t>Photocopy Fee ($0.25 additional per page)</t>
  </si>
  <si>
    <t>Prolotherapy (Tendons and ligaments, no rotator cuff)</t>
  </si>
  <si>
    <t>Prolotherapy</t>
  </si>
  <si>
    <t>CDFL</t>
  </si>
  <si>
    <t>CD FL PATIENT REQUEST</t>
  </si>
  <si>
    <t>SportVis</t>
  </si>
  <si>
    <t>SportVis Injection</t>
  </si>
  <si>
    <t>MBBLONEJTW</t>
  </si>
  <si>
    <t>MEDIAL BRANCH BLOCK - LUMBAR - ONE JOINT WRAPPER</t>
  </si>
  <si>
    <t>Viscosupplement (Hyaluronic Acid) Injections (Durolane, Cingal, Monovisc, etc.)</t>
  </si>
  <si>
    <t>Viscosupplement Injection</t>
  </si>
  <si>
    <t>NOSHOWFL</t>
  </si>
  <si>
    <t>NOSHOW</t>
  </si>
  <si>
    <t>Blood Patch (ESI)</t>
  </si>
  <si>
    <t>Blood Patch Epidural Spine Injection</t>
  </si>
  <si>
    <t>No Show code to use when Rad wants to dictate a report</t>
  </si>
  <si>
    <t>FL-RF04</t>
  </si>
  <si>
    <t>RF04-FL</t>
  </si>
  <si>
    <t>WCB - AB REPORTING FEE</t>
  </si>
  <si>
    <t>PARSBLKINJW</t>
  </si>
  <si>
    <t>PARS BLOCK INJECTION WRAPPER</t>
  </si>
  <si>
    <t>BookingCategoryID</t>
  </si>
  <si>
    <t>BIOPSY</t>
  </si>
  <si>
    <t>BIOPSY/ASPIRATION BOOKING CODE</t>
  </si>
  <si>
    <t>BookingCategoryName</t>
  </si>
  <si>
    <t>BookingCategoryColor</t>
  </si>
  <si>
    <t>SHSUBACW</t>
  </si>
  <si>
    <t>General</t>
  </si>
  <si>
    <t>SHOULDER / SUBACROMIAL INJECTION WRAPPER</t>
  </si>
  <si>
    <t>#ffff00</t>
  </si>
  <si>
    <t>Complex</t>
  </si>
  <si>
    <t>#ff0000</t>
  </si>
  <si>
    <t>SHDBICTENW</t>
  </si>
  <si>
    <t>Quick-GEN</t>
  </si>
  <si>
    <t>SHOULDER INJECTION / BICEPS TENDON SHEATH WRAPPER</t>
  </si>
  <si>
    <t>#00ff00</t>
  </si>
  <si>
    <t>General-Elasto</t>
  </si>
  <si>
    <t>SHDTENCALW</t>
  </si>
  <si>
    <t>SHOULDER / TENDON CALCIFICATION INJECTION WRAPPER</t>
  </si>
  <si>
    <t>Complex-Elasto</t>
  </si>
  <si>
    <t>PELVIS W/EV</t>
  </si>
  <si>
    <t>ELBLATEPW</t>
  </si>
  <si>
    <t>#8080ff</t>
  </si>
  <si>
    <t>ELBOW INJECTION / LATERAL EPICONDYLE WRAPPER</t>
  </si>
  <si>
    <t>BRST</t>
  </si>
  <si>
    <t>#ff8000</t>
  </si>
  <si>
    <t>ELBMEDEPW</t>
  </si>
  <si>
    <t>ABUS</t>
  </si>
  <si>
    <t>ELBOW INJECTION / MEDIAL EPICONDYLE WRAPPER</t>
  </si>
  <si>
    <t>ABI</t>
  </si>
  <si>
    <t>WRT1STDORW</t>
  </si>
  <si>
    <t>TBI</t>
  </si>
  <si>
    <t>WRIST INJECTION / 1ST DORSAL COMPARTMENT WRAPPER</t>
  </si>
  <si>
    <t>Complex-Renal</t>
  </si>
  <si>
    <t>WRT1STCMCW</t>
  </si>
  <si>
    <t>Complex-VAS</t>
  </si>
  <si>
    <t>WRIST INJECTION / 1ST CMC JOINT WRAPPER</t>
  </si>
  <si>
    <t>HANDINJW</t>
  </si>
  <si>
    <t>HAND SOFT TISSUE INJECTION WRAPPER</t>
  </si>
  <si>
    <t>ProcedureBillingCodeID</t>
  </si>
  <si>
    <t>Complex-TOS</t>
  </si>
  <si>
    <t>GRTTROBURW</t>
  </si>
  <si>
    <t>Echo</t>
  </si>
  <si>
    <t>GREATER TROCHANTERIC BURSA INJECTION WRAPPER</t>
  </si>
  <si>
    <t>Uni-MSK</t>
  </si>
  <si>
    <t>ILIBURINJW</t>
  </si>
  <si>
    <t>ILIOPSOAS BURSA INJECTION WRAPPER</t>
  </si>
  <si>
    <t>Bilat-MSK</t>
  </si>
  <si>
    <t>Book at clinic level</t>
  </si>
  <si>
    <t>_x0002_ISCBURINJ</t>
  </si>
  <si>
    <t>ISCBURINJ</t>
  </si>
  <si>
    <t>#d0cece</t>
  </si>
  <si>
    <t>ISCHIAL BURSA INJECTION</t>
  </si>
  <si>
    <t>OBS-DETAIL</t>
  </si>
  <si>
    <t>KNEEJTINJW</t>
  </si>
  <si>
    <t>Complex-OBS</t>
  </si>
  <si>
    <t>KNEE JOINT INJECTION WRAPPER</t>
  </si>
  <si>
    <t>BREAST BIOPSY</t>
  </si>
  <si>
    <t>ANKJTINJW</t>
  </si>
  <si>
    <t>BX / OTHER</t>
  </si>
  <si>
    <t>ANKLE JOINT INJECTION WRAPPER</t>
  </si>
  <si>
    <t>PMI</t>
  </si>
  <si>
    <t>Complex-Peds</t>
  </si>
  <si>
    <t>FOOTINJW</t>
  </si>
  <si>
    <t>FOOT SOFT TISSUE INJECTION WRAPPER</t>
  </si>
  <si>
    <t>PedHd/Sp</t>
  </si>
  <si>
    <t>#82eb2d</t>
  </si>
  <si>
    <t>FPFINJW</t>
  </si>
  <si>
    <t>PEDS</t>
  </si>
  <si>
    <t>FOOT INJECTION - PLANTAR FASCIA WRAPPER</t>
  </si>
  <si>
    <t>PEDS-MSK</t>
  </si>
  <si>
    <t>#ffff80</t>
  </si>
  <si>
    <t>SHDINJW</t>
  </si>
  <si>
    <t>PED-BREAST</t>
  </si>
  <si>
    <t>SHOULDER INJECTION - NOT SPECIFIED WRAPPER</t>
  </si>
  <si>
    <t>BasInj</t>
  </si>
  <si>
    <t>TRIGFINGINJW</t>
  </si>
  <si>
    <t>#45d65a</t>
  </si>
  <si>
    <t>TRIGGER FINGER INJECTION WRAPPER</t>
  </si>
  <si>
    <t>Bas/AdvInj</t>
  </si>
  <si>
    <t>#a27dfa</t>
  </si>
  <si>
    <t>HDJTINJW</t>
  </si>
  <si>
    <t>#92d050</t>
  </si>
  <si>
    <t>HAND JOINT INJECTION WRAPPER</t>
  </si>
  <si>
    <t>SplSpInj</t>
  </si>
  <si>
    <t>FOOTJTINJW</t>
  </si>
  <si>
    <t>#ffff99</t>
  </si>
  <si>
    <t>FOOT JOINT INJECTION WRAPPER</t>
  </si>
  <si>
    <t>USGuidInj</t>
  </si>
  <si>
    <t>#f783e6</t>
  </si>
  <si>
    <t>Botox</t>
  </si>
  <si>
    <t>_x0002_PLTFASCIAINJ</t>
  </si>
  <si>
    <t>PLTFINJ</t>
  </si>
  <si>
    <t>PLANTAR FASCIA INJECTION</t>
  </si>
  <si>
    <t>SCJTINJW</t>
  </si>
  <si>
    <t>STERNOCLAVICULAR JOINT INJECTION WRAPPER</t>
  </si>
  <si>
    <t>BX</t>
  </si>
  <si>
    <t>MR Arthro</t>
  </si>
  <si>
    <t>TOEJTINJW</t>
  </si>
  <si>
    <t>TOE JOINT INJECTION WRAPPER</t>
  </si>
  <si>
    <t>RFNONELSPW</t>
  </si>
  <si>
    <t>RADIOFREQUENCY ABLATION LUMBAR - ONE JOINT WRAPPER</t>
  </si>
  <si>
    <t>RFNTWOLSPW</t>
  </si>
  <si>
    <t>RADIOFREQUENCY ABLATION LUMBAR - TWO JOINTS WRAPPER</t>
  </si>
  <si>
    <t>CSINJW</t>
  </si>
  <si>
    <t>SPINE FACET INJECTION - CERVICAL WRAPPER</t>
  </si>
  <si>
    <t>TSINJW</t>
  </si>
  <si>
    <t>SPINE FACET INJECTION - THORACIC WRAPPER</t>
  </si>
  <si>
    <t>EPITSW</t>
  </si>
  <si>
    <t>EPIDURAL THORACIC SPINE INJECTION WRAPPER</t>
  </si>
  <si>
    <t>EPICSW</t>
  </si>
  <si>
    <t>EPIDURAL CERVICAL SPINE INJECTION WRAPPER</t>
  </si>
  <si>
    <t>2TSPINJW</t>
  </si>
  <si>
    <t>BILATERAL THORACIC SPINE FACET INJECTION WRAPPER</t>
  </si>
  <si>
    <t>2CSINJW</t>
  </si>
  <si>
    <t>BILATERAL CERVICAL SPINE FACET INJECTIONS WRAPPER</t>
  </si>
  <si>
    <t>ELBOBINJW</t>
  </si>
  <si>
    <t>ELBOW INJECTION / OLECRANON BURSA WRAPPER</t>
  </si>
  <si>
    <t>WRTDQTW</t>
  </si>
  <si>
    <t>WRIST INJECTION / DE QUERVAIN'S TENOSYNOVITIS WRAPPER</t>
  </si>
  <si>
    <t>ISBBURINJW</t>
  </si>
  <si>
    <t>ISCHIAL BURSA INJECTION WRAPPER</t>
  </si>
  <si>
    <t>SYMPINJW</t>
  </si>
  <si>
    <t>SYMPHYSIS PUBIS INJECTION WRAPPER</t>
  </si>
  <si>
    <t>_x0002_FPFINJW</t>
  </si>
  <si>
    <t>FOOT INJECTION - PLANTAR FASCIA</t>
  </si>
  <si>
    <t>FSTSTJINJW</t>
  </si>
  <si>
    <t>FSTJINJW</t>
  </si>
  <si>
    <t>FOOT INJECTION - SUBTALAR JOINT WRAPPER</t>
  </si>
  <si>
    <t>F1MTPINJW</t>
  </si>
  <si>
    <t>FOOT INJECTION - 1st MTP JOINT WRAPPER</t>
  </si>
  <si>
    <t>MBBLTWOJTW</t>
  </si>
  <si>
    <t>MEDIAL BRANCH BLOCK - LUMBAR - TWO JOINTS WRAPPER</t>
  </si>
  <si>
    <t>SCINJW</t>
  </si>
  <si>
    <t>SACRUM/COCCYX INJECTION WRAPPER</t>
  </si>
  <si>
    <t>WCBCDFL</t>
  </si>
  <si>
    <t>WCB - AB CD CHARGE</t>
  </si>
  <si>
    <t>WCBCDFLCAL</t>
  </si>
  <si>
    <t>WCB - AB CD CHARGE - Calgary Clinics Only</t>
  </si>
  <si>
    <t>TMJINJW</t>
  </si>
  <si>
    <t>ProcedureClinicID</t>
  </si>
  <si>
    <t>TMJ INJECTION WRAPPER</t>
  </si>
  <si>
    <t>MISCFLW</t>
  </si>
  <si>
    <t>MISCELLANEOUS FLUOROSCOPY INJECTION WRAPPER</t>
  </si>
  <si>
    <t>CDFLLG</t>
  </si>
  <si>
    <t>CD</t>
  </si>
  <si>
    <t>PRPSHDFLW</t>
  </si>
  <si>
    <t>PLATELET RICH PLASMA - SHOULDER UNDER FLUORO WRAPPER</t>
  </si>
  <si>
    <t>PRPKNFLW</t>
  </si>
  <si>
    <t>PLATELET RICH PLASMA - KNEE UNDER FLUORO WRAPPER</t>
  </si>
  <si>
    <t xml:space="preserve">For Unilateral or one site </t>
  </si>
  <si>
    <t>PRPMISCFLW</t>
  </si>
  <si>
    <t>PLATELET RICH PLASMA - UNDER FLUORO WRAPPER</t>
  </si>
  <si>
    <t>Always booked unilaterally</t>
  </si>
  <si>
    <t>WCBLGLCHRT</t>
  </si>
  <si>
    <t>WCB - AB LEGAL CHART FEE-FL</t>
  </si>
  <si>
    <t>For Unilateral</t>
  </si>
  <si>
    <t>2SIJTINJW</t>
  </si>
  <si>
    <t>BILATERAL SI JOINT INJECTION WRAPPER</t>
  </si>
  <si>
    <t>Always Unilateral</t>
  </si>
  <si>
    <t>03.03A</t>
  </si>
  <si>
    <t>DGVISITFL</t>
  </si>
  <si>
    <t>DIAGNOSTIC INTERVIEW AND EVALUATION</t>
  </si>
  <si>
    <t>add on clinical hx appropriate injection site - always unilateral</t>
  </si>
  <si>
    <t>C2GABINJW</t>
  </si>
  <si>
    <t>C2 GANGLION BLOCK INJECTION WRAPPER</t>
  </si>
  <si>
    <t>C3OCNBINJW</t>
  </si>
  <si>
    <t>MEDIAL BRANCH BLOCK - C2/3 OR 3RD OCCIPITAL NERVE BLOCK WRAPPER</t>
  </si>
  <si>
    <t>add on clinical hx appropriate injection site - one injection site per visit</t>
  </si>
  <si>
    <t>MBBCTWOJTW</t>
  </si>
  <si>
    <t>MEDIAL BRANCH BLOCK - CERVICAL - TWO JOINT WRAPPER</t>
  </si>
  <si>
    <t>select Midline for side - add Caudal on clinical hx</t>
  </si>
  <si>
    <t>MBBCONEJTW</t>
  </si>
  <si>
    <t>MEDIAL BRANCH BLOCK - CERVICAL - ONE JOINT WRAPPER</t>
  </si>
  <si>
    <t>add pudendal on clinical hx and side of injection site</t>
  </si>
  <si>
    <t>RFNONECSPW</t>
  </si>
  <si>
    <t>RADIOFREQUENCY ABLATION CERVICAL - ONE JOINT WRAPPER</t>
  </si>
  <si>
    <t>RFNTWOCSPW</t>
  </si>
  <si>
    <t>ProcedureRadiologistID</t>
  </si>
  <si>
    <t>RADIOFREQUENCY ABLATION CERVICAL - TWO JOINTS WRAPPER</t>
  </si>
  <si>
    <t>RFNC2/3ORC3W</t>
  </si>
  <si>
    <t>CanPerform</t>
  </si>
  <si>
    <t>add infrapatellar bursa on clinical hx</t>
  </si>
  <si>
    <t>RADIOFREQUENCY ABLATION C 2/3 OR OCCIPITAL NERVE WRAPPER</t>
  </si>
  <si>
    <t>Conditions</t>
  </si>
  <si>
    <t>GLOCNBLKW</t>
  </si>
  <si>
    <t>GREATER AND LESSER OCCIPITAL NERVE BLOCK WRAPPER</t>
  </si>
  <si>
    <t>MONOVISC</t>
  </si>
  <si>
    <t>Yes</t>
  </si>
  <si>
    <t>MONOVISC FOR INJECTION</t>
  </si>
  <si>
    <t>ORTHOVISC</t>
  </si>
  <si>
    <t>ORTHOVISC FOR INJECTION</t>
  </si>
  <si>
    <t>MBBSIONEJTW</t>
  </si>
  <si>
    <t>MEDIAL BRANCH BLOCK - SI - ONE JOINT WRAPPER</t>
  </si>
  <si>
    <t>RFN1SIJTW</t>
  </si>
  <si>
    <t>RADIOFREQUENCY ABLATION SI - ONE JOINT WRAPPER</t>
  </si>
  <si>
    <t>RFN2SIJTW</t>
  </si>
  <si>
    <t>RADIOFREQUENCY ABLATION SI - TWO JOINTS WRAPPER</t>
  </si>
  <si>
    <t>BOTOXINJW</t>
  </si>
  <si>
    <t>INJECTION OF BOTOX FOR CHRONIC MIGRAINES WRAPPER</t>
  </si>
  <si>
    <t>FINGINJW</t>
  </si>
  <si>
    <t>FINGER JOINT INJECTION WRAPPER</t>
  </si>
  <si>
    <t>FING2INJW</t>
  </si>
  <si>
    <t>FINGER TWO JOINTS INJECTION WRAPPER</t>
  </si>
  <si>
    <t>TOE2INJW</t>
  </si>
  <si>
    <t>TOE TWO JOINTS INJECTION WRAPPER</t>
  </si>
  <si>
    <t>UGITECHW</t>
  </si>
  <si>
    <t>UGI WRAPPER - TECHNOLOGIST</t>
  </si>
  <si>
    <t>X81wtech</t>
  </si>
  <si>
    <t>ESOPHAGUS EXAMINATION - TECHNOLOGIST</t>
  </si>
  <si>
    <t>LPRODISCW</t>
  </si>
  <si>
    <t>LUMBAR PROVOCATIVE DISCOGRAPHY WRAPPER</t>
  </si>
  <si>
    <t>Check Rad Skillsets</t>
  </si>
  <si>
    <t>LINTRADW</t>
  </si>
  <si>
    <t>LUMBAR INTRADISCAL STEROID WRAPPER</t>
  </si>
  <si>
    <t>_x0002_LUMINTRARFNW</t>
  </si>
  <si>
    <t>LUMINTRARFNW</t>
  </si>
  <si>
    <t>LUMBAR INTRADISCAL RFN WRAPPER</t>
  </si>
  <si>
    <t>BCP01FL</t>
  </si>
  <si>
    <t>BUSINESS COST PROGRAM - WCB AB EDM AND OKO</t>
  </si>
  <si>
    <t>BCP02FL</t>
  </si>
  <si>
    <t>BUSINESS COST PROGRAM - WCB AB CAL ONLY</t>
  </si>
  <si>
    <t>add interlaminar on clinical hx</t>
  </si>
  <si>
    <t>VDCYSTURETH</t>
  </si>
  <si>
    <t>VOIDING CYSTOURETHROGRAM WRAPPER</t>
  </si>
  <si>
    <t>add SPHENOPALATINE GANGLION BLOCK - PATIENT PAY SUPPLIES $100</t>
  </si>
  <si>
    <t>RETROURTW</t>
  </si>
  <si>
    <t>RETROGRADE URETHROGRAM WRAPPER</t>
  </si>
  <si>
    <t>SUBTGLUNIW</t>
  </si>
  <si>
    <t>add cts or carpal tunnel syndrome on clinical hx</t>
  </si>
  <si>
    <t>SHOULDER / SUBACROMIAL AND GLENOHUMERAL JOINT INJECTION WRAPPER</t>
  </si>
  <si>
    <t>TRGPNTFLW</t>
  </si>
  <si>
    <t>TRIGGER POINT INJECTION WRAPPER</t>
  </si>
  <si>
    <t>RFNTHRLSPW</t>
  </si>
  <si>
    <t>RADIOFREQUENCY ABLATION LUMBAR - THREE JOINTS WRAPPER</t>
  </si>
  <si>
    <t>Protocol | Check Rad Skillsets</t>
  </si>
  <si>
    <t>RETROCALW</t>
  </si>
  <si>
    <t>RETROCALCANEAL BURSA INJECTION WRAPPER</t>
  </si>
  <si>
    <t>Protocol Dependent</t>
  </si>
  <si>
    <t>PRPINTDISCW</t>
  </si>
  <si>
    <t>PLATELET RICH PLASMA - INTRADISCAL UNDER FLUORO WRAPPER</t>
  </si>
  <si>
    <t>CINGAL</t>
  </si>
  <si>
    <t>No protocol for repeats</t>
  </si>
  <si>
    <t>CINGAL FOR INJECTION</t>
  </si>
  <si>
    <t>Protocol</t>
  </si>
  <si>
    <t>KNJWMONW</t>
  </si>
  <si>
    <t>KNEE JOINT INJECTION WITH MONOVISC WRAPPER</t>
  </si>
  <si>
    <t>KNJTCINGALW</t>
  </si>
  <si>
    <t>KNEE JOINT INJECTION WITH CINGAL WRAPPER</t>
  </si>
  <si>
    <t>KNTJTPTSW</t>
  </si>
  <si>
    <t>KNEE JOINT INJECTION WITH PATIENT SUPPLIED MEDICATION WRAPPER</t>
  </si>
  <si>
    <t>SPHGANGW</t>
  </si>
  <si>
    <t>SPHENOPALATINE GANGLION BLOCK WRAPPER</t>
  </si>
  <si>
    <t>HYSTEROSALPING</t>
  </si>
  <si>
    <t>HYSTERO-SALPINGOGRAM WRAPPER</t>
  </si>
  <si>
    <t>Combined Billing Codes - Scenario based</t>
  </si>
  <si>
    <t>PIRIFLW</t>
  </si>
  <si>
    <t>PIRIFORMIS INJECTION WRAPPER</t>
  </si>
  <si>
    <t>DUROLGJT</t>
  </si>
  <si>
    <t>DUROLANE FOR INJECTION - LARGE JOINT</t>
  </si>
  <si>
    <t>PRPINT1LVL</t>
  </si>
  <si>
    <t>PLATELET RICH PLASMA - PATIENT PORTION INTRADISCAL 30 mL</t>
  </si>
  <si>
    <t>PRPINT2LVL</t>
  </si>
  <si>
    <t>PLATELET RICH PLASMA - PATIENT PORTION INTRADISCAL 60 mL</t>
  </si>
  <si>
    <t>KNEEJTDUROW</t>
  </si>
  <si>
    <t>KNEE JOINT INJECTION WITH DUROLANE WRAPPER</t>
  </si>
  <si>
    <t>KNEEPESANSB</t>
  </si>
  <si>
    <t>KNEE INJECTION/PES ANSERINE BURSA WRAPPER</t>
  </si>
  <si>
    <t>No protocol IF U/S or MRI within 6 months that proves cyst 3cm x 1 cm or larger</t>
  </si>
  <si>
    <t>PPE_FL</t>
  </si>
  <si>
    <t>PPE Used in FL</t>
  </si>
  <si>
    <t>23.99D</t>
  </si>
  <si>
    <t>23.99DTMJBTX</t>
  </si>
  <si>
    <t>TMJ INJECTION OF BOTOX</t>
  </si>
  <si>
    <t>Must have an US/MRI within 6 months that proves cyst present is bigger than 1 cm/10 mm or larger</t>
  </si>
  <si>
    <t>UGILBW</t>
  </si>
  <si>
    <t>UGI LAP BAND WRAPPER</t>
  </si>
  <si>
    <t>SMLKITCLRPRPFL</t>
  </si>
  <si>
    <t>Conditional</t>
  </si>
  <si>
    <t>SMALL KIT CLEAR PRP - Patient Portion</t>
  </si>
  <si>
    <t>Cannot do C5/6 or C6/7</t>
  </si>
  <si>
    <t>LRGKITCLRPRPFL</t>
  </si>
  <si>
    <t>LARGE KIT CLEAR PRP - Patient Portion</t>
  </si>
  <si>
    <t>MBBLTHREEJTW</t>
  </si>
  <si>
    <t>Protocol | Booked based on protocol</t>
  </si>
  <si>
    <t>MEDIAL BRANCH BLOCK - LUMBAR - THREE JOINTS WRAPPER</t>
  </si>
  <si>
    <t>PUDNRVBFW</t>
  </si>
  <si>
    <t>PUDENDAL NERVE BLOCK WRAPPPER</t>
  </si>
  <si>
    <t>WCBABPORTALFL</t>
  </si>
  <si>
    <t>WCB - AB PORTAL FEES - FL</t>
  </si>
  <si>
    <t>1 joint RFNs of C2/C3, C3/C4 or C4/C5. Cannot do C5/C6 or C6/C7 RFNs</t>
  </si>
  <si>
    <t>03.01O</t>
  </si>
  <si>
    <t>03.01OBRIGHTSQUID</t>
  </si>
  <si>
    <t>03.01OBRIGHTSQU</t>
  </si>
  <si>
    <t>BRIGHTSQUID PLATFORM CONSULT</t>
  </si>
  <si>
    <t>SPORTVISFL</t>
  </si>
  <si>
    <t>SPORTVIS FOR INJECTION UNDER FL</t>
  </si>
  <si>
    <t>HYDROW</t>
  </si>
  <si>
    <t>SHOULDER INJECTION / HYDRODILATION WRAPPER</t>
  </si>
  <si>
    <t>EPILSTRW</t>
  </si>
  <si>
    <t>EPIDURAL LUMBAR SPINE INJECTION -  TRANSFORAMINAL WRAPPER</t>
  </si>
  <si>
    <t>EPILSINTW</t>
  </si>
  <si>
    <t>EPIDURAL LUMBAR SPINE INJECTION - INTERLAMINAR WRAPPER</t>
  </si>
  <si>
    <t>PORTALFL</t>
  </si>
  <si>
    <t>PORTAL FEES - FL</t>
  </si>
  <si>
    <t>TRIG2AREAW</t>
  </si>
  <si>
    <t>TRIGGER FINGER TWO AREA INJECTION WRAPPER</t>
  </si>
  <si>
    <t>EPILSCAUD</t>
  </si>
  <si>
    <t>EPIDURAL LUMBAR SPINE INJECTION - CAUDAL WRAPPER</t>
  </si>
  <si>
    <t>_x0002_03.03AWFL</t>
  </si>
  <si>
    <t>Protocol | Clinic Books</t>
  </si>
  <si>
    <t>03.03AWFL</t>
  </si>
  <si>
    <t>CONSULT WITH FLUORO</t>
  </si>
  <si>
    <t>CONSULTWFL</t>
  </si>
  <si>
    <t>CONSULT WITH FLUORO, DEFERRED INJECTION/BIOPSY/ASPIRATION</t>
  </si>
  <si>
    <t>CONSULTNOFL</t>
  </si>
  <si>
    <t>CONSULT NO FLUORO, DEFERRED INJECTION/BIOPSY/ASPIRATION</t>
  </si>
  <si>
    <t>RFNHIP1</t>
  </si>
  <si>
    <t>RADIOFREQUENCY ABLATION HIP JOINT UNILATERAL</t>
  </si>
  <si>
    <t>RFNKNEEUW</t>
  </si>
  <si>
    <t>RADIOFREQUENCY ABLATION KNEE JOINT UNILATERAL WRAPPER</t>
  </si>
  <si>
    <t>GNBKNEEUW</t>
  </si>
  <si>
    <t>GENICULAR NERVE BLOCK - KNEE JOINT UNILATERAL WRAPPER</t>
  </si>
  <si>
    <t>BOTOXSPTORTW</t>
  </si>
  <si>
    <t>INJECTION OF BOTOX FOR SPASMODIC TORTICOLLIS WRAPPER</t>
  </si>
  <si>
    <t>AHSRF</t>
  </si>
  <si>
    <t>AHS PRIOR PROCEDURE</t>
  </si>
  <si>
    <t>MBBT1JTW</t>
  </si>
  <si>
    <t>MEDIAL BRANCH BLOCK - THORACIC - ONE JOINT WRAPPER</t>
  </si>
  <si>
    <t>add as Addition to Joint Injection</t>
  </si>
  <si>
    <t>MBBT2JTW</t>
  </si>
  <si>
    <t>MEDIAL BRANCH BLOCK - THORACIC - TWO JOINTS WRAPPER</t>
  </si>
  <si>
    <t>RFNT1SPW</t>
  </si>
  <si>
    <t>RADIOFREQUENCY ABLATION THORACIC - ONE JOINT WRAPPER</t>
  </si>
  <si>
    <t>RFNT2SPW</t>
  </si>
  <si>
    <t>RADIOFREQUENCY ABLATION THORACIC - TWO JOINTS WRAPPER</t>
  </si>
  <si>
    <t>UGISBFTPW</t>
  </si>
  <si>
    <t>UGI AND SBFT COMBO WITH ABDO X-RAYS WRAPPER</t>
  </si>
  <si>
    <t>RFNMN1</t>
  </si>
  <si>
    <t>RADIOFREQUENCY ABLATION MORTON'S NEUROMA UNILATERAL</t>
  </si>
  <si>
    <t>RFNMN2</t>
  </si>
  <si>
    <t>RADIOFREQUENCY ABLATION MORTON'S NEUROMA UNILATERAL - in addition</t>
  </si>
  <si>
    <t>4LSINJW</t>
  </si>
  <si>
    <t>FOUR AREAS LUMBAR SPINE FACET INJECTION WRAPPER</t>
  </si>
  <si>
    <t>HYPERHIDRO</t>
  </si>
  <si>
    <t>HYPERHIDROSIS</t>
  </si>
  <si>
    <t>CASEREVWFL</t>
  </si>
  <si>
    <t>FURTHER ASSESS / CASE REVIEW REQUEST</t>
  </si>
  <si>
    <t>SYNOLISVA</t>
  </si>
  <si>
    <t>SYNOLIS VA</t>
  </si>
  <si>
    <t>PROLOFL</t>
  </si>
  <si>
    <t>PROLOTHERAPY FOR INJECTION</t>
  </si>
  <si>
    <t>BILKNEEJTW</t>
  </si>
  <si>
    <t>BILATERAL KNEE JOINT INJECTION WRAPPER</t>
  </si>
  <si>
    <t>SUPRASCAPNBW</t>
  </si>
  <si>
    <t>SUPRASCAPULAR NERVE BLOCK WRAPPER</t>
  </si>
  <si>
    <t>PROVOPTPAY</t>
  </si>
  <si>
    <t>DISCOGRAPHY - PROVOCATIVE PATIENT PAY - SUPPLIES</t>
  </si>
  <si>
    <t>DISCOSTERPTPAY</t>
  </si>
  <si>
    <t>DISCOGRAPHY - STEROID PATIENT PAY - SUPPLIES</t>
  </si>
  <si>
    <t>SPHENPTPT</t>
  </si>
  <si>
    <t>SPHENOPALATINE GANGLION BLOCK - PATIENT PAY SUPPLIES</t>
  </si>
  <si>
    <t>INTNBW</t>
  </si>
  <si>
    <t>INTERCOSTAL NERVE BLOCK WRAPPER</t>
  </si>
  <si>
    <t>MBBTTHREEJTW</t>
  </si>
  <si>
    <t>MEDIAL BRANCH BLOCK - THORACIC - THREE JOINTS WRAPPER</t>
  </si>
  <si>
    <t>EBPW</t>
  </si>
  <si>
    <t>EPIDURAL BLOOD PATCH WRAPPER</t>
  </si>
  <si>
    <t>KNEE1RFNPTPY</t>
  </si>
  <si>
    <t>KNEE RADIOFREQUENCY ABLATION - PATIENT PAY SUPPLIES</t>
  </si>
  <si>
    <t>CD4D</t>
  </si>
  <si>
    <t>CD 4D PATIENT REQUEST</t>
  </si>
  <si>
    <t>BRTBIOPW</t>
  </si>
  <si>
    <t>BREAST BIOPSY WRAPPER</t>
  </si>
  <si>
    <t>_x0002_KUBWRP</t>
  </si>
  <si>
    <t>Yes not RFN</t>
  </si>
  <si>
    <t>KUBWRP</t>
  </si>
  <si>
    <t>Kidney and Bladder Ultrasound Wrapper</t>
  </si>
  <si>
    <t>BRTFNA+</t>
  </si>
  <si>
    <t>BREAST FNA Add On Code</t>
  </si>
  <si>
    <t>BFEEUS</t>
  </si>
  <si>
    <t>COURIERUS</t>
  </si>
  <si>
    <t>For first time Bilateral or two sites (Rad approval required)</t>
  </si>
  <si>
    <t>PFEEUS</t>
  </si>
  <si>
    <t>MSKINJASPW</t>
  </si>
  <si>
    <t>MSK U/S GUIDED INJECTION + ASPIRATION WRAPPER</t>
  </si>
  <si>
    <t>MSKINJW</t>
  </si>
  <si>
    <t>MSK U/S GUIDED INJECTION WRAPPER</t>
  </si>
  <si>
    <t>For Bilateral</t>
  </si>
  <si>
    <t>NOSHOWUS</t>
  </si>
  <si>
    <t>X301</t>
  </si>
  <si>
    <t>THYROIDUS</t>
  </si>
  <si>
    <t>THYROID ULTRASOUND</t>
  </si>
  <si>
    <t>X303</t>
  </si>
  <si>
    <t>NECK/HEADOTH</t>
  </si>
  <si>
    <t>NCK/HDOTH</t>
  </si>
  <si>
    <t>EXT - NECK/HEAD OTHER</t>
  </si>
  <si>
    <t>X304</t>
  </si>
  <si>
    <t>CAROTID</t>
  </si>
  <si>
    <t>CAROTID DOPPLER</t>
  </si>
  <si>
    <t>X305</t>
  </si>
  <si>
    <t>POSCHTWALL</t>
  </si>
  <si>
    <t>EXT - POSTERIOR CHEST WALL</t>
  </si>
  <si>
    <t>2POSCHTWALL</t>
  </si>
  <si>
    <t>EXT - POSTERIOR CHEST WALL - TWO SITES</t>
  </si>
  <si>
    <t>X309</t>
  </si>
  <si>
    <t>AXLUNI</t>
  </si>
  <si>
    <t>EXT - AXILLA ONLY - UNILATERAL</t>
  </si>
  <si>
    <t>AXLBIL</t>
  </si>
  <si>
    <t>EXT - AXILLA ONLY - BILATERAL</t>
  </si>
  <si>
    <t>X310</t>
  </si>
  <si>
    <t>ABDUS</t>
  </si>
  <si>
    <t>ABDOMINAL ULTRASOUND</t>
  </si>
  <si>
    <t>X311</t>
  </si>
  <si>
    <t>KUB</t>
  </si>
  <si>
    <t>KIDNEYS/URETERS/BLADDER</t>
  </si>
  <si>
    <t>X312</t>
  </si>
  <si>
    <t>ABDLTD</t>
  </si>
  <si>
    <t>ABDOMINAL - LIMITED/SINGLE ORGAN</t>
  </si>
  <si>
    <t>X313</t>
  </si>
  <si>
    <t>ABDWALL</t>
  </si>
  <si>
    <t>ABDOMINAL WALL</t>
  </si>
  <si>
    <t>X314</t>
  </si>
  <si>
    <t>FEMALEPELEV</t>
  </si>
  <si>
    <t>PELVIC FEMALE WITH EV</t>
  </si>
  <si>
    <t>X316</t>
  </si>
  <si>
    <t>BLDFEM</t>
  </si>
  <si>
    <t>BLADDER ONLY - FEMALE</t>
  </si>
  <si>
    <t>X324</t>
  </si>
  <si>
    <t>EVADDON</t>
  </si>
  <si>
    <t>ADD ON EV</t>
  </si>
  <si>
    <t>X327</t>
  </si>
  <si>
    <t>NEOSPNUS</t>
  </si>
  <si>
    <t>NEONATAL SPINE</t>
  </si>
  <si>
    <t>X328</t>
  </si>
  <si>
    <t>BLDMALE</t>
  </si>
  <si>
    <t>BLADDER ONLY - MALE</t>
  </si>
  <si>
    <t>X332</t>
  </si>
  <si>
    <t>ARTARM</t>
  </si>
  <si>
    <t>ARTERIAL UNILATERAL STUDY - ARM</t>
  </si>
  <si>
    <t>ARTBILARM</t>
  </si>
  <si>
    <t>ARTERIAL BILATERAL STUDY - ARMS</t>
  </si>
  <si>
    <t>ARTLEG</t>
  </si>
  <si>
    <t>ARTERIAL UNILATERAL STUDY - LEG</t>
  </si>
  <si>
    <t>ARTBILLEG</t>
  </si>
  <si>
    <t>ARTERIAL BILATERAL STUDY - LEGS</t>
  </si>
  <si>
    <t>X333</t>
  </si>
  <si>
    <t>VENARM</t>
  </si>
  <si>
    <t>VENOUS ARM DOPPLER - UNILATERAL</t>
  </si>
  <si>
    <t>VENBILARM</t>
  </si>
  <si>
    <t>VENOUS ARM DOPPLER - BILATERAL</t>
  </si>
  <si>
    <t>VENLEG</t>
  </si>
  <si>
    <t>VENOUS LEG DOPPLER - UNILATERAL</t>
  </si>
  <si>
    <t>VENBILLEG</t>
  </si>
  <si>
    <t>VENOUS LEG DOPPLER - BILATERAL</t>
  </si>
  <si>
    <t>X334</t>
  </si>
  <si>
    <t>JOINT1</t>
  </si>
  <si>
    <t>EXT - JOINT/LIMB - UNILATERAL</t>
  </si>
  <si>
    <t>JOINT2</t>
  </si>
  <si>
    <t>EXT - JOINT/LIMB - TWO SITES</t>
  </si>
  <si>
    <t>X335</t>
  </si>
  <si>
    <t>SHLDR</t>
  </si>
  <si>
    <t>EXT - SHOULDER - UNILATERAL</t>
  </si>
  <si>
    <t>SHLDBIL</t>
  </si>
  <si>
    <t>EXT - SHOULDER - BILATERAL</t>
  </si>
  <si>
    <t>X337</t>
  </si>
  <si>
    <t>PULDOP+</t>
  </si>
  <si>
    <t>ADD ON PULSED DOPPLER</t>
  </si>
  <si>
    <t>X338</t>
  </si>
  <si>
    <t>SOFTTIS</t>
  </si>
  <si>
    <t>EXT - SOFT TISSUE UNSPECIFIED - ONE AREA</t>
  </si>
  <si>
    <t>SOFTIS2</t>
  </si>
  <si>
    <t>EXT - SOFT TISSUE UNSPECIFIED - TWO SITES</t>
  </si>
  <si>
    <t>ABDPELMW</t>
  </si>
  <si>
    <t>ABD &amp; PELVIC MALE WRAPPER</t>
  </si>
  <si>
    <t>C-arm only</t>
  </si>
  <si>
    <t>OBSBPPW</t>
  </si>
  <si>
    <t>OBS BPP SINGLE WRAPPER</t>
  </si>
  <si>
    <t>OBSBPPTWINSW</t>
  </si>
  <si>
    <t>OBS BPP TWINS WRAPPER</t>
  </si>
  <si>
    <t>RENARTW</t>
  </si>
  <si>
    <t>RENAL ARTERY WRAPPER</t>
  </si>
  <si>
    <t>PELMALE</t>
  </si>
  <si>
    <t>PELVIC - MALE</t>
  </si>
  <si>
    <t>ABPELFEMALEW</t>
  </si>
  <si>
    <t>ABD &amp; PELVIC FEMALE WRAPPER</t>
  </si>
  <si>
    <t>APXURG</t>
  </si>
  <si>
    <t>FL Rm 2 (C - Arm) | Check Rad Skillsets</t>
  </si>
  <si>
    <t>APPENDIX - URGENT</t>
  </si>
  <si>
    <t>BRTCYSTASPW</t>
  </si>
  <si>
    <t>BREAST CYST ASPIRATION WRAPPER</t>
  </si>
  <si>
    <t>X318</t>
  </si>
  <si>
    <t>OBSX318WITH</t>
  </si>
  <si>
    <t>OBS 1ST/3 WITH EV</t>
  </si>
  <si>
    <t>CD2D</t>
  </si>
  <si>
    <t>CD US PATIENT REQUEST</t>
  </si>
  <si>
    <t>BAKCYSTASPINJW</t>
  </si>
  <si>
    <t>BAKERS CYST ASPIRATION &amp; STEROID INJECTION U/S WRAPPER</t>
  </si>
  <si>
    <t>THYBIOW</t>
  </si>
  <si>
    <t>THYROID BIOPSY WRAPPER</t>
  </si>
  <si>
    <t>_x0002_ABDPEL</t>
  </si>
  <si>
    <t>ABDPEL</t>
  </si>
  <si>
    <t>ABD &amp; PELVIC FEMALE NO EV WRAPPER</t>
  </si>
  <si>
    <t>X333NECK</t>
  </si>
  <si>
    <t>VENNECK</t>
  </si>
  <si>
    <t>VENOUS DOPPLER OF THE NECK</t>
  </si>
  <si>
    <t>HAND</t>
  </si>
  <si>
    <t>EXT - HAND ULTRASOUND - UNILATERAL</t>
  </si>
  <si>
    <t>2HAND</t>
  </si>
  <si>
    <t>EXT - HAND ULTRASOUND - BILATERAL</t>
  </si>
  <si>
    <t>WRIST</t>
  </si>
  <si>
    <t>EXT - WRIST ULTRASOUND - UNILATERAL</t>
  </si>
  <si>
    <t>2WRIST</t>
  </si>
  <si>
    <t>EXT - WRIST ULTRASOUND - BILATERAL</t>
  </si>
  <si>
    <t>FOREARM</t>
  </si>
  <si>
    <t>EXT - FOREARM ULTRASOUND - UNILATERAL</t>
  </si>
  <si>
    <t>2FOREARM</t>
  </si>
  <si>
    <t>EXT - FOREARM ULTRASOUND - BILATERAL</t>
  </si>
  <si>
    <t>ELBOW</t>
  </si>
  <si>
    <t>EXT - ELBOW ULTRASOUND - UNILATERAL</t>
  </si>
  <si>
    <t>2ELBOW</t>
  </si>
  <si>
    <t>EXT - ELBOW ULTRASOUND - BILATERAL</t>
  </si>
  <si>
    <t>UPPERARM</t>
  </si>
  <si>
    <t>EXT - UPPER ARM ULTRASOUND - UNILATERAL</t>
  </si>
  <si>
    <t>2UPPERARM</t>
  </si>
  <si>
    <t>EXT - UPPER ARM ULTRASOUND - BILATERAL</t>
  </si>
  <si>
    <t>HIP</t>
  </si>
  <si>
    <t>EXT - HIP ULTRASOUND - UNILATERAL</t>
  </si>
  <si>
    <t>HIPBIL</t>
  </si>
  <si>
    <t>EXT - HIP ULTRASOUND - BILATERAL</t>
  </si>
  <si>
    <t>THIGH</t>
  </si>
  <si>
    <t>EXT - THIGH ULTRASOUND - UNILATERAL</t>
  </si>
  <si>
    <t>2THIGH</t>
  </si>
  <si>
    <t>EXT - THIGH ULTRASOUND - BILATERAL</t>
  </si>
  <si>
    <t>KNEE</t>
  </si>
  <si>
    <t>EXT - KNEE ULTRASOUND - UNILATERAL</t>
  </si>
  <si>
    <t>2KNEE</t>
  </si>
  <si>
    <t>EXT - KNEE ULTRASOUND - BILATERAL</t>
  </si>
  <si>
    <t>LOWERLEG</t>
  </si>
  <si>
    <t>EXT - LOWER LEG ULTRASOUND - UNILATERAL</t>
  </si>
  <si>
    <t>2LOWLEG</t>
  </si>
  <si>
    <t>EXT - LOWER LEG ULTRASOUND - BILATERAL</t>
  </si>
  <si>
    <t>Yes - max 1/day</t>
  </si>
  <si>
    <t>ANKLE</t>
  </si>
  <si>
    <t>EXT - ANKLE ULTRASOUND - UNILATERAL</t>
  </si>
  <si>
    <t>2ANKLE</t>
  </si>
  <si>
    <t>EXT - ANKLE ULTRASOUND - BILATERAL</t>
  </si>
  <si>
    <t>FOOT</t>
  </si>
  <si>
    <t>EXT - FOOT ULTRASOUND - UNILATERAL</t>
  </si>
  <si>
    <t>2FOOT</t>
  </si>
  <si>
    <t>EXT - FOOT ULTRASOUND - BILATERAL</t>
  </si>
  <si>
    <t>PORHYPW</t>
  </si>
  <si>
    <t>ABDOMINAL - PORTAL HYPERTENSION WRAPPER</t>
  </si>
  <si>
    <t>ANTCHTWALL</t>
  </si>
  <si>
    <t>EXT - ANTERIOR CHEST WALL - ONE AREA</t>
  </si>
  <si>
    <t>2ANTCHTWALL</t>
  </si>
  <si>
    <t>EXT - ANTERIOR CHEST WALL - TWO AREAS</t>
  </si>
  <si>
    <t>UPBACK</t>
  </si>
  <si>
    <t>EXT - UPPER BACK LUMP - ONE AREA</t>
  </si>
  <si>
    <t>2UPBACK</t>
  </si>
  <si>
    <t>EXT - UPPER BACK LUMPS - TWO AREAS</t>
  </si>
  <si>
    <t>ADDPELVICMALE</t>
  </si>
  <si>
    <t>ADDPELM</t>
  </si>
  <si>
    <t>ADD PELVIC (MALE) TO ABDOMEN</t>
  </si>
  <si>
    <t>X302</t>
  </si>
  <si>
    <t>SALIVARYUS</t>
  </si>
  <si>
    <t>SALIVARY</t>
  </si>
  <si>
    <t>EXT - NECK SALIVARY GLANDS</t>
  </si>
  <si>
    <t>X317</t>
  </si>
  <si>
    <t>OBS1ST/3</t>
  </si>
  <si>
    <t>OBS 1ST/3</t>
  </si>
  <si>
    <t>X319</t>
  </si>
  <si>
    <t>OBSNTUS</t>
  </si>
  <si>
    <t>OBS NUCHAL</t>
  </si>
  <si>
    <t>OBSNTTWINSUS</t>
  </si>
  <si>
    <t>OBS NUCHAL TWINS</t>
  </si>
  <si>
    <t>_x0002_PELFEVUS</t>
  </si>
  <si>
    <t>PELFEV</t>
  </si>
  <si>
    <t>PELVIC - FEMALE WITH EV</t>
  </si>
  <si>
    <t>X315</t>
  </si>
  <si>
    <t>PELFEMALEUS</t>
  </si>
  <si>
    <t>PELFEMALE</t>
  </si>
  <si>
    <t>PELVIC FEMALE</t>
  </si>
  <si>
    <t>97.11B</t>
  </si>
  <si>
    <t>BRTCOREBIO+</t>
  </si>
  <si>
    <t>BREAST CORE BIOPSY ADD ON CODE</t>
  </si>
  <si>
    <t>ABDBLDFMLW</t>
  </si>
  <si>
    <t>ABD &amp; FEMALE BLADDER WRAPPER</t>
  </si>
  <si>
    <t>_x0002_OBS1/3TWINNOEV</t>
  </si>
  <si>
    <t>OBS2NOEV</t>
  </si>
  <si>
    <t>OBS 1ST/3 TWINS - NO EV</t>
  </si>
  <si>
    <t>OBS1/3TWIN</t>
  </si>
  <si>
    <t>OBS 1ST/3 TWINS</t>
  </si>
  <si>
    <t>PHOTO</t>
  </si>
  <si>
    <t>PHOTO - OBSTETRICAL</t>
  </si>
  <si>
    <t>LYMPHBIOPW</t>
  </si>
  <si>
    <t>LYMPH NODE BIOPSY WRAPPER</t>
  </si>
  <si>
    <t>X321</t>
  </si>
  <si>
    <t>OBS2nd/3</t>
  </si>
  <si>
    <t>OBS 2ND/3 (OTHER)</t>
  </si>
  <si>
    <t>BRTFNAW</t>
  </si>
  <si>
    <t>BREAST FNA WRAPPER</t>
  </si>
  <si>
    <t>PSINJW</t>
  </si>
  <si>
    <t>PIRIFORMIS SYNDROME INJECTION U/S WRAPPER</t>
  </si>
  <si>
    <t>FMNINJW</t>
  </si>
  <si>
    <t>FOOT INJECTION - MORTON'S NEUROMA U/S WRAPPER</t>
  </si>
  <si>
    <t>ILIOPUSW</t>
  </si>
  <si>
    <t>ILIOPSOAS BURSA INJECTION U/S WRAPPER</t>
  </si>
  <si>
    <t>FPFUSINJW</t>
  </si>
  <si>
    <t>FOOT INJECTION - PLANTAR FASCIA U/S WRAPPER</t>
  </si>
  <si>
    <t>EOBUSINJASPW</t>
  </si>
  <si>
    <t>ELBOW / OLECRANON BURSA + ASPIRATION  U/S WRAPPER</t>
  </si>
  <si>
    <t>PNTACHW</t>
  </si>
  <si>
    <t>PERCUTANEOUS NEEDLE TENOTOMY -  ACHILLES WRAPPER</t>
  </si>
  <si>
    <t>PNTMISCW</t>
  </si>
  <si>
    <t>PERCUTANEOUS NEEDLE TENOTOMY - MISCELLANEOUS WRAPPER</t>
  </si>
  <si>
    <t>MSKBIOPW</t>
  </si>
  <si>
    <t>CORE BIOPSY OF MUSCLE/TENDON/FASCIA OR BURSA WRAPPER</t>
  </si>
  <si>
    <t>WRTCARTUNW</t>
  </si>
  <si>
    <t>WRIST INJECTION / CARPAL TUNNEL U/S WRAPPER</t>
  </si>
  <si>
    <t>WCBCDUS</t>
  </si>
  <si>
    <t>WCBCDUSCAL</t>
  </si>
  <si>
    <t>WCBABEXP</t>
  </si>
  <si>
    <t>WCB - AB U/S DIFFERENTIAL FEE</t>
  </si>
  <si>
    <t>UL02N</t>
  </si>
  <si>
    <t>WCB - AB U/S NO SHOW/CANCELLATION FEE</t>
  </si>
  <si>
    <t>WCBNCS</t>
  </si>
  <si>
    <t>WCB - AB U/S NON-CONTRACTED SERVICE</t>
  </si>
  <si>
    <t>X320</t>
  </si>
  <si>
    <t>OBSDETAILED</t>
  </si>
  <si>
    <t>OBSDET</t>
  </si>
  <si>
    <t>OBS DETAILED</t>
  </si>
  <si>
    <t>X330</t>
  </si>
  <si>
    <t>SCROTALUS</t>
  </si>
  <si>
    <t>SCROTAL</t>
  </si>
  <si>
    <t>SCROTAL ULTRASOUND</t>
  </si>
  <si>
    <t>OBSDETTWIN</t>
  </si>
  <si>
    <t>OBS DETAILED TWINS</t>
  </si>
  <si>
    <t>BFLDASPW</t>
  </si>
  <si>
    <t>BODY FLUID ASPIRATION UNDER U/S GUIDANCE WRAPPER</t>
  </si>
  <si>
    <t>BIOPSTW</t>
  </si>
  <si>
    <t>OTHER SOFT TISSUE BIOPSY WRAPPER</t>
  </si>
  <si>
    <t>AXILBIOPW</t>
  </si>
  <si>
    <t>AXILLA BIOPSY WRAPPER</t>
  </si>
  <si>
    <t>MSKASPW</t>
  </si>
  <si>
    <t>MSK U/S GUIDED ASPIRATION WRAPPER</t>
  </si>
  <si>
    <t>95.01B</t>
  </si>
  <si>
    <t>PNT</t>
  </si>
  <si>
    <t>PERCUTANEOUS NEEDLE TENOTOMY Add on</t>
  </si>
  <si>
    <t>GNGCYSTINJASPW</t>
  </si>
  <si>
    <t>GANGLION CYST INJECTION + ASPIRATION U/S WRAPPER</t>
  </si>
  <si>
    <t>SGUSW</t>
  </si>
  <si>
    <t>SALIVARY GLAND FNA WRAPPER</t>
  </si>
  <si>
    <t>PRPSHDUSW</t>
  </si>
  <si>
    <t>PLATELET RICH PLASMA - SHOULDER UNDER ULTRASOUND WRAPPER</t>
  </si>
  <si>
    <t>PRPMISCUSW</t>
  </si>
  <si>
    <t>PLATELET RICH PLASMA - UNDER ULTRASOUND WRAPPER</t>
  </si>
  <si>
    <t>DGVISITUS</t>
  </si>
  <si>
    <t>CDUSLG</t>
  </si>
  <si>
    <t>BARBTENDCALUSW</t>
  </si>
  <si>
    <t>ULTRASOUND GUIDED BARBOTAGE OF TENDON CALCIFICATION WRAPPER</t>
  </si>
  <si>
    <t>NECKBIOPW</t>
  </si>
  <si>
    <t>NECK BIOPSY WRAPPER</t>
  </si>
  <si>
    <t>X325</t>
  </si>
  <si>
    <t>PEDHEAD</t>
  </si>
  <si>
    <t>HEAD ULTRASOUND - PEDIATRIC</t>
  </si>
  <si>
    <t>X326</t>
  </si>
  <si>
    <t>PEDHIPBILAT</t>
  </si>
  <si>
    <t>HIP ULTRASOUND - PEDIATRIC BILATERAL</t>
  </si>
  <si>
    <t>BKCYSTASPW</t>
  </si>
  <si>
    <t>BAKERS CYST ASPIRATION WRAPPER</t>
  </si>
  <si>
    <t>TRGPNTINJW</t>
  </si>
  <si>
    <t>X308</t>
  </si>
  <si>
    <t>BREASTUNI</t>
  </si>
  <si>
    <t>BREAST ULTRASOUND - UNILATERAL</t>
  </si>
  <si>
    <t>BREASTBILAT</t>
  </si>
  <si>
    <t>BREAST ULTRASOUND - BILATERAL</t>
  </si>
  <si>
    <t>Yes - not RFN</t>
  </si>
  <si>
    <t>03.03B</t>
  </si>
  <si>
    <t>03.03Bprenatal</t>
  </si>
  <si>
    <t>Prenatal-Diagn</t>
  </si>
  <si>
    <t>Diagnostic interview and evaluation - PRENATAL Visit</t>
  </si>
  <si>
    <t>NUCHALRESCANUS</t>
  </si>
  <si>
    <t>OBS NUCHAL NEEDS RECALL - DO NOT BOOK</t>
  </si>
  <si>
    <t>DETAILRESCANUS</t>
  </si>
  <si>
    <t>OBS DETAILED NEEDS RECALL - DO NOT BOOK</t>
  </si>
  <si>
    <t>NUCHALRESCANTWINUS</t>
  </si>
  <si>
    <t>NUCHALRESCANTWI</t>
  </si>
  <si>
    <t>OBS NUCHAL TWINS NEEDS RECALL - DO NOT BOOK</t>
  </si>
  <si>
    <t>DETAILTWINRESCANUS</t>
  </si>
  <si>
    <t>DETAILTWINRESCA</t>
  </si>
  <si>
    <t>OBS DETAILED TWINS NEEDS RECALL - DO NOT BOOK</t>
  </si>
  <si>
    <t>OBSDETAILHR</t>
  </si>
  <si>
    <t>OBS DETAILED HIGH RISK NEEDS RECALL - DO NOT BOOK</t>
  </si>
  <si>
    <t>BCP02US</t>
  </si>
  <si>
    <t>BCP01US</t>
  </si>
  <si>
    <t>PMASTUNI</t>
  </si>
  <si>
    <t>POST - MASTECTOMY CHEST WALL - UNILATERAL</t>
  </si>
  <si>
    <t>PMSTBILAT</t>
  </si>
  <si>
    <t>POST - MASTECTOMY CHEST WALL - BILATERAL</t>
  </si>
  <si>
    <t>SHDWCBUN</t>
  </si>
  <si>
    <t>SHDWCBUNI</t>
  </si>
  <si>
    <t>EXT - SHOULDER - UNILATERAL WCB</t>
  </si>
  <si>
    <t>SHDWCBBIL</t>
  </si>
  <si>
    <t>EXT - SHOULDER - BILATERAL WCB</t>
  </si>
  <si>
    <t>LFEMCUTNBUSW</t>
  </si>
  <si>
    <t>LATERAL FEMORAL CUTANEOUS NERVE BLOCK WRAPPER</t>
  </si>
  <si>
    <t>ABDPYL</t>
  </si>
  <si>
    <t>ABDOMEN &amp; PYLORIC STENOSIS</t>
  </si>
  <si>
    <t>PYLSTENOSIS</t>
  </si>
  <si>
    <t>PYLORIC STENOSIS</t>
  </si>
  <si>
    <t>COSTLJUNCTW</t>
  </si>
  <si>
    <t>COSTOCHONDRAL JUNCTION INJECTION WRAPPER</t>
  </si>
  <si>
    <t>NDLLOC2W</t>
  </si>
  <si>
    <t>ULTRASOUND GUIDED NEEDLE LOCALIZATION BILATERAL WRAPPER</t>
  </si>
  <si>
    <t>NDLLOC1W</t>
  </si>
  <si>
    <t>ULTRASOUND GUIDED NEEDLE LOCALIZATION UNILATERAL WRAPPER</t>
  </si>
  <si>
    <t>TRGPNTNCKW</t>
  </si>
  <si>
    <t>TRIGGER POINT INJECTION - NECK OR FACE WRAPPER</t>
  </si>
  <si>
    <t>TRGPNTCHSTWLW</t>
  </si>
  <si>
    <t>TRIGGER POINT INJECTION - CHEST WALL WRAPPER</t>
  </si>
  <si>
    <t>TRGPNTABDWALLW</t>
  </si>
  <si>
    <t>TRIGGER POINT INJECTION - ABDOMINAL WALL WRAPPER</t>
  </si>
  <si>
    <t>TRGPNTLIMBW</t>
  </si>
  <si>
    <t>TRIGGER POINT INJECTION - LIMB WRAPPER</t>
  </si>
  <si>
    <t>TRGPNTLOWBACKW</t>
  </si>
  <si>
    <t>TRIGGER POINT INJECTION - LOW BACK WRAPPER</t>
  </si>
  <si>
    <t>BTXNECK/FACEW</t>
  </si>
  <si>
    <t>INJECTION OF BOTOX - NECK OR FACE WRAPPER</t>
  </si>
  <si>
    <t>BTXCHSTWALLW</t>
  </si>
  <si>
    <t>INJECTION OF BOTOX - CHEST WALL WRAPPER</t>
  </si>
  <si>
    <t>BTXABDWALLW</t>
  </si>
  <si>
    <t>INJECTION OF BOTOX - ABDOMINAL WALL WRAPPER</t>
  </si>
  <si>
    <t>BTXLOWBACKW</t>
  </si>
  <si>
    <t>INJECTION OF BOTOX - LOW BACK WRAPPER</t>
  </si>
  <si>
    <t>BTXLIMBW</t>
  </si>
  <si>
    <t>INJECTION OF BOTOX - LIMB WRAPPER</t>
  </si>
  <si>
    <t>TOSUSW</t>
  </si>
  <si>
    <t>THORACIC OUTLET SYNDROME WRAPPER</t>
  </si>
  <si>
    <t>X313UMBHERNIA</t>
  </si>
  <si>
    <t>HERNIA - UMBILICAL</t>
  </si>
  <si>
    <t>X313FEMORHERNIA</t>
  </si>
  <si>
    <t>HERNIA - FEMORAL</t>
  </si>
  <si>
    <t>X313OTHERHERNIA</t>
  </si>
  <si>
    <t>HERNIA - OTHER</t>
  </si>
  <si>
    <t>RETROCALCW</t>
  </si>
  <si>
    <t>X313A</t>
  </si>
  <si>
    <t>X313A-PED</t>
  </si>
  <si>
    <t>HERNIA - INGUINAL PEDIATRIC</t>
  </si>
  <si>
    <t>X313A-ADULT</t>
  </si>
  <si>
    <t>HERNIA - INGUINAL ADULT</t>
  </si>
  <si>
    <t>X306A</t>
  </si>
  <si>
    <t>X306A-ECHO</t>
  </si>
  <si>
    <t>ECHOCARDIOGRAM - COMPLEX</t>
  </si>
  <si>
    <t>X306B</t>
  </si>
  <si>
    <t>X306B-ECHO</t>
  </si>
  <si>
    <t>ECHOCARDIOGRAM - NON COMPLEX</t>
  </si>
  <si>
    <t>WRDEQUW</t>
  </si>
  <si>
    <t>WRIST INJECTION / DE QUERVAIN TENOSYNOVITIS WRAPPER</t>
  </si>
  <si>
    <t>VINSUFDOPUNI</t>
  </si>
  <si>
    <t>VENOUS INSUFFICIENCY DOPPLER - UNILATERAL</t>
  </si>
  <si>
    <t>VINSUFDOPBIL</t>
  </si>
  <si>
    <t>VENOUS INSUFFICIENCY DOPPLER - BILATERAL</t>
  </si>
  <si>
    <t>VABBW</t>
  </si>
  <si>
    <t>VACUUM ASSISTED BREAST BIOPSY WRAPPER</t>
  </si>
  <si>
    <t>HCCSCREEN</t>
  </si>
  <si>
    <t>HCCSREEN</t>
  </si>
  <si>
    <t>HCC SCREENING</t>
  </si>
  <si>
    <t>TMJBW</t>
  </si>
  <si>
    <t>TMJ BOTOX INJECTION WRAPPER</t>
  </si>
  <si>
    <t>KNEEPESBUSW</t>
  </si>
  <si>
    <t>ABDPELVEVW</t>
  </si>
  <si>
    <t>ABD &amp; PELVIC FEMALE / EV WRAPPER</t>
  </si>
  <si>
    <t>OBSX318TWINS</t>
  </si>
  <si>
    <t>OBS 1ST/3 WITH EV TWINS</t>
  </si>
  <si>
    <t>PPE_US</t>
  </si>
  <si>
    <t>PPE Used in U/S</t>
  </si>
  <si>
    <t>THY&amp;NKUS</t>
  </si>
  <si>
    <t>THYROID AND NECK</t>
  </si>
  <si>
    <t>_x0002_LGKITCLRPRPUS</t>
  </si>
  <si>
    <t>LGKITCLRPRPUS</t>
  </si>
  <si>
    <t>03.08B</t>
  </si>
  <si>
    <t>03.08BPrenatalConsul</t>
  </si>
  <si>
    <t>03.08BPrenatalC</t>
  </si>
  <si>
    <t>Prenatal Consultation</t>
  </si>
  <si>
    <t>X337OBSMCA</t>
  </si>
  <si>
    <t>MFM OBS MCA DOPPLER BILATERAL - in addition</t>
  </si>
  <si>
    <t>ABUSSC2</t>
  </si>
  <si>
    <t>BREAST ULTRASOUND ABUS SCREENING BILATERAL</t>
  </si>
  <si>
    <t>ABUSDG2</t>
  </si>
  <si>
    <t>BREAST ULTRASOUND ABUS DIAGNOSTIC BILATERAL</t>
  </si>
  <si>
    <t>ABUSDG1</t>
  </si>
  <si>
    <t>BREAST ULTRASOUND ABUS DIAGNOSTIC UNILATERAL</t>
  </si>
  <si>
    <t>03.07C</t>
  </si>
  <si>
    <t>03.07CPrenatalConsul</t>
  </si>
  <si>
    <t>03.07CPrenatalC</t>
  </si>
  <si>
    <t>Prenatal consultation, described as limited repeat, requested on requisition</t>
  </si>
  <si>
    <t>HISW</t>
  </si>
  <si>
    <t>HyCoSy INFUSED SONOHYSTEROGRAMS WRAPPER</t>
  </si>
  <si>
    <t>RA STUDY</t>
  </si>
  <si>
    <t>YEG RA STUDY</t>
  </si>
  <si>
    <t>X338PENIS</t>
  </si>
  <si>
    <t>PENIS</t>
  </si>
  <si>
    <t>X312AAA</t>
  </si>
  <si>
    <t>LIMITED ABDOMEN - AAA SCREENING</t>
  </si>
  <si>
    <t>87.54A</t>
  </si>
  <si>
    <t>NSTOBS</t>
  </si>
  <si>
    <t>NON-STRESS TEST OBSTETRICAL ULTRASOUND</t>
  </si>
  <si>
    <t>WCBABPORTALUS</t>
  </si>
  <si>
    <t>WCB - AB PORTAL FEES - U/S</t>
  </si>
  <si>
    <t>SISPTPAY</t>
  </si>
  <si>
    <t>ExEm FOAM KIT - PATIENT PORTION</t>
  </si>
  <si>
    <t>X334BILH&amp;W</t>
  </si>
  <si>
    <t>EXT - HAND &amp; WRIST ULTRASOUND - BILATERAL RA REFERRAL</t>
  </si>
  <si>
    <t>OBS2nd/3TWINS</t>
  </si>
  <si>
    <t>OBS 2ND/3 (OTHER) TWINS</t>
  </si>
  <si>
    <t>SPORTVISUS</t>
  </si>
  <si>
    <t>SPORTVIS FOR INJECTION UNDER US</t>
  </si>
  <si>
    <t>X318NCWEV</t>
  </si>
  <si>
    <t>OBS NUCHAL W/ EV NEEDS RECALL - DO NOT BOOK</t>
  </si>
  <si>
    <t>X318NCWEVTWIN</t>
  </si>
  <si>
    <t>OBS NUCHAL TWINS W/EV NEEDS RECALL - DO NOT BOOK</t>
  </si>
  <si>
    <t>MFMOBS1ST/3</t>
  </si>
  <si>
    <t>MFM OBS 1ST/3</t>
  </si>
  <si>
    <t>MFMOBS1ST/3EV</t>
  </si>
  <si>
    <t>MFM OBS 1ST/3 WITH EV</t>
  </si>
  <si>
    <t>MFMOBS1/3TWINS</t>
  </si>
  <si>
    <t>MFMOBS1/3TWIN</t>
  </si>
  <si>
    <t>MFM OBS 1ST/3 TWINS</t>
  </si>
  <si>
    <t>MFMOBS1ST/3EVTWINS</t>
  </si>
  <si>
    <t>MFMOBS1ST/3EVTW</t>
  </si>
  <si>
    <t>MFM OBS 1ST/3 WITH EV / TWINS</t>
  </si>
  <si>
    <t>MFMNUCHALRESCANUS</t>
  </si>
  <si>
    <t>MFMNUCHALRESCAN</t>
  </si>
  <si>
    <t>MFM OBS NUCHAL NEEDS RECALL - DO NOT BOOK</t>
  </si>
  <si>
    <t>MFMNUCHALRESCANTWINS</t>
  </si>
  <si>
    <t>MFM OBS NUCHAL TWINS NEEDS RECALL - DO NOT BOOK</t>
  </si>
  <si>
    <t>MFMX318NCWEV</t>
  </si>
  <si>
    <t>MFM OBS NUCHAL W/ EV NEEDS RECALL - DO NOT BOOK</t>
  </si>
  <si>
    <t>MFMX318NCWEVTWIN</t>
  </si>
  <si>
    <t>MFMX318NCWEVTWI</t>
  </si>
  <si>
    <t>MFM OBS NUCHAL TWINS W/EV NEEDS RECALL - DO NOT BOOK</t>
  </si>
  <si>
    <t>MFMOBSNTUS</t>
  </si>
  <si>
    <t>MFM OBS NUCHAL</t>
  </si>
  <si>
    <t>MFMOBSNTTWINSUS</t>
  </si>
  <si>
    <t>MFM OBS NUCHAL TWINS</t>
  </si>
  <si>
    <t>MFMOBSDETAILED</t>
  </si>
  <si>
    <t>MFM OBS DETAILED</t>
  </si>
  <si>
    <t>MFMDETAILRESCANUS</t>
  </si>
  <si>
    <t>MFMDETAILRESCAN</t>
  </si>
  <si>
    <t>MFM OBS DETAILED NEEDS RECALL - DO NOT BOOK</t>
  </si>
  <si>
    <t>MFMOBS2nd/3</t>
  </si>
  <si>
    <t>MFM OBS 2ND/3 (OTHER)</t>
  </si>
  <si>
    <t>MFMOBS2nd/3TWINS</t>
  </si>
  <si>
    <t>MFMOBS2nd/3TWIN</t>
  </si>
  <si>
    <t>MFM OBS 2ND/3 (OTHER) TWINS</t>
  </si>
  <si>
    <t>MFMOBSDETAILHR</t>
  </si>
  <si>
    <t>MFM OBS DETAILED HIGH RISK NEEDS RECALL - DO NOT BOOK</t>
  </si>
  <si>
    <t>MFMOBSDETTWIN</t>
  </si>
  <si>
    <t>MFM OBS DETAILED TWINS</t>
  </si>
  <si>
    <t>MFMDETAILTWINRESCAN</t>
  </si>
  <si>
    <t>MFMDETAILTWINRE</t>
  </si>
  <si>
    <t>MFM OBS DETAILED TWINS NEEDS RECALL - DO NOT BOOK</t>
  </si>
  <si>
    <t>MFMOBSBPPW</t>
  </si>
  <si>
    <t>MFM OBS BPP SINGLE WRAPPER</t>
  </si>
  <si>
    <t>MFMOBSBPPTWINSW</t>
  </si>
  <si>
    <t>MFM OBS BPP TWINS WRAPPER</t>
  </si>
  <si>
    <t>ABDOLIVERW</t>
  </si>
  <si>
    <t>ABDOMINAL ULTRASOUND AND LIVER ELASTOGRAPHY WRAPPER</t>
  </si>
  <si>
    <t>ABDOUNSUCLIVERW</t>
  </si>
  <si>
    <t>ABDOMINAL ULTRASOUND AND UNSUCCESSFUL LIVER ELASTOGRAPHY WRAPPER</t>
  </si>
  <si>
    <t>LIVERELASTOW</t>
  </si>
  <si>
    <t>LIVER ULTRASOUND AND ELASTOGRAPHY WRAPPER</t>
  </si>
  <si>
    <t>LIVERUNSUCW</t>
  </si>
  <si>
    <t>LIVER ULTRASOUND AND UNSUCCESSFUL ELASTOGRAPHY WRAPPER</t>
  </si>
  <si>
    <t>LIVERELASTO</t>
  </si>
  <si>
    <t>ADD ON LIVER ELASTOGRAPHY</t>
  </si>
  <si>
    <t>X337ADDONUNSUCC</t>
  </si>
  <si>
    <t>ADD ON UNSUCCESSFUL LIVER ELASTOGRAPHY</t>
  </si>
  <si>
    <t>ARTLEGTBIW</t>
  </si>
  <si>
    <t>ARTERIAL UNILATERAL STUDY - LEG TBI WRAPPER</t>
  </si>
  <si>
    <t>ARTBILLEGTBIW</t>
  </si>
  <si>
    <t>ARTERIAL BILATERAL STUDY - LEGS TBI WRAPPER</t>
  </si>
  <si>
    <t>MASSETER</t>
  </si>
  <si>
    <t>MASSETER ULTRASOUND</t>
  </si>
  <si>
    <t>X313GROIN</t>
  </si>
  <si>
    <t>GROIN - UNILATERAL</t>
  </si>
  <si>
    <t>X313GROINBILAT</t>
  </si>
  <si>
    <t>GROIN - BILATERAL</t>
  </si>
  <si>
    <t>MFMOBSFD&amp;M</t>
  </si>
  <si>
    <t>MFM OBS FETAL DIAGNOSIS AND MANAGEMENT</t>
  </si>
  <si>
    <t>MFMOBSFD&amp;MTWINS</t>
  </si>
  <si>
    <t>MFM OBS FETAL DIAGNOSIS AND MANAGEMENT - TWINS</t>
  </si>
  <si>
    <t>PORTALUS</t>
  </si>
  <si>
    <t>PORTAL FEES - U/S</t>
  </si>
  <si>
    <t>BOWEL</t>
  </si>
  <si>
    <t>BOWEL ULTRASOUND</t>
  </si>
  <si>
    <t>MFMOB1TR</t>
  </si>
  <si>
    <t>MFM OBS 1ST/3 TRIPLETS</t>
  </si>
  <si>
    <t>MFMOB1EVTR</t>
  </si>
  <si>
    <t>MFM OBS 1ST/3 WITH EV / TRIPLETS</t>
  </si>
  <si>
    <t>MFMOB2TRIP</t>
  </si>
  <si>
    <t>MFM OBS 2ND/3 (OTHER) / TRIPLETS</t>
  </si>
  <si>
    <t>MFMOBBPPTR</t>
  </si>
  <si>
    <t>MFM OBS BPP TRIPLETS WRAPPER</t>
  </si>
  <si>
    <t>MFMDETTRIP</t>
  </si>
  <si>
    <t>MFM OBS DETAILED TRIPLETS</t>
  </si>
  <si>
    <t>MFMDETRETR</t>
  </si>
  <si>
    <t>MFM OBS DETAILED TRIPLETS NEEDS RECALL - DO NOT BOOK</t>
  </si>
  <si>
    <t>MFMOBFDTR</t>
  </si>
  <si>
    <t>MFM OBS FETAL DIAGNOSIS AND MANAGEMENT - TRIPLETS</t>
  </si>
  <si>
    <t>MFMNUCRETR</t>
  </si>
  <si>
    <t>MFM OBS NUCHAL TRIPLETS NEEDS RECALL - DO NOT BOOK</t>
  </si>
  <si>
    <t>MFMOBSNTTR</t>
  </si>
  <si>
    <t>MFM OBS NUCHAL TRIPLETS</t>
  </si>
  <si>
    <t>MFMNCWEVTR</t>
  </si>
  <si>
    <t>MFM OBS NUCHAL TRIPLETS W/EV NEEDS RECALL - DO NOT BOOK</t>
  </si>
  <si>
    <t>X338BAKCYSTBIL</t>
  </si>
  <si>
    <t>BAKERS CYST - IN ADDITION BILATERAL</t>
  </si>
  <si>
    <t>X338BAKCYSTINIADD</t>
  </si>
  <si>
    <t>X338BAKCYSTINIA</t>
  </si>
  <si>
    <t>BAKERS CYST - IN ADDITION UNILATERAL</t>
  </si>
  <si>
    <t>TCAMAUS</t>
  </si>
  <si>
    <t>TELEPHONE CONVERSATION - WCB AB</t>
  </si>
  <si>
    <t>WCBBCOOPR</t>
  </si>
  <si>
    <t>WCB BC OUT-OF-PROVINCE  RECORDS</t>
  </si>
  <si>
    <t>X319NUCCON</t>
  </si>
  <si>
    <t>MFM OBS NUCHAL CONSULT ONLY</t>
  </si>
  <si>
    <t>BOTOXINJUW</t>
  </si>
  <si>
    <t>AHSUS</t>
  </si>
  <si>
    <t>SISW</t>
  </si>
  <si>
    <t>SALINE INFUSED SONOHYSTEROGRAM WRAPPER</t>
  </si>
  <si>
    <t>APPENDIXW</t>
  </si>
  <si>
    <t>APPENDIX WRAPPER</t>
  </si>
  <si>
    <t>03.03CV</t>
  </si>
  <si>
    <t>TELECONSUS</t>
  </si>
  <si>
    <t>TELEPHONE PATIENT CONSULT</t>
  </si>
  <si>
    <t>DEFERREDUS</t>
  </si>
  <si>
    <t>DEFERRED BIOPSY NO CONSULT</t>
  </si>
  <si>
    <t>03.08CV</t>
  </si>
  <si>
    <t>TELECOMP</t>
  </si>
  <si>
    <t>TELEPHONE CONSULT COMPREHENSIVE - MFM</t>
  </si>
  <si>
    <t>STLABIA</t>
  </si>
  <si>
    <t>EXT - SOFT TISSUE LABIA</t>
  </si>
  <si>
    <t>WRTCARTBILW</t>
  </si>
  <si>
    <t>WRIST INJECTION / CARPAL TUNNEL BILATERAL U/S WRAPPER</t>
  </si>
  <si>
    <t>CASEREVWUS</t>
  </si>
  <si>
    <t>PROLOUS</t>
  </si>
  <si>
    <t>STELLATEW</t>
  </si>
  <si>
    <t>STELLATE GANGLION BLOCK WRAPPER</t>
  </si>
  <si>
    <t>X321MARKERSCAN</t>
  </si>
  <si>
    <t>MFM OBS MARKER SCAN</t>
  </si>
  <si>
    <t>BOTOXPAROTIDW</t>
  </si>
  <si>
    <t>INJECTION OF BOTOX - PAROTID GLAND WRAPPER</t>
  </si>
  <si>
    <t>97.11C</t>
  </si>
  <si>
    <t>97.11CBREASTCLIPUS</t>
  </si>
  <si>
    <t>97.11CBREASTCLI</t>
  </si>
  <si>
    <t>BREAST CLIP ADD ON</t>
  </si>
  <si>
    <t>NIPTKIT</t>
  </si>
  <si>
    <t>N.I.P.T. Testing Kit - Patient Pay Portion</t>
  </si>
  <si>
    <t>Under FL</t>
  </si>
  <si>
    <t>X331</t>
  </si>
  <si>
    <t>X331NECKBILAT</t>
  </si>
  <si>
    <t>TEMPORAL ARTERIAL SCREENING</t>
  </si>
  <si>
    <t>THYRCONSULT</t>
  </si>
  <si>
    <t>THYROID NODULE ULTRASOUND AND CONSULT</t>
  </si>
  <si>
    <t>03.05JR</t>
  </si>
  <si>
    <t>Yes (needs Rads approval prior to booking)</t>
  </si>
  <si>
    <t>03.05JRPCONSULT</t>
  </si>
  <si>
    <t>FTS PHONE CONSULT</t>
  </si>
  <si>
    <t>TCONSULT</t>
  </si>
  <si>
    <t>TELEPHONE CONSULT</t>
  </si>
  <si>
    <t>RFNMNUS1</t>
  </si>
  <si>
    <t>RFNMNUS2</t>
  </si>
  <si>
    <t>Protocol | Max 1 per day</t>
  </si>
  <si>
    <t>Under FL (needs Rads approval prior to booking)</t>
  </si>
  <si>
    <t>ProcedureBookingCategoryID</t>
  </si>
  <si>
    <t>IsPrimary</t>
  </si>
  <si>
    <t>Protocol | FL USGuidInj spot only</t>
  </si>
  <si>
    <t>Joints only</t>
  </si>
  <si>
    <t>Not RFN</t>
  </si>
  <si>
    <t>No Prelims required</t>
  </si>
  <si>
    <t>Single site only</t>
  </si>
  <si>
    <t>US only</t>
  </si>
  <si>
    <t>Protocol | Clinic Books - Pt must supply botox Or go through Biopscript</t>
  </si>
  <si>
    <t>Protocol | Clinic Books - Pt must supply botox</t>
  </si>
  <si>
    <t>Protocol | Booked by RFN Ablation Group</t>
  </si>
  <si>
    <t>Y Knee Jt, Hip Jt, GH Jt, Elbow Jt, 1st MTP Jt, Ankle Jt</t>
  </si>
  <si>
    <t>RadiologistClinicID</t>
  </si>
  <si>
    <t>IsHomeClinic</t>
  </si>
  <si>
    <t>Under U/S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</si>
  <si>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</si>
  <si>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</si>
  <si>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</si>
  <si>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</si>
  <si>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</si>
  <si>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</si>
  <si>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</si>
  <si>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</si>
  <si>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</si>
  <si>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</si>
  <si>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</si>
  <si>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</si>
  <si>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</si>
  <si>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</si>
  <si>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</si>
  <si>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</si>
  <si>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</si>
  <si>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</si>
  <si>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</si>
  <si>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</si>
  <si>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</si>
  <si>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</si>
  <si>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</si>
  <si>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</si>
  <si>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</si>
  <si>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</si>
  <si>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</si>
  <si>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</si>
  <si>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</si>
  <si>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</si>
  <si>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</si>
  <si>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</si>
  <si>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</si>
  <si>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</si>
  <si>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</si>
  <si>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</si>
  <si>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</si>
  <si>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</si>
  <si>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</si>
  <si>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</si>
  <si>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</si>
  <si>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</si>
  <si>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</si>
  <si>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</si>
  <si>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</si>
  <si>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</si>
  <si>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</si>
  <si>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</si>
  <si>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</si>
  <si>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</si>
  <si>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</si>
  <si>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</si>
  <si>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</si>
  <si>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</si>
  <si>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</si>
  <si>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</si>
  <si>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</si>
  <si>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</si>
  <si>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</si>
  <si>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</si>
  <si>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</si>
  <si>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</si>
  <si>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</si>
  <si>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</si>
  <si>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</si>
  <si>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</si>
  <si>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</si>
  <si>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</si>
  <si>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</si>
  <si>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</si>
  <si>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</si>
  <si>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</si>
  <si>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</si>
  <si>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</si>
  <si>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</si>
  <si>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</si>
  <si>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</si>
  <si>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</si>
  <si>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</si>
  <si>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</si>
  <si>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</si>
  <si>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</si>
  <si>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</si>
  <si>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</si>
  <si>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</si>
  <si>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</si>
  <si>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</si>
  <si>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</si>
  <si>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</si>
  <si>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</si>
  <si>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</si>
  <si>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</si>
  <si>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</si>
  <si>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</si>
  <si>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</si>
  <si>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</si>
  <si>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</si>
  <si>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</si>
  <si>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</si>
  <si>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</si>
  <si>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</si>
  <si>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</si>
  <si>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</si>
  <si>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</si>
  <si>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</si>
  <si>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</si>
  <si>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</si>
  <si>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</si>
  <si>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</si>
  <si>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</si>
  <si>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</si>
  <si>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</si>
  <si>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</si>
  <si>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</si>
  <si>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</si>
  <si>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</si>
  <si>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</si>
  <si>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</si>
  <si>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</si>
  <si>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</si>
  <si>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</si>
  <si>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</si>
  <si>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</si>
  <si>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</si>
  <si>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</si>
  <si>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</si>
  <si>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</si>
  <si>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</si>
  <si>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</si>
  <si>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</si>
  <si>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</si>
  <si>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</si>
  <si>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</si>
  <si>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</si>
  <si>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</si>
  <si>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</si>
  <si>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</si>
  <si>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</si>
  <si>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</si>
  <si>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</si>
  <si>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</si>
  <si>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</si>
  <si>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</si>
  <si>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</si>
  <si>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</si>
  <si>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</si>
  <si>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</si>
  <si>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</si>
  <si>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</si>
  <si>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</si>
  <si>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</si>
  <si>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</si>
  <si>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</si>
  <si>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</si>
  <si>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</si>
  <si>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</si>
  <si>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</si>
  <si>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</si>
  <si>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</si>
  <si>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</si>
  <si>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</si>
  <si>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</si>
  <si>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</si>
  <si>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</si>
  <si>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</si>
  <si>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</si>
  <si>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</si>
  <si>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</si>
  <si>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</si>
  <si>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</si>
  <si>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</si>
  <si>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</si>
  <si>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</si>
  <si>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</si>
  <si>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</si>
  <si>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</si>
  <si>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</si>
  <si>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</si>
  <si>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</si>
  <si>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</si>
  <si>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</si>
  <si>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</si>
  <si>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</si>
  <si>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</si>
  <si>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</si>
  <si>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</si>
  <si>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</si>
  <si>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</si>
  <si>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</si>
  <si>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</si>
  <si>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</si>
  <si>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</si>
  <si>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</si>
  <si>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</si>
  <si>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</si>
  <si>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</si>
  <si>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</si>
  <si>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</si>
  <si>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</si>
  <si>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</si>
  <si>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</si>
  <si>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</si>
  <si>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</si>
  <si>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</si>
  <si>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</si>
  <si>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</si>
  <si>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</si>
  <si>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</si>
  <si>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</si>
  <si>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</si>
  <si>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</si>
  <si>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</si>
  <si>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</si>
  <si>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</si>
  <si>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</si>
  <si>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</si>
  <si>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</si>
  <si>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</si>
  <si>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</si>
  <si>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</si>
  <si>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</si>
  <si>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</si>
  <si>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</si>
  <si>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</si>
  <si>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</si>
  <si>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</si>
  <si>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</si>
  <si>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</si>
  <si>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</si>
  <si>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</si>
  <si>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</si>
  <si>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</si>
  <si>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</si>
  <si>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</si>
  <si>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</si>
  <si>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</si>
  <si>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</si>
  <si>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</si>
  <si>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</si>
  <si>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</si>
  <si>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</si>
  <si>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</si>
  <si>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</si>
  <si>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</si>
  <si>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</si>
  <si>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</si>
  <si>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</si>
  <si>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</si>
  <si>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</si>
  <si>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</si>
  <si>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</si>
  <si>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</si>
  <si>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</si>
  <si>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</si>
  <si>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</si>
  <si>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</si>
  <si>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</si>
  <si>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</si>
  <si>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</si>
  <si>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</si>
  <si>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</si>
  <si>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</si>
  <si>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</si>
  <si>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</si>
  <si>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</si>
  <si>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</si>
  <si>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</si>
  <si>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</si>
  <si>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</si>
  <si>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</si>
  <si>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</si>
  <si>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</si>
  <si>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</si>
  <si>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</si>
  <si>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</si>
  <si>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</si>
  <si>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</si>
  <si>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</si>
  <si>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</si>
  <si>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</si>
  <si>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</si>
  <si>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</si>
  <si>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</si>
  <si>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</si>
  <si>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</si>
  <si>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of Hand</t>
  </si>
  <si>
    <t>Proximal Interphalangeal Joint of the Hand</t>
  </si>
  <si>
    <t>DIP Joint of Hand</t>
  </si>
  <si>
    <t>Distal Interphalangeal Joint of the Hand</t>
  </si>
  <si>
    <t>IP Joint of Hand</t>
  </si>
  <si>
    <t>Interphalangeal Joint of the Hand</t>
  </si>
  <si>
    <t>EBP</t>
  </si>
  <si>
    <t>ESI Blood Patch</t>
  </si>
  <si>
    <t>BP ESI</t>
  </si>
  <si>
    <t>Blood Patch ESI</t>
  </si>
  <si>
    <t>TMT Joint</t>
  </si>
  <si>
    <t>Cuneonavicular Joint</t>
  </si>
  <si>
    <t>Cuboideonavicular Joint</t>
  </si>
  <si>
    <t>Tarsometatarsal Joint</t>
  </si>
  <si>
    <t>Transverse Tarsal Joint</t>
  </si>
  <si>
    <t>Talocalcaneonavicular Joint</t>
  </si>
  <si>
    <t>Calcaneocuboid Joint</t>
  </si>
  <si>
    <t>Intermetatarsal Joint</t>
  </si>
  <si>
    <t>Metatarsophalangeal Joints</t>
  </si>
  <si>
    <t>MTP Joints</t>
  </si>
  <si>
    <t>Interphalangeal Joint of the Foot</t>
  </si>
  <si>
    <t>Proximal Interphalangeal Joint of the Foot</t>
  </si>
  <si>
    <t>Distal Interphalangeal Joint of the Foot</t>
  </si>
  <si>
    <t>PIP Joint of Foot</t>
  </si>
  <si>
    <t>DIP Joint of Foot</t>
  </si>
  <si>
    <t>IP Joint of Foot</t>
  </si>
  <si>
    <t>ProcedureRuleID</t>
  </si>
  <si>
    <t>RuleType</t>
  </si>
  <si>
    <t>RuleText</t>
  </si>
  <si>
    <t>AppliesToClinicID</t>
  </si>
  <si>
    <t>AppliesToRadiologistID</t>
  </si>
  <si>
    <t>Unilateral Only</t>
  </si>
  <si>
    <t>PP only (Hologic)</t>
  </si>
  <si>
    <t>CH only</t>
  </si>
  <si>
    <t>U/S room w/ U/S tech only</t>
  </si>
  <si>
    <t>Y elbows only</t>
  </si>
  <si>
    <t>Y Only knee joints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</si>
</sst>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0" fontId="1" numFmtId="0" xfId="0" applyFont="1"/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2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1" displayName="tbRadiologists" name="tbRadiologists" id="3">
  <autoFilter ref="$A$1:$G$51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I454" displayName="tbBillingCodes" name="tbBillingCodes" id="4">
  <autoFilter ref="$A$1:$I$454"/>
  <tableColumns count="9">
    <tableColumn name="BillingCodeID" id="1"/>
    <tableColumn name="ModalityAbbrev" id="2"/>
    <tableColumn name="MSPCode" id="3"/>
    <tableColumn name="InternalFeecode" id="4"/>
    <tableColumn name="ServiceAbbrev" id="5"/>
    <tableColumn name="ServiceName" id="6"/>
    <tableColumn name="ModalityID" id="7"/>
    <tableColumn name="Status" id="8"/>
    <tableColumn name="Notes" id="9"/>
  </tableColumns>
  <tableStyleInfo name="BillingCodes-style" showColumnStripes="0" showFirstColumn="1" showLastColumn="1" showRowStripes="1"/>
</table>
</file>

<file path=xl/tables/table5.xml><?xml version="1.0" encoding="utf-8"?>
<table xmlns="http://schemas.openxmlformats.org/spreadsheetml/2006/main" ref="A1:B9" displayName="tbModalities" name="tbModalities" id="5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6.xml><?xml version="1.0" encoding="utf-8"?>
<table xmlns="http://schemas.openxmlformats.org/spreadsheetml/2006/main" ref="A1:D39" displayName="tbBookingCategories" name="tbBookingCategories" id="7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7.xml><?xml version="1.0" encoding="utf-8"?>
<table xmlns="http://schemas.openxmlformats.org/spreadsheetml/2006/main" ref="A1:F2128" displayName="tbProcedureBillingCodes" name="tbProcedureBillingCodes" id="6">
  <autoFilter ref="$A$1:$F$2128">
    <filterColumn colId="1">
      <filters>
        <filter val="92"/>
      </filters>
    </filterColumn>
  </autoFilter>
  <tableColumns count="6">
    <tableColumn name="ProcedureBillingCodeID" id="1"/>
    <tableColumn name="ProcedureID" id="2"/>
    <tableColumn name="ModalityID" id="3"/>
    <tableColumn name="BillingCodeID" id="4"/>
    <tableColumn name="Status" id="5"/>
    <tableColumn name="Notes" id="6"/>
  </tableColumns>
  <tableStyleInfo name="ProcedureBillingCodes-style" showColumnStripes="0" showFirstColumn="1" showLastColumn="1" showRowStripes="1"/>
</table>
</file>

<file path=xl/tables/table8.xml><?xml version="1.0" encoding="utf-8"?>
<table xmlns="http://schemas.openxmlformats.org/spreadsheetml/2006/main" ref="A1:F1210" displayName="tbProcedureClinics" name="tbProcedureClinics" id="8">
  <autoFilter ref="$A$1:$F$1210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9.xml><?xml version="1.0" encoding="utf-8"?>
<table xmlns="http://schemas.openxmlformats.org/spreadsheetml/2006/main" ref="A1:F2434" displayName="tbProcedureRadiologists" name="tbProcedureRadiologists" id="9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10.xml><?xml version="1.0" encoding="utf-8"?>
<table xmlns="http://schemas.openxmlformats.org/spreadsheetml/2006/main" ref="A1:G1593" displayName="tbProcedureBookingCategories" name="tbProcedureBookingCategories" id="10">
  <autoFilter ref="$A$1:$G$1593">
    <filterColumn colId="1">
      <filters>
        <filter val="91"/>
      </filters>
    </filterColumn>
  </autoFilter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11.xml><?xml version="1.0" encoding="utf-8"?>
<table xmlns="http://schemas.openxmlformats.org/spreadsheetml/2006/main" ref="A1:F94" displayName="tbRadiologistClinics" name="tbRadiologistClinics" id="11">
  <autoFilter ref="$A$1:$F$94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2.xml><?xml version="1.0" encoding="utf-8"?>
<table xmlns="http://schemas.openxmlformats.org/spreadsheetml/2006/main" ref="A1:D410" displayName="tbProcedureAliases" name="tbProcedureAliases" id="12">
  <autoFilter ref="$A$1:$D$410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3" t="s">
        <v>1</v>
      </c>
      <c r="C2" s="5" t="s">
        <v>5</v>
      </c>
    </row>
    <row r="3">
      <c r="B3" s="6" t="s">
        <v>8</v>
      </c>
      <c r="C3" s="7">
        <f t="array" ref="C3">XLOOKUP(C2,Procedures!C:C,Procedures!A:A,"")</f>
        <v>73</v>
      </c>
    </row>
    <row r="4">
      <c r="C4" s="1"/>
    </row>
    <row r="5">
      <c r="B5" s="2" t="s">
        <v>15</v>
      </c>
      <c r="C5" s="1" t="str">
        <f t="array" ref="C5">XLOOKUP($C$3,Procedures!A:A,Procedures!C:C,"")</f>
        <v>Lateral Femoral Cutaneous Nerve Block</v>
      </c>
    </row>
    <row r="6">
      <c r="B6" s="2" t="s">
        <v>18</v>
      </c>
      <c r="C6" s="1" t="str">
        <f t="array" ref="C6">XLOOKUP($C$3,Procedures!A:A,Procedures!B:B,"")</f>
        <v>Lateral Femoral Cutaneous Nerve (Meralgia Paresthetica)</v>
      </c>
    </row>
    <row r="7">
      <c r="B7" s="2" t="s">
        <v>19</v>
      </c>
      <c r="C7" s="1" t="str">
        <f>IFERROR(__xludf.DUMMYFUNCTION("TEXTJOIN("", "",TRUE,FILTER(ProcedureAliases!C:C,ProcedureAliases!B:B=$C$3))"),"LFCN Block, Meralgia Paresthetica Injection, Lateral Femoral Cutaneous Nerve Block")</f>
        <v>LFCN Block, Meralgia Paresthetica Injection, Lateral Femoral Cutaneous Nerve Block</v>
      </c>
    </row>
    <row r="8">
      <c r="B8" s="9" t="s">
        <v>21</v>
      </c>
      <c r="C8" s="10"/>
      <c r="D8" s="10"/>
      <c r="E8" s="11"/>
      <c r="F8" s="12" t="s">
        <v>25</v>
      </c>
      <c r="G8" s="10"/>
      <c r="H8" s="10"/>
      <c r="I8" s="11"/>
    </row>
    <row r="9">
      <c r="B9" s="13" t="s">
        <v>32</v>
      </c>
      <c r="C9" s="16" t="s">
        <v>33</v>
      </c>
      <c r="D9" s="13" t="s">
        <v>34</v>
      </c>
      <c r="E9" s="13" t="s">
        <v>35</v>
      </c>
      <c r="F9" s="17" t="s">
        <v>6</v>
      </c>
      <c r="G9" s="17" t="s">
        <v>36</v>
      </c>
      <c r="H9" s="17" t="s">
        <v>37</v>
      </c>
      <c r="I9" s="17" t="s">
        <v>38</v>
      </c>
    </row>
    <row r="10">
      <c r="B10" s="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IFERROR(__xludf.DUMMYFUNCTION("""COMPUTED_VALUE"""),"Protocol | Booked based on protocol")</f>
        <v>Protocol | Booked based on protocol</v>
      </c>
      <c r="D10" s="4" t="str">
        <f>IFERROR(__xludf.DUMMYFUNCTION("""COMPUTED_VALUE"""),"PMI")</f>
        <v>PMI</v>
      </c>
      <c r="E10" s="4" t="str">
        <f>IFERROR(__xludf.DUMMYFUNCTION("""COMPUTED_VALUE"""),"")</f>
        <v/>
      </c>
      <c r="F10" s="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4" t="str">
        <f>IFERROR(__xludf.DUMMYFUNCTION("""COMPUTED_VALUE"""),"Male")</f>
        <v>Male</v>
      </c>
      <c r="H10" s="4" t="str">
        <f>IFERROR(__xludf.DUMMYFUNCTION("""COMPUTED_VALUE"""),"Conditional")</f>
        <v>Conditional</v>
      </c>
      <c r="I10" s="4" t="str">
        <f>IFERROR(__xludf.DUMMYFUNCTION("""COMPUTED_VALUE"""),"Yes not RFN")</f>
        <v>Yes not RFN</v>
      </c>
    </row>
    <row r="11">
      <c r="B11" s="4" t="str">
        <f>IFERROR(__xludf.DUMMYFUNCTION("""COMPUTED_VALUE"""),"CH")</f>
        <v>CH</v>
      </c>
      <c r="C11" s="1" t="str">
        <f>IFERROR(__xludf.DUMMYFUNCTION("""COMPUTED_VALUE"""),"Protocol | Booked based on protocol")</f>
        <v>Protocol | Booked based on protocol</v>
      </c>
      <c r="D11" s="4" t="str">
        <f>IFERROR(__xludf.DUMMYFUNCTION("""COMPUTED_VALUE"""),"PMI")</f>
        <v>PMI</v>
      </c>
      <c r="E11" s="4" t="str">
        <f>IFERROR(__xludf.DUMMYFUNCTION("""COMPUTED_VALUE"""),"")</f>
        <v/>
      </c>
      <c r="F11" s="4" t="str">
        <f>IFERROR(__xludf.DUMMYFUNCTION("""COMPUTED_VALUE"""),"Campbell, G")</f>
        <v>Campbell, G</v>
      </c>
      <c r="G11" s="4" t="str">
        <f>IFERROR(__xludf.DUMMYFUNCTION("""COMPUTED_VALUE"""),"Male")</f>
        <v>Male</v>
      </c>
      <c r="H11" s="4" t="str">
        <f>IFERROR(__xludf.DUMMYFUNCTION("""COMPUTED_VALUE"""),"Yes")</f>
        <v>Yes</v>
      </c>
      <c r="I11" s="4"/>
    </row>
    <row r="12">
      <c r="B12" s="4" t="str">
        <f>IFERROR(__xludf.DUMMYFUNCTION("""COMPUTED_VALUE"""),"MB")</f>
        <v>MB</v>
      </c>
      <c r="C12" s="1" t="str">
        <f>IFERROR(__xludf.DUMMYFUNCTION("""COMPUTED_VALUE"""),"Protocol | Booked based on protocol")</f>
        <v>Protocol | Booked based on protocol</v>
      </c>
      <c r="D12" s="4" t="str">
        <f>IFERROR(__xludf.DUMMYFUNCTION("""COMPUTED_VALUE"""),"PMI")</f>
        <v>PMI</v>
      </c>
      <c r="E12" s="4" t="str">
        <f>IFERROR(__xludf.DUMMYFUNCTION("""COMPUTED_VALUE"""),"")</f>
        <v/>
      </c>
      <c r="F12" s="4" t="str">
        <f>IFERROR(__xludf.DUMMYFUNCTION("""COMPUTED_VALUE"""),"Chen, C")</f>
        <v>Chen, C</v>
      </c>
      <c r="G12" s="4" t="str">
        <f>IFERROR(__xludf.DUMMYFUNCTION("""COMPUTED_VALUE"""),"Male")</f>
        <v>Male</v>
      </c>
      <c r="H12" s="4" t="str">
        <f>IFERROR(__xludf.DUMMYFUNCTION("""COMPUTED_VALUE"""),"Conditional")</f>
        <v>Conditional</v>
      </c>
      <c r="I12" s="4" t="str">
        <f>IFERROR(__xludf.DUMMYFUNCTION("""COMPUTED_VALUE"""),"Yes - not RFN")</f>
        <v>Yes - not RFN</v>
      </c>
    </row>
    <row r="13">
      <c r="B13" s="4" t="str">
        <f>IFERROR(__xludf.DUMMYFUNCTION("""COMPUTED_VALUE"""),"PP")</f>
        <v>PP</v>
      </c>
      <c r="C13" s="1" t="str">
        <f>IFERROR(__xludf.DUMMYFUNCTION("""COMPUTED_VALUE"""),"Protocol | Booked based on protocol")</f>
        <v>Protocol | Booked based on protocol</v>
      </c>
      <c r="D13" s="4" t="str">
        <f>IFERROR(__xludf.DUMMYFUNCTION("""COMPUTED_VALUE"""),"PMI")</f>
        <v>PMI</v>
      </c>
      <c r="E13" s="4" t="str">
        <f>IFERROR(__xludf.DUMMYFUNCTION("""COMPUTED_VALUE"""),"")</f>
        <v/>
      </c>
      <c r="F13" s="4" t="str">
        <f>IFERROR(__xludf.DUMMYFUNCTION("""COMPUTED_VALUE"""),"Davies, R")</f>
        <v>Davies, R</v>
      </c>
      <c r="G13" s="4" t="str">
        <f>IFERROR(__xludf.DUMMYFUNCTION("""COMPUTED_VALUE"""),"Male")</f>
        <v>Male</v>
      </c>
      <c r="H13" s="4" t="str">
        <f>IFERROR(__xludf.DUMMYFUNCTION("""COMPUTED_VALUE"""),"Yes")</f>
        <v>Yes</v>
      </c>
      <c r="I13" s="4"/>
    </row>
    <row r="14">
      <c r="B14" s="4" t="str">
        <f>IFERROR(__xludf.DUMMYFUNCTION("""COMPUTED_VALUE"""),"109 St")</f>
        <v>109 St</v>
      </c>
      <c r="C14" s="1" t="str">
        <f>IFERROR(__xludf.DUMMYFUNCTION("""COMPUTED_VALUE"""),"Protocol | Booked based on protocol")</f>
        <v>Protocol | Booked based on protocol</v>
      </c>
      <c r="D14" s="4" t="str">
        <f>IFERROR(__xludf.DUMMYFUNCTION("""COMPUTED_VALUE"""),"PMI")</f>
        <v>PMI</v>
      </c>
      <c r="E14" s="4" t="str">
        <f>IFERROR(__xludf.DUMMYFUNCTION("""COMPUTED_VALUE"""),"")</f>
        <v/>
      </c>
      <c r="F14" s="4" t="str">
        <f>IFERROR(__xludf.DUMMYFUNCTION("""COMPUTED_VALUE"""),"Dunn, I")</f>
        <v>Dunn, I</v>
      </c>
      <c r="G14" s="4" t="str">
        <f>IFERROR(__xludf.DUMMYFUNCTION("""COMPUTED_VALUE"""),"Male")</f>
        <v>Male</v>
      </c>
      <c r="H14" s="4" t="str">
        <f>IFERROR(__xludf.DUMMYFUNCTION("""COMPUTED_VALUE"""),"Yes")</f>
        <v>Yes</v>
      </c>
      <c r="I14" s="4"/>
    </row>
    <row r="15">
      <c r="C15" s="1"/>
      <c r="F15" s="4" t="str">
        <f>IFERROR(__xludf.DUMMYFUNCTION("""COMPUTED_VALUE"""),"Ford, C")</f>
        <v>Ford, C</v>
      </c>
      <c r="G15" s="4" t="str">
        <f>IFERROR(__xludf.DUMMYFUNCTION("""COMPUTED_VALUE"""),"Male")</f>
        <v>Male</v>
      </c>
      <c r="H15" s="4" t="str">
        <f>IFERROR(__xludf.DUMMYFUNCTION("""COMPUTED_VALUE"""),"Conditional")</f>
        <v>Conditional</v>
      </c>
      <c r="I15" s="4" t="str">
        <f>IFERROR(__xludf.DUMMYFUNCTION("""COMPUTED_VALUE"""),"Not RFN")</f>
        <v>Not RFN</v>
      </c>
    </row>
    <row r="16">
      <c r="C16" s="1"/>
      <c r="F16" s="4" t="str">
        <f>IFERROR(__xludf.DUMMYFUNCTION("""COMPUTED_VALUE"""),"Guite, J")</f>
        <v>Guite, J</v>
      </c>
      <c r="G16" s="4" t="str">
        <f>IFERROR(__xludf.DUMMYFUNCTION("""COMPUTED_VALUE"""),"Male")</f>
        <v>Male</v>
      </c>
      <c r="H16" s="4" t="str">
        <f>IFERROR(__xludf.DUMMYFUNCTION("""COMPUTED_VALUE"""),"Yes")</f>
        <v>Yes</v>
      </c>
      <c r="I16" s="4"/>
    </row>
    <row r="17">
      <c r="C17" s="1"/>
      <c r="F17" s="4" t="str">
        <f>IFERROR(__xludf.DUMMYFUNCTION("""COMPUTED_VALUE"""),"Ko, S")</f>
        <v>Ko, S</v>
      </c>
      <c r="G17" s="4" t="str">
        <f>IFERROR(__xludf.DUMMYFUNCTION("""COMPUTED_VALUE"""),"Male")</f>
        <v>Male</v>
      </c>
      <c r="H17" s="4" t="str">
        <f>IFERROR(__xludf.DUMMYFUNCTION("""COMPUTED_VALUE"""),"Yes")</f>
        <v>Yes</v>
      </c>
      <c r="I17" s="4"/>
    </row>
    <row r="18">
      <c r="C18" s="1"/>
      <c r="F18" s="4" t="str">
        <f>IFERROR(__xludf.DUMMYFUNCTION("""COMPUTED_VALUE"""),"Pakdel, A")</f>
        <v>Pakdel, A</v>
      </c>
      <c r="G18" s="4" t="str">
        <f>IFERROR(__xludf.DUMMYFUNCTION("""COMPUTED_VALUE"""),"Male")</f>
        <v>Male</v>
      </c>
      <c r="H18" s="4" t="str">
        <f>IFERROR(__xludf.DUMMYFUNCTION("""COMPUTED_VALUE"""),"Yes")</f>
        <v>Yes</v>
      </c>
      <c r="I18" s="4"/>
    </row>
    <row r="19">
      <c r="C19" s="1"/>
      <c r="F19" s="4" t="str">
        <f>IFERROR(__xludf.DUMMYFUNCTION("""COMPUTED_VALUE"""),"Palathinkal, D")</f>
        <v>Palathinkal, D</v>
      </c>
      <c r="G19" s="4" t="str">
        <f>IFERROR(__xludf.DUMMYFUNCTION("""COMPUTED_VALUE"""),"Male")</f>
        <v>Male</v>
      </c>
      <c r="H19" s="4" t="str">
        <f>IFERROR(__xludf.DUMMYFUNCTION("""COMPUTED_VALUE"""),"Yes")</f>
        <v>Yes</v>
      </c>
      <c r="I19" s="4"/>
    </row>
    <row r="20">
      <c r="C20" s="1"/>
      <c r="F20" s="4" t="str">
        <f>IFERROR(__xludf.DUMMYFUNCTION("""COMPUTED_VALUE"""),"Pattison, P")</f>
        <v>Pattison, P</v>
      </c>
      <c r="G20" s="4" t="str">
        <f>IFERROR(__xludf.DUMMYFUNCTION("""COMPUTED_VALUE"""),"Male")</f>
        <v>Male</v>
      </c>
      <c r="H20" s="4" t="str">
        <f>IFERROR(__xludf.DUMMYFUNCTION("""COMPUTED_VALUE"""),"Yes")</f>
        <v>Yes</v>
      </c>
      <c r="I20" s="4"/>
    </row>
    <row r="21">
      <c r="C21" s="1"/>
      <c r="F21" s="4" t="str">
        <f>IFERROR(__xludf.DUMMYFUNCTION("""COMPUTED_VALUE"""),"Taylor, C")</f>
        <v>Taylor, C</v>
      </c>
      <c r="G21" s="4" t="str">
        <f>IFERROR(__xludf.DUMMYFUNCTION("""COMPUTED_VALUE"""),"Male")</f>
        <v>Male</v>
      </c>
      <c r="H21" s="4" t="str">
        <f>IFERROR(__xludf.DUMMYFUNCTION("""COMPUTED_VALUE"""),"Yes")</f>
        <v>Yes</v>
      </c>
      <c r="I21" s="4"/>
    </row>
    <row r="22">
      <c r="C22" s="1"/>
      <c r="F22" s="4" t="str">
        <f>IFERROR(__xludf.DUMMYFUNCTION("""COMPUTED_VALUE"""),"Williams, D")</f>
        <v>Williams, D</v>
      </c>
      <c r="G22" s="4" t="str">
        <f>IFERROR(__xludf.DUMMYFUNCTION("""COMPUTED_VALUE"""),"Male")</f>
        <v>Male</v>
      </c>
      <c r="H22" s="4" t="str">
        <f>IFERROR(__xludf.DUMMYFUNCTION("""COMPUTED_VALUE"""),"Yes")</f>
        <v>Yes</v>
      </c>
      <c r="I22" s="4"/>
    </row>
    <row r="23">
      <c r="C23" s="1"/>
      <c r="F23" s="4" t="str">
        <f>IFERROR(__xludf.DUMMYFUNCTION("""COMPUTED_VALUE"""),"Zelazo, J")</f>
        <v>Zelazo, J</v>
      </c>
      <c r="G23" s="4" t="str">
        <f>IFERROR(__xludf.DUMMYFUNCTION("""COMPUTED_VALUE"""),"Male")</f>
        <v>Male</v>
      </c>
      <c r="H23" s="4" t="str">
        <f>IFERROR(__xludf.DUMMYFUNCTION("""COMPUTED_VALUE"""),"Conditional")</f>
        <v>Conditional</v>
      </c>
      <c r="I23" s="4" t="str">
        <f>IFERROR(__xludf.DUMMYFUNCTION("""COMPUTED_VALUE"""),"CH only")</f>
        <v>CH only</v>
      </c>
    </row>
    <row r="24">
      <c r="C24" s="1"/>
      <c r="F24" s="4" t="str">
        <f>IFERROR(__xludf.DUMMYFUNCTION("""COMPUTED_VALUE"""),"Bently, H")</f>
        <v>Bently, H</v>
      </c>
      <c r="G24" s="4" t="str">
        <f>IFERROR(__xludf.DUMMYFUNCTION("""COMPUTED_VALUE"""),"Female")</f>
        <v>Female</v>
      </c>
      <c r="H24" s="4" t="str">
        <f>IFERROR(__xludf.DUMMYFUNCTION("""COMPUTED_VALUE"""),"Yes")</f>
        <v>Yes</v>
      </c>
      <c r="I24" s="4"/>
    </row>
    <row r="25">
      <c r="C25" s="1"/>
    </row>
    <row r="26">
      <c r="C26" s="1"/>
    </row>
    <row r="27">
      <c r="C27" s="1"/>
    </row>
    <row r="28">
      <c r="C28" s="1"/>
    </row>
    <row r="29">
      <c r="C29" s="1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2" t="s">
        <v>0</v>
      </c>
      <c r="B1" s="2" t="s">
        <v>2</v>
      </c>
    </row>
    <row r="2">
      <c r="A2" s="2" t="s">
        <v>3</v>
      </c>
      <c r="B2" s="4">
        <f>IFERROR(__xludf.DUMMYFUNCTION("COUNT(Procedures!A2:A1000)-COUNTUNIQUE(Procedures!A2:A1000)"),0.0)</f>
        <v>0</v>
      </c>
    </row>
    <row r="3">
      <c r="A3" s="2" t="s">
        <v>4</v>
      </c>
      <c r="B3" s="4">
        <f>IFERROR(__xludf.DUMMYFUNCTION("COUNTA(Clinics!A2:A1000)-COUNTUNIQUE(Clinics!A2:A1000)"),0.0)</f>
        <v>0</v>
      </c>
    </row>
    <row r="4">
      <c r="A4" s="2" t="s">
        <v>6</v>
      </c>
      <c r="B4" s="4">
        <f>IFERROR(__xludf.DUMMYFUNCTION("COUNTA(Radiologists!A2:A1000)-COUNTUNIQUE(Radiologists!A2:A1000)"),0.0)</f>
        <v>0</v>
      </c>
    </row>
    <row r="5">
      <c r="A5" s="2" t="s">
        <v>7</v>
      </c>
      <c r="B5" s="4">
        <f>IFERROR(__xludf.DUMMYFUNCTION("COUNTA(Modalities!A2:A1000)-COUNTUNIQUE(Modalities!A2:A1000)"),0.0)</f>
        <v>0</v>
      </c>
    </row>
    <row r="6">
      <c r="A6" s="2" t="s">
        <v>9</v>
      </c>
      <c r="B6" s="4">
        <f>IFERROR(__xludf.DUMMYFUNCTION("COUNTA(BookingCategories!A2:A1000)-COUNTUNIQUE(BookingCategories!A2:A1000)"),0.0)</f>
        <v>0</v>
      </c>
    </row>
    <row r="7">
      <c r="A7" s="2" t="s">
        <v>10</v>
      </c>
      <c r="B7" s="4">
        <f>IFERROR(__xludf.DUMMYFUNCTION("COUNTA(ProcedureClinics!A2:A1000)-COUNTUNIQUE(ProcedureClinics!A2:A1000)"),0.0)</f>
        <v>0</v>
      </c>
    </row>
    <row r="8">
      <c r="A8" s="2" t="s">
        <v>11</v>
      </c>
      <c r="B8" s="4">
        <f>IFERROR(__xludf.DUMMYFUNCTION("COUNTA(ProcedureRadiologists!A2:A1000)-COUNTUNIQUE(ProcedureRadiologists!A2:A1000)"),0.0)</f>
        <v>0</v>
      </c>
    </row>
    <row r="9">
      <c r="A9" s="2" t="s">
        <v>12</v>
      </c>
      <c r="B9" s="4">
        <f>IFERROR(__xludf.DUMMYFUNCTION("COUNTA(ProcedureBookingCategories!A2:A1000)-COUNTUNIQUE(ProcedureBookingCategories!A2:A1000)"),0.0)</f>
        <v>0</v>
      </c>
    </row>
    <row r="10">
      <c r="A10" s="2" t="s">
        <v>13</v>
      </c>
      <c r="B10" s="4">
        <f>IFERROR(__xludf.DUMMYFUNCTION("COUNTA(RadiologistClinics!A2:A1000)-COUNTUNIQUE(RadiologistClinics!A2:A1000)"),0.0)</f>
        <v>0</v>
      </c>
    </row>
    <row r="11">
      <c r="A11" s="2" t="s">
        <v>14</v>
      </c>
      <c r="B11" s="4">
        <f>IFERROR(__xludf.DUMMYFUNCTION("COUNTA(ProcedureRules!A2:A1000)-COUNTUNIQUE(ProcedureRules!A2:A1000)"),0.0)</f>
        <v>0</v>
      </c>
    </row>
    <row r="12">
      <c r="A12" s="2" t="s">
        <v>16</v>
      </c>
      <c r="B12" s="4">
        <f>IFERROR(__xludf.DUMMYFUNCTION("COUNTA(ProcedureAliases!A2:A1000)-COUNTUNIQUE(ProcedureAliases!A2:A1000)"),0.0)</f>
        <v>0</v>
      </c>
    </row>
    <row r="13">
      <c r="A13" s="2" t="s">
        <v>17</v>
      </c>
      <c r="B13" s="4">
        <f>IFERROR(__xludf.DUMMYFUNCTION("COUNTA(ProcedureBillingCodes!A2:A1000)-COUNTUNIQUE(ProcedureBillingCodes!A2:A1000)"),0.0)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8" t="s">
        <v>8</v>
      </c>
      <c r="B1" s="8" t="s">
        <v>22</v>
      </c>
      <c r="C1" s="8" t="s">
        <v>24</v>
      </c>
      <c r="D1" s="8" t="s">
        <v>26</v>
      </c>
      <c r="E1" s="8" t="s">
        <v>29</v>
      </c>
      <c r="F1" s="8" t="s">
        <v>31</v>
      </c>
      <c r="G1" s="14" t="s">
        <v>30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ht="22.5" customHeight="1">
      <c r="A2" s="18">
        <v>1.0</v>
      </c>
      <c r="B2" s="18" t="s">
        <v>39</v>
      </c>
      <c r="C2" s="18" t="s">
        <v>41</v>
      </c>
      <c r="D2" s="18" t="s">
        <v>43</v>
      </c>
      <c r="E2" s="18" t="s">
        <v>45</v>
      </c>
      <c r="F2" s="18" t="s">
        <v>47</v>
      </c>
      <c r="G2" s="20" t="s">
        <v>46</v>
      </c>
    </row>
    <row r="3" ht="22.5" customHeight="1">
      <c r="A3" s="18">
        <v>2.0</v>
      </c>
      <c r="B3" s="18" t="s">
        <v>39</v>
      </c>
      <c r="C3" s="18" t="s">
        <v>50</v>
      </c>
      <c r="D3" s="18" t="s">
        <v>51</v>
      </c>
      <c r="E3" s="18" t="s">
        <v>45</v>
      </c>
      <c r="F3" s="18" t="s">
        <v>47</v>
      </c>
      <c r="G3" s="20" t="s">
        <v>46</v>
      </c>
    </row>
    <row r="4" ht="22.5" customHeight="1">
      <c r="A4" s="18">
        <v>3.0</v>
      </c>
      <c r="B4" s="18" t="s">
        <v>54</v>
      </c>
      <c r="C4" s="18" t="s">
        <v>55</v>
      </c>
      <c r="D4" s="18" t="s">
        <v>43</v>
      </c>
      <c r="E4" s="18" t="s">
        <v>45</v>
      </c>
      <c r="F4" s="18" t="s">
        <v>47</v>
      </c>
      <c r="G4" s="20" t="s">
        <v>46</v>
      </c>
    </row>
    <row r="5" ht="22.5" customHeight="1">
      <c r="A5" s="18">
        <v>4.0</v>
      </c>
      <c r="B5" s="18" t="s">
        <v>57</v>
      </c>
      <c r="C5" s="18" t="s">
        <v>58</v>
      </c>
      <c r="D5" s="18" t="s">
        <v>43</v>
      </c>
      <c r="E5" s="18" t="s">
        <v>61</v>
      </c>
      <c r="F5" s="18" t="s">
        <v>47</v>
      </c>
      <c r="G5" s="20" t="s">
        <v>46</v>
      </c>
    </row>
    <row r="6" ht="22.5" customHeight="1">
      <c r="A6" s="18">
        <v>5.0</v>
      </c>
      <c r="B6" s="18" t="s">
        <v>57</v>
      </c>
      <c r="C6" s="18" t="s">
        <v>62</v>
      </c>
      <c r="D6" s="18" t="s">
        <v>51</v>
      </c>
      <c r="E6" s="18" t="s">
        <v>61</v>
      </c>
      <c r="F6" s="18" t="s">
        <v>47</v>
      </c>
      <c r="G6" s="20" t="s">
        <v>46</v>
      </c>
    </row>
    <row r="7" ht="22.5" customHeight="1">
      <c r="A7" s="18">
        <v>6.0</v>
      </c>
      <c r="B7" s="18" t="s">
        <v>67</v>
      </c>
      <c r="C7" s="18" t="s">
        <v>68</v>
      </c>
      <c r="D7" s="18" t="s">
        <v>43</v>
      </c>
      <c r="E7" s="18" t="s">
        <v>67</v>
      </c>
      <c r="F7" s="18" t="s">
        <v>47</v>
      </c>
      <c r="G7" s="20" t="s">
        <v>46</v>
      </c>
    </row>
    <row r="8" ht="22.5" customHeight="1">
      <c r="A8" s="18">
        <v>7.0</v>
      </c>
      <c r="B8" s="18" t="s">
        <v>76</v>
      </c>
      <c r="C8" s="18" t="s">
        <v>78</v>
      </c>
      <c r="D8" s="18" t="s">
        <v>43</v>
      </c>
      <c r="E8" s="18" t="s">
        <v>80</v>
      </c>
      <c r="F8" s="18" t="s">
        <v>47</v>
      </c>
      <c r="G8" s="20" t="s">
        <v>46</v>
      </c>
    </row>
    <row r="9" ht="22.5" customHeight="1">
      <c r="A9" s="18">
        <v>8.0</v>
      </c>
      <c r="B9" s="18" t="s">
        <v>83</v>
      </c>
      <c r="C9" s="18" t="s">
        <v>86</v>
      </c>
      <c r="D9" s="18" t="s">
        <v>43</v>
      </c>
      <c r="E9" s="18" t="s">
        <v>80</v>
      </c>
      <c r="F9" s="18" t="s">
        <v>47</v>
      </c>
      <c r="G9" s="20" t="s">
        <v>46</v>
      </c>
    </row>
    <row r="10" ht="22.5" customHeight="1">
      <c r="A10" s="18">
        <v>9.0</v>
      </c>
      <c r="B10" s="18" t="s">
        <v>92</v>
      </c>
      <c r="C10" s="18" t="s">
        <v>93</v>
      </c>
      <c r="D10" s="18" t="s">
        <v>43</v>
      </c>
      <c r="E10" s="18" t="s">
        <v>96</v>
      </c>
      <c r="F10" s="18" t="s">
        <v>47</v>
      </c>
      <c r="G10" s="20" t="s">
        <v>46</v>
      </c>
    </row>
    <row r="11" ht="22.5" customHeight="1">
      <c r="A11" s="18">
        <v>10.0</v>
      </c>
      <c r="B11" s="18" t="s">
        <v>92</v>
      </c>
      <c r="C11" s="18" t="s">
        <v>99</v>
      </c>
      <c r="D11" s="18" t="s">
        <v>43</v>
      </c>
      <c r="E11" s="18" t="s">
        <v>96</v>
      </c>
      <c r="F11" s="18" t="s">
        <v>47</v>
      </c>
      <c r="G11" s="20" t="s">
        <v>46</v>
      </c>
    </row>
    <row r="12" ht="22.5" customHeight="1">
      <c r="A12" s="18">
        <v>11.0</v>
      </c>
      <c r="B12" s="18" t="s">
        <v>92</v>
      </c>
      <c r="C12" s="18" t="s">
        <v>102</v>
      </c>
      <c r="D12" s="18" t="s">
        <v>43</v>
      </c>
      <c r="E12" s="18" t="s">
        <v>96</v>
      </c>
      <c r="F12" s="18" t="s">
        <v>47</v>
      </c>
      <c r="G12" s="20" t="s">
        <v>46</v>
      </c>
    </row>
    <row r="13" ht="22.5" customHeight="1">
      <c r="A13" s="18">
        <v>12.0</v>
      </c>
      <c r="B13" s="18" t="s">
        <v>107</v>
      </c>
      <c r="C13" s="18" t="s">
        <v>107</v>
      </c>
      <c r="D13" s="18" t="s">
        <v>43</v>
      </c>
      <c r="E13" s="18" t="s">
        <v>96</v>
      </c>
      <c r="F13" s="18" t="s">
        <v>47</v>
      </c>
      <c r="G13" s="20" t="s">
        <v>46</v>
      </c>
    </row>
    <row r="14" ht="22.5" customHeight="1">
      <c r="A14" s="18">
        <v>13.0</v>
      </c>
      <c r="B14" s="18" t="s">
        <v>112</v>
      </c>
      <c r="C14" s="18" t="s">
        <v>113</v>
      </c>
      <c r="D14" s="18" t="s">
        <v>43</v>
      </c>
      <c r="E14" s="18" t="s">
        <v>115</v>
      </c>
      <c r="F14" s="18" t="s">
        <v>47</v>
      </c>
      <c r="G14" s="20" t="s">
        <v>46</v>
      </c>
    </row>
    <row r="15" ht="22.5" customHeight="1">
      <c r="A15" s="18">
        <v>14.0</v>
      </c>
      <c r="B15" s="18" t="s">
        <v>118</v>
      </c>
      <c r="C15" s="18" t="s">
        <v>120</v>
      </c>
      <c r="D15" s="18" t="s">
        <v>43</v>
      </c>
      <c r="E15" s="18" t="s">
        <v>115</v>
      </c>
      <c r="F15" s="18" t="s">
        <v>47</v>
      </c>
      <c r="G15" s="20" t="s">
        <v>46</v>
      </c>
    </row>
    <row r="16" ht="22.5" customHeight="1">
      <c r="A16" s="18">
        <v>15.0</v>
      </c>
      <c r="B16" s="18" t="s">
        <v>118</v>
      </c>
      <c r="C16" s="18" t="s">
        <v>124</v>
      </c>
      <c r="D16" s="18" t="s">
        <v>43</v>
      </c>
      <c r="E16" s="18" t="s">
        <v>115</v>
      </c>
      <c r="F16" s="18" t="s">
        <v>47</v>
      </c>
      <c r="G16" s="20" t="s">
        <v>46</v>
      </c>
    </row>
    <row r="17" ht="22.5" customHeight="1">
      <c r="A17" s="18">
        <v>16.0</v>
      </c>
      <c r="B17" s="18" t="s">
        <v>126</v>
      </c>
      <c r="C17" s="18" t="s">
        <v>128</v>
      </c>
      <c r="D17" s="18" t="s">
        <v>43</v>
      </c>
      <c r="E17" s="18" t="s">
        <v>129</v>
      </c>
      <c r="F17" s="18" t="s">
        <v>47</v>
      </c>
      <c r="G17" s="20" t="s">
        <v>46</v>
      </c>
    </row>
    <row r="18" ht="22.5" customHeight="1">
      <c r="A18" s="18">
        <v>17.0</v>
      </c>
      <c r="B18" s="18" t="s">
        <v>130</v>
      </c>
      <c r="C18" s="18" t="s">
        <v>131</v>
      </c>
      <c r="D18" s="18" t="s">
        <v>43</v>
      </c>
      <c r="E18" s="18" t="s">
        <v>129</v>
      </c>
      <c r="F18" s="18" t="s">
        <v>47</v>
      </c>
      <c r="G18" s="20" t="s">
        <v>46</v>
      </c>
    </row>
    <row r="19" ht="22.5" customHeight="1">
      <c r="A19" s="18">
        <v>18.0</v>
      </c>
      <c r="B19" s="18" t="s">
        <v>133</v>
      </c>
      <c r="C19" s="18" t="s">
        <v>134</v>
      </c>
      <c r="D19" s="18" t="s">
        <v>43</v>
      </c>
      <c r="E19" s="18" t="s">
        <v>136</v>
      </c>
      <c r="F19" s="18" t="s">
        <v>47</v>
      </c>
      <c r="G19" s="20" t="s">
        <v>46</v>
      </c>
    </row>
    <row r="20" ht="22.5" customHeight="1">
      <c r="A20" s="18">
        <v>19.0</v>
      </c>
      <c r="B20" s="18" t="s">
        <v>137</v>
      </c>
      <c r="C20" s="18" t="s">
        <v>138</v>
      </c>
      <c r="D20" s="18" t="s">
        <v>43</v>
      </c>
      <c r="E20" s="18" t="s">
        <v>136</v>
      </c>
      <c r="F20" s="18" t="s">
        <v>47</v>
      </c>
      <c r="G20" s="20" t="s">
        <v>46</v>
      </c>
    </row>
    <row r="21" ht="22.5" customHeight="1">
      <c r="A21" s="18">
        <v>20.0</v>
      </c>
      <c r="B21" s="18" t="s">
        <v>140</v>
      </c>
      <c r="C21" s="18" t="s">
        <v>141</v>
      </c>
      <c r="D21" s="18" t="s">
        <v>43</v>
      </c>
      <c r="E21" s="18" t="s">
        <v>45</v>
      </c>
      <c r="F21" s="18" t="s">
        <v>47</v>
      </c>
      <c r="G21" s="20" t="s">
        <v>46</v>
      </c>
    </row>
    <row r="22" ht="22.5" customHeight="1">
      <c r="A22" s="18">
        <v>21.0</v>
      </c>
      <c r="B22" s="18" t="s">
        <v>143</v>
      </c>
      <c r="C22" s="18" t="s">
        <v>144</v>
      </c>
      <c r="D22" s="18" t="s">
        <v>43</v>
      </c>
      <c r="E22" s="18" t="s">
        <v>45</v>
      </c>
      <c r="F22" s="18" t="s">
        <v>47</v>
      </c>
      <c r="G22" s="20" t="s">
        <v>46</v>
      </c>
    </row>
    <row r="23" ht="22.5" customHeight="1">
      <c r="A23" s="18">
        <v>22.0</v>
      </c>
      <c r="B23" s="18" t="s">
        <v>146</v>
      </c>
      <c r="C23" s="18" t="s">
        <v>147</v>
      </c>
      <c r="D23" s="18" t="s">
        <v>43</v>
      </c>
      <c r="E23" s="18" t="s">
        <v>61</v>
      </c>
      <c r="F23" s="18" t="s">
        <v>47</v>
      </c>
      <c r="G23" s="20" t="s">
        <v>46</v>
      </c>
    </row>
    <row r="24" ht="22.5" customHeight="1">
      <c r="A24" s="18">
        <v>23.0</v>
      </c>
      <c r="B24" s="18" t="s">
        <v>149</v>
      </c>
      <c r="C24" s="18" t="s">
        <v>150</v>
      </c>
      <c r="D24" s="18" t="s">
        <v>43</v>
      </c>
      <c r="E24" s="18" t="s">
        <v>67</v>
      </c>
      <c r="F24" s="18" t="s">
        <v>47</v>
      </c>
      <c r="G24" s="20" t="s">
        <v>46</v>
      </c>
    </row>
    <row r="25" ht="22.5" customHeight="1">
      <c r="A25" s="18">
        <v>24.0</v>
      </c>
      <c r="B25" s="18" t="s">
        <v>152</v>
      </c>
      <c r="C25" s="18" t="s">
        <v>153</v>
      </c>
      <c r="D25" s="18" t="s">
        <v>43</v>
      </c>
      <c r="E25" s="18" t="s">
        <v>67</v>
      </c>
      <c r="F25" s="18" t="s">
        <v>47</v>
      </c>
      <c r="G25" s="20" t="s">
        <v>46</v>
      </c>
    </row>
    <row r="26" ht="22.5" customHeight="1">
      <c r="A26" s="18">
        <v>25.0</v>
      </c>
      <c r="B26" s="18" t="s">
        <v>155</v>
      </c>
      <c r="C26" s="18" t="s">
        <v>156</v>
      </c>
      <c r="D26" s="18" t="s">
        <v>43</v>
      </c>
      <c r="E26" s="18" t="s">
        <v>67</v>
      </c>
      <c r="F26" s="18" t="s">
        <v>47</v>
      </c>
      <c r="G26" s="20" t="s">
        <v>46</v>
      </c>
    </row>
    <row r="27" ht="22.5" customHeight="1">
      <c r="A27" s="18">
        <v>26.0</v>
      </c>
      <c r="B27" s="18" t="s">
        <v>158</v>
      </c>
      <c r="C27" s="18" t="s">
        <v>159</v>
      </c>
      <c r="D27" s="18" t="s">
        <v>43</v>
      </c>
      <c r="E27" s="18" t="s">
        <v>80</v>
      </c>
      <c r="F27" s="18" t="s">
        <v>47</v>
      </c>
      <c r="G27" s="20" t="s">
        <v>46</v>
      </c>
    </row>
    <row r="28" ht="22.5" customHeight="1">
      <c r="A28" s="18">
        <v>27.0</v>
      </c>
      <c r="B28" s="18" t="s">
        <v>161</v>
      </c>
      <c r="C28" s="18" t="s">
        <v>162</v>
      </c>
      <c r="D28" s="18" t="s">
        <v>163</v>
      </c>
      <c r="E28" s="18" t="s">
        <v>96</v>
      </c>
      <c r="F28" s="18" t="s">
        <v>47</v>
      </c>
      <c r="G28" s="20" t="s">
        <v>46</v>
      </c>
    </row>
    <row r="29" ht="22.5" customHeight="1">
      <c r="A29" s="18">
        <v>28.0</v>
      </c>
      <c r="B29" s="18" t="s">
        <v>165</v>
      </c>
      <c r="C29" s="18" t="s">
        <v>166</v>
      </c>
      <c r="D29" s="18" t="s">
        <v>43</v>
      </c>
      <c r="E29" s="18" t="s">
        <v>96</v>
      </c>
      <c r="F29" s="18" t="s">
        <v>47</v>
      </c>
      <c r="G29" s="20" t="s">
        <v>46</v>
      </c>
    </row>
    <row r="30" ht="22.5" customHeight="1">
      <c r="A30" s="18">
        <v>29.0</v>
      </c>
      <c r="B30" s="18" t="s">
        <v>168</v>
      </c>
      <c r="C30" s="18" t="s">
        <v>169</v>
      </c>
      <c r="D30" s="18" t="s">
        <v>43</v>
      </c>
      <c r="E30" s="18" t="s">
        <v>115</v>
      </c>
      <c r="F30" s="18" t="s">
        <v>47</v>
      </c>
      <c r="G30" s="20" t="s">
        <v>46</v>
      </c>
    </row>
    <row r="31" ht="22.5" customHeight="1">
      <c r="A31" s="18">
        <v>30.0</v>
      </c>
      <c r="B31" s="18" t="s">
        <v>168</v>
      </c>
      <c r="C31" s="18" t="s">
        <v>170</v>
      </c>
      <c r="D31" s="18" t="s">
        <v>51</v>
      </c>
      <c r="E31" s="18" t="s">
        <v>115</v>
      </c>
      <c r="F31" s="18" t="s">
        <v>47</v>
      </c>
      <c r="G31" s="20" t="s">
        <v>46</v>
      </c>
    </row>
    <row r="32" ht="22.5" customHeight="1">
      <c r="A32" s="18">
        <v>31.0</v>
      </c>
      <c r="B32" s="18" t="s">
        <v>172</v>
      </c>
      <c r="C32" s="18" t="s">
        <v>173</v>
      </c>
      <c r="D32" s="18" t="s">
        <v>43</v>
      </c>
      <c r="E32" s="18" t="s">
        <v>175</v>
      </c>
      <c r="F32" s="18" t="s">
        <v>47</v>
      </c>
      <c r="G32" s="20" t="s">
        <v>46</v>
      </c>
    </row>
    <row r="33" ht="22.5" customHeight="1">
      <c r="A33" s="18">
        <v>32.0</v>
      </c>
      <c r="B33" s="18" t="s">
        <v>177</v>
      </c>
      <c r="C33" s="18" t="s">
        <v>178</v>
      </c>
      <c r="D33" s="18" t="s">
        <v>43</v>
      </c>
      <c r="E33" s="18" t="s">
        <v>175</v>
      </c>
      <c r="F33" s="18" t="s">
        <v>47</v>
      </c>
      <c r="G33" s="20" t="s">
        <v>46</v>
      </c>
    </row>
    <row r="34" ht="22.5" customHeight="1">
      <c r="A34" s="18">
        <v>33.0</v>
      </c>
      <c r="B34" s="18" t="s">
        <v>180</v>
      </c>
      <c r="C34" s="18" t="s">
        <v>182</v>
      </c>
      <c r="D34" s="18" t="s">
        <v>43</v>
      </c>
      <c r="E34" s="18" t="s">
        <v>129</v>
      </c>
      <c r="F34" s="18" t="s">
        <v>47</v>
      </c>
      <c r="G34" s="20" t="s">
        <v>46</v>
      </c>
    </row>
    <row r="35" ht="22.5" customHeight="1">
      <c r="A35" s="18">
        <v>34.0</v>
      </c>
      <c r="B35" s="18" t="s">
        <v>184</v>
      </c>
      <c r="C35" s="18" t="s">
        <v>185</v>
      </c>
      <c r="D35" s="18" t="s">
        <v>43</v>
      </c>
      <c r="E35" s="18" t="s">
        <v>45</v>
      </c>
      <c r="F35" s="18" t="s">
        <v>47</v>
      </c>
      <c r="G35" s="20" t="s">
        <v>46</v>
      </c>
    </row>
    <row r="36" ht="22.5" customHeight="1">
      <c r="A36" s="18">
        <v>35.0</v>
      </c>
      <c r="B36" s="18" t="s">
        <v>188</v>
      </c>
      <c r="C36" s="18" t="s">
        <v>189</v>
      </c>
      <c r="D36" s="18" t="s">
        <v>43</v>
      </c>
      <c r="E36" s="18" t="s">
        <v>67</v>
      </c>
      <c r="F36" s="18" t="s">
        <v>47</v>
      </c>
      <c r="G36" s="20" t="s">
        <v>46</v>
      </c>
    </row>
    <row r="37" ht="22.5" customHeight="1">
      <c r="A37" s="18">
        <v>36.0</v>
      </c>
      <c r="B37" s="18" t="s">
        <v>191</v>
      </c>
      <c r="C37" s="18" t="s">
        <v>193</v>
      </c>
      <c r="D37" s="18" t="s">
        <v>43</v>
      </c>
      <c r="E37" s="18" t="s">
        <v>45</v>
      </c>
      <c r="F37" s="18" t="s">
        <v>47</v>
      </c>
      <c r="G37" s="20" t="s">
        <v>46</v>
      </c>
    </row>
    <row r="38" ht="22.5" customHeight="1">
      <c r="A38" s="18">
        <v>37.0</v>
      </c>
      <c r="B38" s="18" t="s">
        <v>195</v>
      </c>
      <c r="C38" s="18" t="s">
        <v>196</v>
      </c>
      <c r="D38" s="18" t="s">
        <v>43</v>
      </c>
      <c r="E38" s="18" t="s">
        <v>61</v>
      </c>
      <c r="F38" s="18" t="s">
        <v>47</v>
      </c>
      <c r="G38" s="20" t="s">
        <v>46</v>
      </c>
    </row>
    <row r="39" ht="22.5" customHeight="1">
      <c r="A39" s="18">
        <v>38.0</v>
      </c>
      <c r="B39" s="18" t="s">
        <v>198</v>
      </c>
      <c r="C39" s="18" t="s">
        <v>200</v>
      </c>
      <c r="D39" s="18" t="s">
        <v>43</v>
      </c>
      <c r="E39" s="18" t="s">
        <v>96</v>
      </c>
      <c r="F39" s="18" t="s">
        <v>47</v>
      </c>
      <c r="G39" s="20" t="s">
        <v>46</v>
      </c>
    </row>
    <row r="40" ht="22.5" customHeight="1">
      <c r="A40" s="18">
        <v>39.0</v>
      </c>
      <c r="B40" s="18" t="s">
        <v>202</v>
      </c>
      <c r="C40" s="18" t="s">
        <v>203</v>
      </c>
      <c r="D40" s="18" t="s">
        <v>43</v>
      </c>
      <c r="E40" s="18" t="s">
        <v>204</v>
      </c>
      <c r="F40" s="18" t="s">
        <v>47</v>
      </c>
      <c r="G40" s="20" t="s">
        <v>46</v>
      </c>
    </row>
    <row r="41" ht="22.5" customHeight="1">
      <c r="A41" s="18">
        <v>40.0</v>
      </c>
      <c r="B41" s="18" t="s">
        <v>206</v>
      </c>
      <c r="C41" s="18" t="s">
        <v>207</v>
      </c>
      <c r="D41" s="18" t="s">
        <v>209</v>
      </c>
      <c r="E41" s="18" t="s">
        <v>136</v>
      </c>
      <c r="F41" s="18" t="s">
        <v>47</v>
      </c>
      <c r="G41" s="20" t="s">
        <v>46</v>
      </c>
    </row>
    <row r="42" ht="22.5" customHeight="1">
      <c r="A42" s="18">
        <v>41.0</v>
      </c>
      <c r="B42" s="18" t="s">
        <v>212</v>
      </c>
      <c r="C42" s="18" t="s">
        <v>213</v>
      </c>
      <c r="D42" s="18" t="s">
        <v>43</v>
      </c>
      <c r="E42" s="18" t="s">
        <v>212</v>
      </c>
      <c r="F42" s="18" t="s">
        <v>47</v>
      </c>
      <c r="G42" s="20" t="s">
        <v>46</v>
      </c>
    </row>
    <row r="43" ht="22.5" customHeight="1">
      <c r="A43" s="18">
        <v>42.0</v>
      </c>
      <c r="B43" s="18" t="s">
        <v>216</v>
      </c>
      <c r="C43" s="18" t="s">
        <v>217</v>
      </c>
      <c r="D43" s="18" t="s">
        <v>43</v>
      </c>
      <c r="E43" s="18" t="s">
        <v>218</v>
      </c>
      <c r="F43" s="18" t="s">
        <v>47</v>
      </c>
      <c r="G43" s="20" t="s">
        <v>46</v>
      </c>
    </row>
    <row r="44" ht="22.5" customHeight="1">
      <c r="A44" s="18">
        <v>43.0</v>
      </c>
      <c r="B44" s="18" t="s">
        <v>220</v>
      </c>
      <c r="C44" s="18" t="s">
        <v>221</v>
      </c>
      <c r="D44" s="18" t="s">
        <v>209</v>
      </c>
      <c r="E44" s="18" t="s">
        <v>204</v>
      </c>
      <c r="F44" s="18" t="s">
        <v>47</v>
      </c>
      <c r="G44" s="20" t="s">
        <v>46</v>
      </c>
    </row>
    <row r="45" ht="22.5" customHeight="1">
      <c r="A45" s="18">
        <v>44.0</v>
      </c>
      <c r="B45" s="18" t="s">
        <v>223</v>
      </c>
      <c r="C45" s="18" t="s">
        <v>224</v>
      </c>
      <c r="D45" s="18" t="s">
        <v>226</v>
      </c>
      <c r="E45" s="18" t="s">
        <v>227</v>
      </c>
      <c r="F45" s="18" t="s">
        <v>228</v>
      </c>
      <c r="G45" s="20" t="s">
        <v>46</v>
      </c>
    </row>
    <row r="46" ht="22.5" customHeight="1">
      <c r="A46" s="18">
        <v>45.0</v>
      </c>
      <c r="B46" s="18" t="s">
        <v>229</v>
      </c>
      <c r="C46" s="18" t="s">
        <v>230</v>
      </c>
      <c r="D46" s="18" t="s">
        <v>230</v>
      </c>
      <c r="E46" s="18" t="s">
        <v>231</v>
      </c>
      <c r="F46" s="18" t="s">
        <v>47</v>
      </c>
      <c r="G46" s="20" t="s">
        <v>46</v>
      </c>
    </row>
    <row r="47" ht="22.5" customHeight="1">
      <c r="A47" s="18">
        <v>46.0</v>
      </c>
      <c r="B47" s="18" t="s">
        <v>232</v>
      </c>
      <c r="C47" s="18" t="s">
        <v>234</v>
      </c>
      <c r="D47" s="18" t="s">
        <v>43</v>
      </c>
      <c r="E47" s="18" t="s">
        <v>235</v>
      </c>
      <c r="F47" s="18" t="s">
        <v>47</v>
      </c>
      <c r="G47" s="20" t="s">
        <v>46</v>
      </c>
    </row>
    <row r="48" ht="22.5" customHeight="1">
      <c r="A48" s="18">
        <v>47.0</v>
      </c>
      <c r="B48" s="18" t="s">
        <v>236</v>
      </c>
      <c r="C48" s="18" t="s">
        <v>238</v>
      </c>
      <c r="D48" s="18" t="s">
        <v>43</v>
      </c>
      <c r="E48" s="18" t="s">
        <v>235</v>
      </c>
      <c r="F48" s="18" t="s">
        <v>47</v>
      </c>
      <c r="G48" s="20" t="s">
        <v>46</v>
      </c>
    </row>
    <row r="49" ht="22.5" customHeight="1">
      <c r="A49" s="18">
        <v>48.0</v>
      </c>
      <c r="B49" s="18" t="s">
        <v>240</v>
      </c>
      <c r="C49" s="18" t="s">
        <v>241</v>
      </c>
      <c r="D49" s="18" t="s">
        <v>43</v>
      </c>
      <c r="E49" s="18" t="s">
        <v>235</v>
      </c>
      <c r="F49" s="18" t="s">
        <v>47</v>
      </c>
      <c r="G49" s="20" t="s">
        <v>46</v>
      </c>
    </row>
    <row r="50" ht="22.5" customHeight="1">
      <c r="A50" s="18">
        <v>49.0</v>
      </c>
      <c r="B50" s="18" t="s">
        <v>243</v>
      </c>
      <c r="C50" s="18" t="s">
        <v>244</v>
      </c>
      <c r="D50" s="18" t="s">
        <v>245</v>
      </c>
      <c r="E50" s="18" t="s">
        <v>235</v>
      </c>
      <c r="F50" s="18" t="s">
        <v>47</v>
      </c>
      <c r="G50" s="20" t="s">
        <v>46</v>
      </c>
    </row>
    <row r="51" ht="22.5" customHeight="1">
      <c r="A51" s="18">
        <v>50.0</v>
      </c>
      <c r="B51" s="18" t="s">
        <v>247</v>
      </c>
      <c r="C51" s="18" t="s">
        <v>248</v>
      </c>
      <c r="D51" s="18" t="s">
        <v>245</v>
      </c>
      <c r="E51" s="18" t="s">
        <v>235</v>
      </c>
      <c r="F51" s="18" t="s">
        <v>47</v>
      </c>
      <c r="G51" s="20" t="s">
        <v>46</v>
      </c>
    </row>
    <row r="52" ht="22.5" customHeight="1">
      <c r="A52" s="18">
        <v>51.0</v>
      </c>
      <c r="B52" s="18" t="s">
        <v>250</v>
      </c>
      <c r="C52" s="18" t="s">
        <v>251</v>
      </c>
      <c r="D52" s="18" t="s">
        <v>209</v>
      </c>
      <c r="E52" s="18" t="s">
        <v>235</v>
      </c>
      <c r="F52" s="18" t="s">
        <v>47</v>
      </c>
      <c r="G52" s="20" t="s">
        <v>46</v>
      </c>
    </row>
    <row r="53" ht="22.5" customHeight="1">
      <c r="A53" s="18">
        <v>52.0</v>
      </c>
      <c r="B53" s="18" t="s">
        <v>252</v>
      </c>
      <c r="C53" s="18" t="s">
        <v>253</v>
      </c>
      <c r="D53" s="18" t="s">
        <v>209</v>
      </c>
      <c r="E53" s="18" t="s">
        <v>235</v>
      </c>
      <c r="F53" s="18" t="s">
        <v>47</v>
      </c>
      <c r="G53" s="20" t="s">
        <v>46</v>
      </c>
    </row>
    <row r="54" ht="22.5" customHeight="1">
      <c r="A54" s="18">
        <v>53.0</v>
      </c>
      <c r="B54" s="18" t="s">
        <v>254</v>
      </c>
      <c r="C54" s="18" t="s">
        <v>255</v>
      </c>
      <c r="D54" s="18" t="s">
        <v>209</v>
      </c>
      <c r="E54" s="18" t="s">
        <v>204</v>
      </c>
      <c r="F54" s="18" t="s">
        <v>256</v>
      </c>
      <c r="G54" s="20" t="s">
        <v>46</v>
      </c>
    </row>
    <row r="55" ht="22.5" customHeight="1">
      <c r="A55" s="18">
        <v>54.0</v>
      </c>
      <c r="B55" s="18" t="s">
        <v>257</v>
      </c>
      <c r="C55" s="18" t="s">
        <v>258</v>
      </c>
      <c r="D55" s="18" t="s">
        <v>43</v>
      </c>
      <c r="E55" s="18" t="s">
        <v>259</v>
      </c>
      <c r="F55" s="18" t="s">
        <v>47</v>
      </c>
      <c r="G55" s="20" t="s">
        <v>46</v>
      </c>
    </row>
    <row r="56" ht="22.5" customHeight="1">
      <c r="A56" s="18">
        <v>55.0</v>
      </c>
      <c r="B56" s="18" t="s">
        <v>260</v>
      </c>
      <c r="C56" s="18" t="s">
        <v>261</v>
      </c>
      <c r="D56" s="18" t="s">
        <v>245</v>
      </c>
      <c r="E56" s="18" t="s">
        <v>259</v>
      </c>
      <c r="F56" s="18" t="s">
        <v>47</v>
      </c>
      <c r="G56" s="20" t="s">
        <v>46</v>
      </c>
    </row>
    <row r="57" ht="22.5" customHeight="1">
      <c r="A57" s="18">
        <v>56.0</v>
      </c>
      <c r="B57" s="18" t="s">
        <v>262</v>
      </c>
      <c r="C57" s="18" t="s">
        <v>262</v>
      </c>
      <c r="D57" s="18" t="s">
        <v>209</v>
      </c>
      <c r="E57" s="18" t="s">
        <v>263</v>
      </c>
      <c r="F57" s="18" t="s">
        <v>47</v>
      </c>
      <c r="G57" s="20" t="s">
        <v>46</v>
      </c>
    </row>
    <row r="58" ht="22.5" customHeight="1">
      <c r="A58" s="18">
        <v>57.0</v>
      </c>
      <c r="B58" s="18" t="s">
        <v>264</v>
      </c>
      <c r="C58" s="18" t="s">
        <v>265</v>
      </c>
      <c r="D58" s="18" t="s">
        <v>209</v>
      </c>
      <c r="E58" s="18" t="s">
        <v>136</v>
      </c>
      <c r="F58" s="18" t="s">
        <v>47</v>
      </c>
      <c r="G58" s="20" t="s">
        <v>46</v>
      </c>
    </row>
    <row r="59" ht="22.5" customHeight="1">
      <c r="A59" s="18">
        <v>58.0</v>
      </c>
      <c r="B59" s="18" t="s">
        <v>266</v>
      </c>
      <c r="C59" s="18" t="s">
        <v>267</v>
      </c>
      <c r="D59" s="18" t="s">
        <v>209</v>
      </c>
      <c r="E59" s="18" t="s">
        <v>136</v>
      </c>
      <c r="F59" s="18" t="s">
        <v>47</v>
      </c>
      <c r="G59" s="20" t="s">
        <v>46</v>
      </c>
    </row>
    <row r="60" ht="22.5" customHeight="1">
      <c r="A60" s="18">
        <v>59.0</v>
      </c>
      <c r="B60" s="18" t="s">
        <v>268</v>
      </c>
      <c r="C60" s="18" t="s">
        <v>269</v>
      </c>
      <c r="D60" s="18" t="s">
        <v>245</v>
      </c>
      <c r="E60" s="18" t="s">
        <v>136</v>
      </c>
      <c r="F60" s="18" t="s">
        <v>47</v>
      </c>
      <c r="G60" s="20" t="s">
        <v>46</v>
      </c>
    </row>
    <row r="61" ht="22.5" customHeight="1">
      <c r="A61" s="18">
        <v>60.0</v>
      </c>
      <c r="B61" s="18" t="s">
        <v>270</v>
      </c>
      <c r="C61" s="18" t="s">
        <v>271</v>
      </c>
      <c r="D61" s="18" t="s">
        <v>245</v>
      </c>
      <c r="E61" s="18" t="s">
        <v>136</v>
      </c>
      <c r="F61" s="18" t="s">
        <v>47</v>
      </c>
      <c r="G61" s="20" t="s">
        <v>46</v>
      </c>
    </row>
    <row r="62" ht="22.5" customHeight="1">
      <c r="A62" s="18">
        <v>61.0</v>
      </c>
      <c r="B62" s="18" t="s">
        <v>272</v>
      </c>
      <c r="C62" s="18" t="s">
        <v>273</v>
      </c>
      <c r="D62" s="18" t="s">
        <v>245</v>
      </c>
      <c r="E62" s="18" t="s">
        <v>136</v>
      </c>
      <c r="F62" s="18" t="s">
        <v>47</v>
      </c>
      <c r="G62" s="20" t="s">
        <v>46</v>
      </c>
    </row>
    <row r="63" ht="22.5" customHeight="1">
      <c r="A63" s="18">
        <v>62.0</v>
      </c>
      <c r="B63" s="18" t="s">
        <v>274</v>
      </c>
      <c r="C63" s="18" t="s">
        <v>274</v>
      </c>
      <c r="D63" s="18" t="s">
        <v>209</v>
      </c>
      <c r="E63" s="18" t="s">
        <v>275</v>
      </c>
      <c r="F63" s="18" t="s">
        <v>47</v>
      </c>
      <c r="G63" s="20" t="s">
        <v>46</v>
      </c>
    </row>
    <row r="64" ht="22.5" customHeight="1">
      <c r="A64" s="18">
        <v>63.0</v>
      </c>
      <c r="B64" s="18" t="s">
        <v>276</v>
      </c>
      <c r="C64" s="18" t="s">
        <v>277</v>
      </c>
      <c r="D64" s="18" t="s">
        <v>51</v>
      </c>
      <c r="E64" s="18" t="s">
        <v>61</v>
      </c>
      <c r="F64" s="18" t="s">
        <v>47</v>
      </c>
      <c r="G64" s="20" t="s">
        <v>46</v>
      </c>
    </row>
    <row r="65" ht="22.5" customHeight="1">
      <c r="A65" s="18">
        <v>64.0</v>
      </c>
      <c r="B65" s="18" t="s">
        <v>278</v>
      </c>
      <c r="C65" s="18" t="s">
        <v>279</v>
      </c>
      <c r="D65" s="18" t="s">
        <v>43</v>
      </c>
      <c r="E65" s="18" t="s">
        <v>175</v>
      </c>
      <c r="F65" s="18" t="s">
        <v>47</v>
      </c>
      <c r="G65" s="20" t="s">
        <v>46</v>
      </c>
    </row>
    <row r="66" ht="22.5" customHeight="1">
      <c r="A66" s="18">
        <v>65.0</v>
      </c>
      <c r="B66" s="18" t="s">
        <v>280</v>
      </c>
      <c r="C66" s="18" t="s">
        <v>281</v>
      </c>
      <c r="D66" s="18" t="s">
        <v>43</v>
      </c>
      <c r="E66" s="18" t="s">
        <v>61</v>
      </c>
      <c r="F66" s="18" t="s">
        <v>47</v>
      </c>
      <c r="G66" s="20" t="s">
        <v>46</v>
      </c>
    </row>
    <row r="67" ht="22.5" customHeight="1">
      <c r="A67" s="18">
        <v>66.0</v>
      </c>
      <c r="B67" s="18" t="s">
        <v>282</v>
      </c>
      <c r="C67" s="18" t="s">
        <v>283</v>
      </c>
      <c r="D67" s="18" t="s">
        <v>51</v>
      </c>
      <c r="E67" s="18" t="s">
        <v>175</v>
      </c>
      <c r="F67" s="18" t="s">
        <v>47</v>
      </c>
      <c r="G67" s="20" t="s">
        <v>46</v>
      </c>
    </row>
    <row r="68" ht="22.5" customHeight="1">
      <c r="A68" s="18">
        <v>67.0</v>
      </c>
      <c r="B68" s="18" t="s">
        <v>284</v>
      </c>
      <c r="C68" s="18" t="s">
        <v>285</v>
      </c>
      <c r="D68" s="18" t="s">
        <v>51</v>
      </c>
      <c r="E68" s="18" t="s">
        <v>227</v>
      </c>
      <c r="F68" s="18" t="s">
        <v>47</v>
      </c>
      <c r="G68" s="20" t="s">
        <v>46</v>
      </c>
    </row>
    <row r="69" ht="22.5" customHeight="1">
      <c r="A69" s="18">
        <v>68.0</v>
      </c>
      <c r="B69" s="18" t="s">
        <v>286</v>
      </c>
      <c r="C69" s="18" t="s">
        <v>287</v>
      </c>
      <c r="D69" s="18" t="s">
        <v>43</v>
      </c>
      <c r="E69" s="18" t="s">
        <v>45</v>
      </c>
      <c r="F69" s="18" t="s">
        <v>47</v>
      </c>
      <c r="G69" s="20" t="s">
        <v>46</v>
      </c>
    </row>
    <row r="70" ht="22.5" customHeight="1">
      <c r="A70" s="18">
        <v>69.0</v>
      </c>
      <c r="B70" s="18" t="s">
        <v>288</v>
      </c>
      <c r="C70" s="18" t="s">
        <v>289</v>
      </c>
      <c r="D70" s="18" t="s">
        <v>43</v>
      </c>
      <c r="E70" s="18" t="s">
        <v>45</v>
      </c>
      <c r="F70" s="18" t="s">
        <v>47</v>
      </c>
      <c r="G70" s="20" t="s">
        <v>46</v>
      </c>
    </row>
    <row r="71" ht="22.5" customHeight="1">
      <c r="A71" s="18">
        <v>70.0</v>
      </c>
      <c r="B71" s="18" t="s">
        <v>290</v>
      </c>
      <c r="C71" s="18" t="s">
        <v>291</v>
      </c>
      <c r="D71" s="18" t="s">
        <v>43</v>
      </c>
      <c r="E71" s="18" t="s">
        <v>80</v>
      </c>
      <c r="F71" s="18" t="s">
        <v>47</v>
      </c>
      <c r="G71" s="20" t="s">
        <v>46</v>
      </c>
    </row>
    <row r="72" ht="22.5" customHeight="1">
      <c r="A72" s="18">
        <v>71.0</v>
      </c>
      <c r="B72" s="18" t="s">
        <v>292</v>
      </c>
      <c r="C72" s="18" t="s">
        <v>293</v>
      </c>
      <c r="D72" s="18" t="s">
        <v>209</v>
      </c>
      <c r="E72" s="18" t="s">
        <v>45</v>
      </c>
      <c r="F72" s="18" t="s">
        <v>47</v>
      </c>
      <c r="G72" s="20" t="s">
        <v>46</v>
      </c>
    </row>
    <row r="73" ht="22.5" customHeight="1">
      <c r="A73" s="18">
        <v>72.0</v>
      </c>
      <c r="B73" s="18" t="s">
        <v>296</v>
      </c>
      <c r="C73" s="18" t="s">
        <v>298</v>
      </c>
      <c r="D73" s="18" t="s">
        <v>43</v>
      </c>
      <c r="E73" s="18" t="s">
        <v>300</v>
      </c>
      <c r="F73" s="18" t="s">
        <v>47</v>
      </c>
      <c r="G73" s="20" t="s">
        <v>46</v>
      </c>
    </row>
    <row r="74" ht="22.5" customHeight="1">
      <c r="A74" s="18">
        <v>73.0</v>
      </c>
      <c r="B74" s="18" t="s">
        <v>303</v>
      </c>
      <c r="C74" s="18" t="s">
        <v>5</v>
      </c>
      <c r="D74" s="18" t="s">
        <v>209</v>
      </c>
      <c r="E74" s="18" t="s">
        <v>300</v>
      </c>
      <c r="F74" s="18" t="s">
        <v>47</v>
      </c>
      <c r="G74" s="20" t="s">
        <v>46</v>
      </c>
    </row>
    <row r="75" ht="22.5" customHeight="1">
      <c r="A75" s="18">
        <v>74.0</v>
      </c>
      <c r="B75" s="18" t="s">
        <v>307</v>
      </c>
      <c r="C75" s="18" t="s">
        <v>308</v>
      </c>
      <c r="D75" s="18" t="s">
        <v>43</v>
      </c>
      <c r="E75" s="18" t="s">
        <v>80</v>
      </c>
      <c r="F75" s="18" t="s">
        <v>47</v>
      </c>
      <c r="G75" s="20" t="s">
        <v>46</v>
      </c>
    </row>
    <row r="76" ht="22.5" customHeight="1">
      <c r="A76" s="18">
        <v>75.0</v>
      </c>
      <c r="B76" s="18" t="s">
        <v>312</v>
      </c>
      <c r="C76" s="18" t="s">
        <v>313</v>
      </c>
      <c r="D76" s="18" t="s">
        <v>314</v>
      </c>
      <c r="E76" s="18" t="s">
        <v>227</v>
      </c>
      <c r="F76" s="18" t="s">
        <v>47</v>
      </c>
      <c r="G76" s="20" t="s">
        <v>46</v>
      </c>
    </row>
    <row r="77" ht="22.5" customHeight="1">
      <c r="A77" s="18">
        <v>76.0</v>
      </c>
      <c r="B77" s="18" t="s">
        <v>317</v>
      </c>
      <c r="C77" s="18" t="s">
        <v>318</v>
      </c>
      <c r="D77" s="18" t="s">
        <v>43</v>
      </c>
      <c r="E77" s="18" t="s">
        <v>67</v>
      </c>
      <c r="F77" s="18" t="s">
        <v>47</v>
      </c>
      <c r="G77" s="20" t="s">
        <v>46</v>
      </c>
    </row>
    <row r="78" ht="22.5" customHeight="1">
      <c r="A78" s="18">
        <v>77.0</v>
      </c>
      <c r="B78" s="18" t="s">
        <v>320</v>
      </c>
      <c r="C78" s="18" t="s">
        <v>321</v>
      </c>
      <c r="D78" s="18" t="s">
        <v>43</v>
      </c>
      <c r="E78" s="18" t="s">
        <v>80</v>
      </c>
      <c r="F78" s="18" t="s">
        <v>47</v>
      </c>
      <c r="G78" s="20" t="s">
        <v>46</v>
      </c>
    </row>
    <row r="79" ht="22.5" customHeight="1">
      <c r="A79" s="18">
        <v>78.0</v>
      </c>
      <c r="B79" s="18" t="s">
        <v>323</v>
      </c>
      <c r="C79" s="18" t="s">
        <v>324</v>
      </c>
      <c r="D79" s="18" t="s">
        <v>43</v>
      </c>
      <c r="E79" s="18" t="s">
        <v>80</v>
      </c>
      <c r="F79" s="18" t="s">
        <v>47</v>
      </c>
      <c r="G79" s="20" t="s">
        <v>46</v>
      </c>
    </row>
    <row r="80" ht="22.5" customHeight="1">
      <c r="A80" s="18">
        <v>79.0</v>
      </c>
      <c r="B80" s="18" t="s">
        <v>327</v>
      </c>
      <c r="C80" s="18" t="s">
        <v>328</v>
      </c>
      <c r="D80" s="18" t="s">
        <v>43</v>
      </c>
      <c r="E80" s="18" t="s">
        <v>45</v>
      </c>
      <c r="F80" s="18" t="s">
        <v>47</v>
      </c>
      <c r="G80" s="20" t="s">
        <v>46</v>
      </c>
    </row>
    <row r="81" ht="22.5" customHeight="1">
      <c r="A81" s="18">
        <v>80.0</v>
      </c>
      <c r="B81" s="18" t="s">
        <v>331</v>
      </c>
      <c r="C81" s="18" t="s">
        <v>332</v>
      </c>
      <c r="D81" s="18" t="s">
        <v>43</v>
      </c>
      <c r="E81" s="18" t="s">
        <v>67</v>
      </c>
      <c r="F81" s="18" t="s">
        <v>47</v>
      </c>
      <c r="G81" s="20" t="s">
        <v>46</v>
      </c>
    </row>
    <row r="82" ht="22.5" customHeight="1">
      <c r="A82" s="18">
        <v>81.0</v>
      </c>
      <c r="B82" s="18" t="s">
        <v>335</v>
      </c>
      <c r="C82" s="18" t="s">
        <v>336</v>
      </c>
      <c r="D82" s="18" t="s">
        <v>226</v>
      </c>
      <c r="E82" s="18" t="s">
        <v>67</v>
      </c>
      <c r="F82" s="18" t="s">
        <v>228</v>
      </c>
      <c r="G82" s="20" t="s">
        <v>46</v>
      </c>
    </row>
    <row r="83" ht="22.5" customHeight="1">
      <c r="A83" s="18">
        <v>82.0</v>
      </c>
      <c r="B83" s="18" t="s">
        <v>339</v>
      </c>
      <c r="C83" s="18" t="s">
        <v>340</v>
      </c>
      <c r="D83" s="18" t="s">
        <v>341</v>
      </c>
      <c r="E83" s="18" t="s">
        <v>96</v>
      </c>
      <c r="F83" s="18" t="s">
        <v>47</v>
      </c>
      <c r="G83" s="20" t="s">
        <v>46</v>
      </c>
    </row>
    <row r="84" ht="22.5" customHeight="1">
      <c r="A84" s="18">
        <v>83.0</v>
      </c>
      <c r="B84" s="18" t="s">
        <v>343</v>
      </c>
      <c r="C84" s="18" t="s">
        <v>345</v>
      </c>
      <c r="D84" s="18" t="s">
        <v>43</v>
      </c>
      <c r="E84" s="18" t="s">
        <v>115</v>
      </c>
      <c r="F84" s="18" t="s">
        <v>47</v>
      </c>
      <c r="G84" s="20" t="s">
        <v>46</v>
      </c>
    </row>
    <row r="85" ht="22.5" customHeight="1">
      <c r="A85" s="18">
        <v>84.0</v>
      </c>
      <c r="B85" s="18" t="s">
        <v>347</v>
      </c>
      <c r="C85" s="18" t="s">
        <v>348</v>
      </c>
      <c r="D85" s="18" t="s">
        <v>43</v>
      </c>
      <c r="E85" s="18" t="s">
        <v>175</v>
      </c>
      <c r="F85" s="18" t="s">
        <v>47</v>
      </c>
      <c r="G85" s="20" t="s">
        <v>46</v>
      </c>
    </row>
    <row r="86" ht="22.5" customHeight="1">
      <c r="A86" s="18">
        <v>85.0</v>
      </c>
      <c r="B86" s="18" t="s">
        <v>350</v>
      </c>
      <c r="C86" s="18" t="s">
        <v>352</v>
      </c>
      <c r="D86" s="18" t="s">
        <v>209</v>
      </c>
      <c r="E86" s="18" t="s">
        <v>354</v>
      </c>
      <c r="F86" s="18" t="s">
        <v>47</v>
      </c>
      <c r="G86" s="20" t="s">
        <v>46</v>
      </c>
    </row>
    <row r="87" ht="22.5" customHeight="1">
      <c r="A87" s="18">
        <v>86.0</v>
      </c>
      <c r="B87" s="18" t="s">
        <v>355</v>
      </c>
      <c r="C87" s="18" t="s">
        <v>357</v>
      </c>
      <c r="D87" s="18" t="s">
        <v>209</v>
      </c>
      <c r="E87" s="18" t="s">
        <v>45</v>
      </c>
      <c r="F87" s="18" t="s">
        <v>256</v>
      </c>
      <c r="G87" s="20" t="s">
        <v>46</v>
      </c>
    </row>
    <row r="88" ht="22.5" customHeight="1">
      <c r="A88" s="18">
        <v>87.0</v>
      </c>
      <c r="B88" s="18" t="s">
        <v>359</v>
      </c>
      <c r="C88" s="18" t="s">
        <v>360</v>
      </c>
      <c r="D88" s="18" t="s">
        <v>43</v>
      </c>
      <c r="E88" s="18" t="s">
        <v>129</v>
      </c>
      <c r="F88" s="18" t="s">
        <v>256</v>
      </c>
      <c r="G88" s="20" t="s">
        <v>46</v>
      </c>
    </row>
    <row r="89" ht="22.5" customHeight="1">
      <c r="A89" s="18">
        <v>88.0</v>
      </c>
      <c r="B89" s="18" t="s">
        <v>363</v>
      </c>
      <c r="C89" s="18" t="s">
        <v>365</v>
      </c>
      <c r="D89" s="18" t="s">
        <v>209</v>
      </c>
      <c r="E89" s="18" t="s">
        <v>136</v>
      </c>
      <c r="F89" s="18" t="s">
        <v>256</v>
      </c>
      <c r="G89" s="20" t="s">
        <v>46</v>
      </c>
    </row>
    <row r="90" ht="22.5" customHeight="1">
      <c r="A90" s="18">
        <v>89.0</v>
      </c>
      <c r="B90" s="18" t="s">
        <v>367</v>
      </c>
      <c r="C90" s="18" t="s">
        <v>368</v>
      </c>
      <c r="D90" s="18" t="s">
        <v>209</v>
      </c>
      <c r="E90" s="18" t="s">
        <v>136</v>
      </c>
      <c r="F90" s="18" t="s">
        <v>256</v>
      </c>
      <c r="G90" s="20" t="s">
        <v>46</v>
      </c>
    </row>
    <row r="91" ht="22.5" customHeight="1">
      <c r="A91" s="18">
        <v>90.0</v>
      </c>
      <c r="B91" s="18" t="s">
        <v>371</v>
      </c>
      <c r="C91" s="18" t="s">
        <v>371</v>
      </c>
      <c r="D91" s="18" t="s">
        <v>209</v>
      </c>
      <c r="E91" s="18" t="s">
        <v>96</v>
      </c>
      <c r="F91" s="18" t="s">
        <v>47</v>
      </c>
      <c r="G91" s="20" t="s">
        <v>46</v>
      </c>
    </row>
    <row r="92" ht="22.5" customHeight="1">
      <c r="A92" s="18">
        <v>91.0</v>
      </c>
      <c r="B92" s="18" t="s">
        <v>374</v>
      </c>
      <c r="C92" s="18" t="s">
        <v>375</v>
      </c>
      <c r="D92" s="18" t="s">
        <v>209</v>
      </c>
      <c r="E92" s="18" t="s">
        <v>235</v>
      </c>
      <c r="F92" s="18" t="s">
        <v>256</v>
      </c>
      <c r="G92" s="20" t="s">
        <v>46</v>
      </c>
    </row>
    <row r="93" ht="22.5" customHeight="1">
      <c r="A93" s="18">
        <v>92.0</v>
      </c>
      <c r="B93" s="18" t="s">
        <v>378</v>
      </c>
      <c r="C93" s="18" t="s">
        <v>379</v>
      </c>
      <c r="D93" s="18" t="s">
        <v>209</v>
      </c>
      <c r="E93" s="18" t="s">
        <v>259</v>
      </c>
      <c r="F93" s="18" t="s">
        <v>256</v>
      </c>
      <c r="G93" s="20" t="s">
        <v>46</v>
      </c>
    </row>
    <row r="94" ht="22.5" customHeight="1">
      <c r="A94" s="18">
        <v>93.0</v>
      </c>
      <c r="B94" s="18" t="s">
        <v>382</v>
      </c>
      <c r="C94" s="18" t="s">
        <v>383</v>
      </c>
      <c r="D94" s="18" t="s">
        <v>384</v>
      </c>
      <c r="E94" s="18" t="s">
        <v>385</v>
      </c>
      <c r="F94" s="18" t="s">
        <v>256</v>
      </c>
      <c r="G94" s="20" t="s">
        <v>46</v>
      </c>
    </row>
    <row r="95" ht="22.5" customHeight="1">
      <c r="A95" s="18">
        <v>94.0</v>
      </c>
      <c r="B95" s="18" t="s">
        <v>388</v>
      </c>
      <c r="C95" s="18" t="s">
        <v>389</v>
      </c>
      <c r="D95" s="18" t="s">
        <v>389</v>
      </c>
      <c r="E95" s="18" t="s">
        <v>385</v>
      </c>
      <c r="F95" s="18" t="s">
        <v>256</v>
      </c>
      <c r="G95" s="20" t="s">
        <v>46</v>
      </c>
    </row>
    <row r="96" ht="22.5" customHeight="1">
      <c r="A96" s="18">
        <v>95.0</v>
      </c>
      <c r="B96" s="18" t="s">
        <v>392</v>
      </c>
      <c r="C96" s="18" t="s">
        <v>393</v>
      </c>
      <c r="D96" s="18" t="s">
        <v>384</v>
      </c>
      <c r="E96" s="18" t="s">
        <v>227</v>
      </c>
      <c r="F96" s="18" t="s">
        <v>256</v>
      </c>
      <c r="G96" s="20" t="s">
        <v>46</v>
      </c>
    </row>
    <row r="97" ht="22.5" customHeight="1">
      <c r="A97" s="18">
        <v>96.0</v>
      </c>
      <c r="B97" s="18" t="s">
        <v>395</v>
      </c>
      <c r="C97" s="18" t="s">
        <v>397</v>
      </c>
      <c r="D97" s="18" t="s">
        <v>384</v>
      </c>
      <c r="E97" s="18" t="s">
        <v>398</v>
      </c>
      <c r="F97" s="18" t="s">
        <v>256</v>
      </c>
      <c r="G97" s="20" t="s">
        <v>46</v>
      </c>
    </row>
    <row r="98" ht="22.5" customHeight="1">
      <c r="A98" s="18">
        <v>97.0</v>
      </c>
      <c r="B98" s="18" t="s">
        <v>399</v>
      </c>
      <c r="C98" s="18" t="s">
        <v>401</v>
      </c>
      <c r="D98" s="18" t="s">
        <v>384</v>
      </c>
      <c r="E98" s="18" t="s">
        <v>385</v>
      </c>
      <c r="F98" s="18" t="s">
        <v>256</v>
      </c>
      <c r="G98" s="20" t="s">
        <v>46</v>
      </c>
    </row>
    <row r="99" ht="22.5" customHeight="1">
      <c r="A99" s="18">
        <v>98.0</v>
      </c>
      <c r="B99" s="18" t="s">
        <v>405</v>
      </c>
      <c r="C99" s="18" t="s">
        <v>406</v>
      </c>
      <c r="D99" s="18" t="s">
        <v>384</v>
      </c>
      <c r="E99" s="18" t="s">
        <v>227</v>
      </c>
      <c r="F99" s="18" t="s">
        <v>256</v>
      </c>
      <c r="G99" s="20" t="s">
        <v>46</v>
      </c>
    </row>
    <row r="100" ht="22.5" customHeight="1">
      <c r="A100" s="18">
        <v>99.0</v>
      </c>
      <c r="B100" s="18" t="s">
        <v>412</v>
      </c>
      <c r="C100" s="18" t="s">
        <v>413</v>
      </c>
      <c r="D100" s="18" t="s">
        <v>384</v>
      </c>
      <c r="E100" s="18" t="s">
        <v>414</v>
      </c>
      <c r="F100" s="18" t="s">
        <v>256</v>
      </c>
      <c r="G100" s="20" t="s">
        <v>46</v>
      </c>
    </row>
    <row r="101" ht="22.5" customHeight="1">
      <c r="A101" s="18">
        <v>100.0</v>
      </c>
      <c r="B101" s="18" t="s">
        <v>417</v>
      </c>
      <c r="C101" s="18" t="s">
        <v>419</v>
      </c>
      <c r="D101" s="18" t="s">
        <v>384</v>
      </c>
      <c r="E101" s="18" t="s">
        <v>421</v>
      </c>
      <c r="F101" s="18" t="s">
        <v>256</v>
      </c>
      <c r="G101" s="20" t="s">
        <v>46</v>
      </c>
    </row>
    <row r="102" ht="22.5" customHeight="1">
      <c r="A102" s="18">
        <v>101.0</v>
      </c>
      <c r="B102" s="18" t="s">
        <v>423</v>
      </c>
      <c r="C102" s="18" t="s">
        <v>425</v>
      </c>
      <c r="D102" s="18" t="s">
        <v>384</v>
      </c>
      <c r="E102" s="18" t="s">
        <v>427</v>
      </c>
      <c r="F102" s="18" t="s">
        <v>256</v>
      </c>
      <c r="G102" s="20" t="s">
        <v>46</v>
      </c>
    </row>
    <row r="103" ht="22.5" customHeight="1">
      <c r="A103" s="18">
        <v>102.0</v>
      </c>
      <c r="B103" s="18" t="s">
        <v>429</v>
      </c>
      <c r="C103" s="18" t="s">
        <v>431</v>
      </c>
      <c r="D103" s="18" t="s">
        <v>384</v>
      </c>
      <c r="E103" s="18" t="s">
        <v>432</v>
      </c>
      <c r="F103" s="18" t="s">
        <v>256</v>
      </c>
      <c r="G103" s="20" t="s">
        <v>46</v>
      </c>
    </row>
    <row r="104" ht="22.5" customHeight="1">
      <c r="A104" s="18">
        <v>103.0</v>
      </c>
      <c r="B104" s="18" t="s">
        <v>435</v>
      </c>
      <c r="C104" s="18" t="s">
        <v>438</v>
      </c>
      <c r="D104" s="18" t="s">
        <v>209</v>
      </c>
      <c r="E104" s="18" t="s">
        <v>61</v>
      </c>
      <c r="F104" s="18" t="s">
        <v>256</v>
      </c>
      <c r="G104" s="20" t="s">
        <v>46</v>
      </c>
    </row>
    <row r="105" ht="22.5" customHeight="1">
      <c r="A105" s="18">
        <v>104.0</v>
      </c>
      <c r="B105" s="18" t="s">
        <v>435</v>
      </c>
      <c r="C105" s="18" t="s">
        <v>441</v>
      </c>
      <c r="D105" s="18" t="s">
        <v>443</v>
      </c>
      <c r="E105" s="18" t="s">
        <v>61</v>
      </c>
      <c r="F105" s="18" t="s">
        <v>256</v>
      </c>
      <c r="G105" s="20" t="s">
        <v>46</v>
      </c>
    </row>
    <row r="106" ht="22.5" customHeight="1">
      <c r="A106" s="18">
        <v>105.0</v>
      </c>
      <c r="B106" s="18" t="s">
        <v>446</v>
      </c>
      <c r="C106" s="18" t="s">
        <v>447</v>
      </c>
      <c r="D106" s="18" t="s">
        <v>443</v>
      </c>
      <c r="E106" s="18" t="s">
        <v>259</v>
      </c>
      <c r="F106" s="18" t="s">
        <v>256</v>
      </c>
      <c r="G106" s="20" t="s">
        <v>46</v>
      </c>
    </row>
    <row r="107" ht="22.5" customHeight="1">
      <c r="A107" s="18">
        <v>106.0</v>
      </c>
      <c r="B107" s="18" t="s">
        <v>450</v>
      </c>
      <c r="C107" s="18" t="s">
        <v>451</v>
      </c>
      <c r="D107" s="18" t="s">
        <v>443</v>
      </c>
      <c r="E107" s="18" t="s">
        <v>235</v>
      </c>
      <c r="F107" s="18" t="s">
        <v>256</v>
      </c>
      <c r="G107" s="20" t="s">
        <v>46</v>
      </c>
    </row>
    <row r="108" ht="22.5" customHeight="1">
      <c r="A108" s="18">
        <v>107.0</v>
      </c>
      <c r="B108" s="18" t="s">
        <v>456</v>
      </c>
      <c r="C108" s="18" t="s">
        <v>457</v>
      </c>
      <c r="D108" s="18" t="s">
        <v>443</v>
      </c>
      <c r="E108" s="18" t="s">
        <v>136</v>
      </c>
      <c r="F108" s="18" t="s">
        <v>256</v>
      </c>
      <c r="G108" s="20" t="s">
        <v>46</v>
      </c>
    </row>
    <row r="109" ht="22.5" customHeight="1">
      <c r="A109" s="18">
        <v>108.0</v>
      </c>
      <c r="B109" s="18" t="s">
        <v>459</v>
      </c>
      <c r="C109" s="18" t="s">
        <v>461</v>
      </c>
      <c r="D109" s="18" t="s">
        <v>443</v>
      </c>
      <c r="E109" s="18" t="s">
        <v>136</v>
      </c>
      <c r="F109" s="18" t="s">
        <v>256</v>
      </c>
      <c r="G109" s="20" t="s">
        <v>46</v>
      </c>
    </row>
    <row r="110" ht="22.5" customHeight="1">
      <c r="A110" s="18">
        <v>109.0</v>
      </c>
      <c r="B110" s="18" t="s">
        <v>463</v>
      </c>
      <c r="C110" s="18" t="s">
        <v>465</v>
      </c>
      <c r="D110" s="18" t="s">
        <v>467</v>
      </c>
      <c r="E110" s="18" t="s">
        <v>175</v>
      </c>
      <c r="F110" s="18" t="s">
        <v>468</v>
      </c>
      <c r="G110" s="20" t="s">
        <v>46</v>
      </c>
    </row>
    <row r="111" ht="22.5" customHeight="1">
      <c r="A111" s="18">
        <v>110.0</v>
      </c>
      <c r="B111" s="18" t="s">
        <v>469</v>
      </c>
      <c r="C111" s="18" t="s">
        <v>471</v>
      </c>
      <c r="D111" s="18" t="s">
        <v>467</v>
      </c>
      <c r="E111" s="18" t="s">
        <v>96</v>
      </c>
      <c r="F111" s="18" t="s">
        <v>47</v>
      </c>
      <c r="G111" s="20" t="s">
        <v>46</v>
      </c>
    </row>
    <row r="112" ht="22.5" customHeight="1">
      <c r="A112" s="18">
        <v>111.0</v>
      </c>
      <c r="B112" s="18" t="s">
        <v>474</v>
      </c>
      <c r="C112" s="18" t="s">
        <v>475</v>
      </c>
      <c r="D112" s="18" t="s">
        <v>43</v>
      </c>
      <c r="E112" s="18" t="s">
        <v>61</v>
      </c>
      <c r="F112" s="18" t="s">
        <v>47</v>
      </c>
      <c r="G112" s="20" t="s">
        <v>46</v>
      </c>
    </row>
    <row r="113" ht="22.5" customHeight="1">
      <c r="A113" s="18">
        <v>112.0</v>
      </c>
      <c r="B113" s="18" t="s">
        <v>477</v>
      </c>
      <c r="C113" s="18" t="s">
        <v>479</v>
      </c>
      <c r="D113" s="18" t="s">
        <v>43</v>
      </c>
      <c r="E113" s="18" t="s">
        <v>204</v>
      </c>
      <c r="F113" s="18" t="s">
        <v>256</v>
      </c>
      <c r="G113" s="20" t="s">
        <v>46</v>
      </c>
    </row>
    <row r="114" ht="22.5" customHeight="1">
      <c r="A114" s="18">
        <v>113.0</v>
      </c>
      <c r="B114" s="18" t="s">
        <v>482</v>
      </c>
      <c r="C114" s="18" t="s">
        <v>483</v>
      </c>
      <c r="D114" s="18" t="s">
        <v>43</v>
      </c>
      <c r="E114" s="18" t="s">
        <v>204</v>
      </c>
      <c r="F114" s="18" t="s">
        <v>256</v>
      </c>
      <c r="G114" s="20" t="s">
        <v>46</v>
      </c>
    </row>
    <row r="115" ht="22.5" customHeight="1">
      <c r="A115" s="18">
        <v>114.0</v>
      </c>
      <c r="B115" s="18" t="s">
        <v>485</v>
      </c>
      <c r="C115" s="18" t="s">
        <v>486</v>
      </c>
      <c r="D115" s="18" t="s">
        <v>43</v>
      </c>
      <c r="E115" s="18" t="s">
        <v>45</v>
      </c>
      <c r="F115" s="18" t="s">
        <v>256</v>
      </c>
      <c r="G115" s="20" t="s">
        <v>46</v>
      </c>
    </row>
    <row r="116" ht="22.5" customHeight="1">
      <c r="A116" s="18">
        <v>115.0</v>
      </c>
      <c r="B116" s="18" t="s">
        <v>489</v>
      </c>
      <c r="C116" s="18" t="s">
        <v>489</v>
      </c>
      <c r="D116" s="18" t="s">
        <v>51</v>
      </c>
      <c r="E116" s="18" t="s">
        <v>227</v>
      </c>
      <c r="F116" s="18" t="s">
        <v>47</v>
      </c>
      <c r="G116" s="20" t="s">
        <v>46</v>
      </c>
    </row>
    <row r="117" ht="22.5" customHeight="1">
      <c r="A117" s="23">
        <v>116.0</v>
      </c>
      <c r="B117" s="23" t="s">
        <v>492</v>
      </c>
      <c r="C117" s="23" t="s">
        <v>493</v>
      </c>
      <c r="D117" s="23" t="s">
        <v>493</v>
      </c>
      <c r="E117" s="23" t="s">
        <v>227</v>
      </c>
      <c r="F117" s="18" t="s">
        <v>256</v>
      </c>
      <c r="G117" s="20" t="s">
        <v>46</v>
      </c>
    </row>
    <row r="118" ht="22.5" customHeight="1">
      <c r="A118" s="23">
        <v>117.0</v>
      </c>
      <c r="B118" s="23" t="s">
        <v>496</v>
      </c>
      <c r="C118" s="23" t="s">
        <v>497</v>
      </c>
      <c r="D118" s="23" t="s">
        <v>43</v>
      </c>
      <c r="E118" s="23" t="s">
        <v>227</v>
      </c>
      <c r="F118" s="23" t="s">
        <v>47</v>
      </c>
      <c r="G118" s="20" t="s">
        <v>46</v>
      </c>
    </row>
    <row r="119" ht="22.5" customHeight="1">
      <c r="A119" s="23">
        <v>118.0</v>
      </c>
      <c r="B119" s="23" t="s">
        <v>500</v>
      </c>
      <c r="C119" s="23" t="s">
        <v>501</v>
      </c>
      <c r="D119" s="23" t="s">
        <v>43</v>
      </c>
      <c r="E119" s="23" t="s">
        <v>227</v>
      </c>
      <c r="F119" s="23" t="s">
        <v>47</v>
      </c>
      <c r="G119" s="20" t="s">
        <v>46</v>
      </c>
    </row>
    <row r="120" ht="22.5" customHeight="1">
      <c r="A120" s="23">
        <v>119.0</v>
      </c>
      <c r="B120" s="23" t="s">
        <v>504</v>
      </c>
      <c r="C120" s="23" t="s">
        <v>505</v>
      </c>
      <c r="D120" s="23" t="s">
        <v>245</v>
      </c>
      <c r="E120" s="23" t="s">
        <v>231</v>
      </c>
      <c r="F120" s="18" t="s">
        <v>256</v>
      </c>
      <c r="G120" s="20" t="s">
        <v>46</v>
      </c>
    </row>
    <row r="121">
      <c r="G121" s="22"/>
    </row>
    <row r="122">
      <c r="G122" s="22"/>
    </row>
    <row r="123">
      <c r="G123" s="22"/>
    </row>
    <row r="124">
      <c r="G124" s="22"/>
    </row>
    <row r="125">
      <c r="G125" s="22"/>
    </row>
    <row r="126">
      <c r="G126" s="22"/>
    </row>
    <row r="127">
      <c r="G127" s="22"/>
    </row>
    <row r="128">
      <c r="G128" s="22"/>
    </row>
    <row r="129">
      <c r="G129" s="22"/>
    </row>
    <row r="130">
      <c r="G130" s="22"/>
    </row>
    <row r="131">
      <c r="G131" s="22"/>
    </row>
    <row r="132">
      <c r="G132" s="22"/>
    </row>
    <row r="133">
      <c r="G133" s="22"/>
    </row>
    <row r="134">
      <c r="G134" s="22"/>
    </row>
    <row r="135">
      <c r="G135" s="22"/>
    </row>
    <row r="136">
      <c r="G136" s="22"/>
    </row>
    <row r="137">
      <c r="G137" s="22"/>
    </row>
    <row r="138">
      <c r="G138" s="22"/>
    </row>
    <row r="139">
      <c r="G139" s="22"/>
    </row>
    <row r="140">
      <c r="G140" s="22"/>
    </row>
    <row r="141">
      <c r="G141" s="22"/>
    </row>
    <row r="142">
      <c r="G142" s="22"/>
    </row>
    <row r="143">
      <c r="G143" s="22"/>
    </row>
    <row r="144">
      <c r="G144" s="22"/>
    </row>
    <row r="145">
      <c r="G145" s="22"/>
    </row>
    <row r="146">
      <c r="G146" s="22"/>
    </row>
    <row r="147">
      <c r="G147" s="22"/>
    </row>
    <row r="148">
      <c r="G148" s="22"/>
    </row>
    <row r="149">
      <c r="G149" s="22"/>
    </row>
    <row r="150">
      <c r="G150" s="22"/>
    </row>
    <row r="151">
      <c r="G151" s="22"/>
    </row>
    <row r="152">
      <c r="G152" s="22"/>
    </row>
    <row r="153">
      <c r="G153" s="22"/>
    </row>
    <row r="154">
      <c r="G154" s="22"/>
    </row>
    <row r="155">
      <c r="G155" s="22"/>
    </row>
    <row r="156">
      <c r="G156" s="22"/>
    </row>
    <row r="157">
      <c r="G157" s="22"/>
    </row>
    <row r="158">
      <c r="G158" s="22"/>
    </row>
    <row r="159">
      <c r="G159" s="22"/>
    </row>
    <row r="160">
      <c r="G160" s="22"/>
    </row>
    <row r="161">
      <c r="G161" s="22"/>
    </row>
    <row r="162">
      <c r="G162" s="22"/>
    </row>
    <row r="163">
      <c r="G163" s="22"/>
    </row>
    <row r="164">
      <c r="G164" s="22"/>
    </row>
    <row r="165">
      <c r="G165" s="22"/>
    </row>
    <row r="166">
      <c r="G166" s="22"/>
    </row>
    <row r="167">
      <c r="G167" s="22"/>
    </row>
    <row r="168">
      <c r="G168" s="22"/>
    </row>
    <row r="169">
      <c r="G169" s="22"/>
    </row>
    <row r="170">
      <c r="G170" s="22"/>
    </row>
    <row r="171">
      <c r="G171" s="22"/>
    </row>
    <row r="172">
      <c r="G172" s="22"/>
    </row>
    <row r="173">
      <c r="G173" s="22"/>
    </row>
    <row r="174">
      <c r="G174" s="22"/>
    </row>
    <row r="175">
      <c r="G175" s="22"/>
    </row>
    <row r="176">
      <c r="G176" s="22"/>
    </row>
    <row r="177">
      <c r="G177" s="22"/>
    </row>
    <row r="178">
      <c r="G178" s="22"/>
    </row>
    <row r="179">
      <c r="G179" s="22"/>
    </row>
    <row r="180">
      <c r="G180" s="22"/>
    </row>
    <row r="181">
      <c r="G181" s="22"/>
    </row>
    <row r="182">
      <c r="G182" s="22"/>
    </row>
    <row r="183">
      <c r="G183" s="22"/>
    </row>
    <row r="184">
      <c r="G184" s="22"/>
    </row>
    <row r="185">
      <c r="G185" s="22"/>
    </row>
    <row r="186">
      <c r="G186" s="22"/>
    </row>
    <row r="187">
      <c r="G187" s="22"/>
    </row>
    <row r="188">
      <c r="G188" s="22"/>
    </row>
    <row r="189">
      <c r="G189" s="22"/>
    </row>
    <row r="190">
      <c r="G190" s="22"/>
    </row>
    <row r="191">
      <c r="G191" s="22"/>
    </row>
    <row r="192">
      <c r="G192" s="22"/>
    </row>
    <row r="193">
      <c r="G193" s="22"/>
    </row>
    <row r="194">
      <c r="G194" s="22"/>
    </row>
    <row r="195">
      <c r="G195" s="22"/>
    </row>
    <row r="196">
      <c r="G196" s="22"/>
    </row>
    <row r="197">
      <c r="G197" s="22"/>
    </row>
    <row r="198">
      <c r="G198" s="22"/>
    </row>
    <row r="199">
      <c r="G199" s="22"/>
    </row>
    <row r="200">
      <c r="G200" s="22"/>
    </row>
    <row r="201">
      <c r="G201" s="22"/>
    </row>
    <row r="202">
      <c r="G202" s="22"/>
    </row>
    <row r="203">
      <c r="G203" s="22"/>
    </row>
    <row r="204">
      <c r="G204" s="22"/>
    </row>
    <row r="205">
      <c r="G205" s="22"/>
    </row>
    <row r="206">
      <c r="G206" s="22"/>
    </row>
    <row r="207">
      <c r="G207" s="22"/>
    </row>
    <row r="208">
      <c r="G208" s="22"/>
    </row>
    <row r="209">
      <c r="G209" s="22"/>
    </row>
    <row r="210">
      <c r="G210" s="22"/>
    </row>
    <row r="211">
      <c r="G211" s="22"/>
    </row>
    <row r="212">
      <c r="G212" s="22"/>
    </row>
    <row r="213">
      <c r="G213" s="22"/>
    </row>
    <row r="214">
      <c r="G214" s="22"/>
    </row>
    <row r="215">
      <c r="G215" s="22"/>
    </row>
    <row r="216">
      <c r="G216" s="22"/>
    </row>
    <row r="217">
      <c r="G217" s="22"/>
    </row>
    <row r="218">
      <c r="G218" s="22"/>
    </row>
    <row r="219">
      <c r="G219" s="22"/>
    </row>
    <row r="220">
      <c r="G220" s="22"/>
    </row>
    <row r="221">
      <c r="G221" s="22"/>
    </row>
    <row r="222">
      <c r="G222" s="22"/>
    </row>
    <row r="223">
      <c r="G223" s="22"/>
    </row>
    <row r="224">
      <c r="G224" s="22"/>
    </row>
    <row r="225">
      <c r="G225" s="22"/>
    </row>
    <row r="226">
      <c r="G226" s="22"/>
    </row>
    <row r="227">
      <c r="G227" s="22"/>
    </row>
    <row r="228">
      <c r="G228" s="22"/>
    </row>
    <row r="229">
      <c r="G229" s="22"/>
    </row>
    <row r="230">
      <c r="G230" s="22"/>
    </row>
    <row r="231">
      <c r="G231" s="22"/>
    </row>
    <row r="232">
      <c r="G232" s="22"/>
    </row>
    <row r="233">
      <c r="G233" s="22"/>
    </row>
    <row r="234">
      <c r="G234" s="22"/>
    </row>
    <row r="235">
      <c r="G235" s="22"/>
    </row>
    <row r="236">
      <c r="G236" s="22"/>
    </row>
    <row r="237">
      <c r="G237" s="22"/>
    </row>
    <row r="238">
      <c r="G238" s="22"/>
    </row>
    <row r="239">
      <c r="G239" s="22"/>
    </row>
    <row r="240">
      <c r="G240" s="22"/>
    </row>
    <row r="241">
      <c r="G241" s="22"/>
    </row>
    <row r="242">
      <c r="G242" s="22"/>
    </row>
    <row r="243">
      <c r="G243" s="22"/>
    </row>
    <row r="244">
      <c r="G244" s="22"/>
    </row>
    <row r="245">
      <c r="G245" s="22"/>
    </row>
    <row r="246">
      <c r="G246" s="22"/>
    </row>
    <row r="247">
      <c r="G247" s="22"/>
    </row>
    <row r="248">
      <c r="G248" s="22"/>
    </row>
    <row r="249">
      <c r="G249" s="22"/>
    </row>
    <row r="250">
      <c r="G250" s="22"/>
    </row>
    <row r="251">
      <c r="G251" s="22"/>
    </row>
    <row r="252">
      <c r="G252" s="22"/>
    </row>
    <row r="253">
      <c r="G253" s="22"/>
    </row>
    <row r="254">
      <c r="G254" s="22"/>
    </row>
    <row r="255">
      <c r="G255" s="22"/>
    </row>
    <row r="256">
      <c r="G256" s="22"/>
    </row>
    <row r="257">
      <c r="G257" s="22"/>
    </row>
    <row r="258">
      <c r="G258" s="22"/>
    </row>
    <row r="259">
      <c r="G259" s="22"/>
    </row>
    <row r="260">
      <c r="G260" s="22"/>
    </row>
    <row r="261">
      <c r="G261" s="22"/>
    </row>
    <row r="262">
      <c r="G262" s="22"/>
    </row>
    <row r="263">
      <c r="G263" s="22"/>
    </row>
    <row r="264">
      <c r="G264" s="22"/>
    </row>
    <row r="265">
      <c r="G265" s="22"/>
    </row>
    <row r="266">
      <c r="G266" s="22"/>
    </row>
    <row r="267">
      <c r="G267" s="22"/>
    </row>
    <row r="268">
      <c r="G268" s="22"/>
    </row>
    <row r="269">
      <c r="G269" s="22"/>
    </row>
    <row r="270">
      <c r="G270" s="22"/>
    </row>
    <row r="271">
      <c r="G271" s="22"/>
    </row>
    <row r="272">
      <c r="G272" s="22"/>
    </row>
    <row r="273">
      <c r="G273" s="22"/>
    </row>
    <row r="274">
      <c r="G274" s="22"/>
    </row>
    <row r="275">
      <c r="G275" s="22"/>
    </row>
    <row r="276">
      <c r="G276" s="22"/>
    </row>
    <row r="277">
      <c r="G277" s="22"/>
    </row>
    <row r="278">
      <c r="G278" s="22"/>
    </row>
    <row r="279">
      <c r="G279" s="22"/>
    </row>
    <row r="280">
      <c r="G280" s="22"/>
    </row>
    <row r="281">
      <c r="G281" s="22"/>
    </row>
    <row r="282">
      <c r="G282" s="22"/>
    </row>
    <row r="283">
      <c r="G283" s="22"/>
    </row>
    <row r="284">
      <c r="G284" s="22"/>
    </row>
    <row r="285">
      <c r="G285" s="22"/>
    </row>
    <row r="286">
      <c r="G286" s="22"/>
    </row>
    <row r="287">
      <c r="G287" s="22"/>
    </row>
    <row r="288">
      <c r="G288" s="22"/>
    </row>
    <row r="289">
      <c r="G289" s="22"/>
    </row>
    <row r="290">
      <c r="G290" s="22"/>
    </row>
    <row r="291">
      <c r="G291" s="22"/>
    </row>
    <row r="292">
      <c r="G292" s="22"/>
    </row>
    <row r="293">
      <c r="G293" s="22"/>
    </row>
    <row r="294">
      <c r="G294" s="22"/>
    </row>
    <row r="295">
      <c r="G295" s="22"/>
    </row>
    <row r="296">
      <c r="G296" s="22"/>
    </row>
    <row r="297">
      <c r="G297" s="22"/>
    </row>
    <row r="298">
      <c r="G298" s="22"/>
    </row>
    <row r="299">
      <c r="G299" s="22"/>
    </row>
    <row r="300">
      <c r="G300" s="22"/>
    </row>
    <row r="301">
      <c r="G301" s="22"/>
    </row>
    <row r="302">
      <c r="G302" s="22"/>
    </row>
    <row r="303">
      <c r="G303" s="22"/>
    </row>
    <row r="304">
      <c r="G304" s="22"/>
    </row>
    <row r="305">
      <c r="G305" s="22"/>
    </row>
    <row r="306">
      <c r="G306" s="22"/>
    </row>
    <row r="307">
      <c r="G307" s="22"/>
    </row>
    <row r="308">
      <c r="G308" s="22"/>
    </row>
    <row r="309">
      <c r="G309" s="22"/>
    </row>
    <row r="310">
      <c r="G310" s="22"/>
    </row>
    <row r="311">
      <c r="G311" s="22"/>
    </row>
    <row r="312">
      <c r="G312" s="22"/>
    </row>
    <row r="313">
      <c r="G313" s="22"/>
    </row>
    <row r="314">
      <c r="G314" s="22"/>
    </row>
    <row r="315">
      <c r="G315" s="22"/>
    </row>
    <row r="316">
      <c r="G316" s="22"/>
    </row>
    <row r="317">
      <c r="G317" s="22"/>
    </row>
    <row r="318">
      <c r="G318" s="22"/>
    </row>
    <row r="319">
      <c r="G319" s="22"/>
    </row>
    <row r="320">
      <c r="G320" s="22"/>
    </row>
    <row r="321">
      <c r="G321" s="22"/>
    </row>
    <row r="322">
      <c r="G322" s="22"/>
    </row>
    <row r="323">
      <c r="G323" s="22"/>
    </row>
    <row r="324">
      <c r="G324" s="22"/>
    </row>
    <row r="325">
      <c r="G325" s="22"/>
    </row>
    <row r="326">
      <c r="G326" s="22"/>
    </row>
    <row r="327">
      <c r="G327" s="22"/>
    </row>
    <row r="328">
      <c r="G328" s="22"/>
    </row>
    <row r="329">
      <c r="G329" s="22"/>
    </row>
    <row r="330">
      <c r="G330" s="22"/>
    </row>
    <row r="331">
      <c r="G331" s="22"/>
    </row>
    <row r="332">
      <c r="G332" s="22"/>
    </row>
    <row r="333">
      <c r="G333" s="22"/>
    </row>
    <row r="334">
      <c r="G334" s="22"/>
    </row>
    <row r="335">
      <c r="G335" s="22"/>
    </row>
    <row r="336">
      <c r="G336" s="22"/>
    </row>
    <row r="337">
      <c r="G337" s="22"/>
    </row>
    <row r="338">
      <c r="G338" s="22"/>
    </row>
    <row r="339">
      <c r="G339" s="22"/>
    </row>
    <row r="340">
      <c r="G340" s="22"/>
    </row>
    <row r="341">
      <c r="G341" s="22"/>
    </row>
    <row r="342">
      <c r="G342" s="22"/>
    </row>
    <row r="343">
      <c r="G343" s="22"/>
    </row>
    <row r="344">
      <c r="G344" s="22"/>
    </row>
    <row r="345">
      <c r="G345" s="22"/>
    </row>
    <row r="346">
      <c r="G346" s="22"/>
    </row>
    <row r="347">
      <c r="G347" s="22"/>
    </row>
    <row r="348">
      <c r="G348" s="22"/>
    </row>
    <row r="349">
      <c r="G349" s="22"/>
    </row>
    <row r="350">
      <c r="G350" s="22"/>
    </row>
    <row r="351">
      <c r="G351" s="22"/>
    </row>
    <row r="352">
      <c r="G352" s="22"/>
    </row>
    <row r="353">
      <c r="G353" s="22"/>
    </row>
    <row r="354">
      <c r="G354" s="22"/>
    </row>
    <row r="355">
      <c r="G355" s="22"/>
    </row>
    <row r="356">
      <c r="G356" s="22"/>
    </row>
    <row r="357">
      <c r="G357" s="22"/>
    </row>
    <row r="358">
      <c r="G358" s="22"/>
    </row>
    <row r="359">
      <c r="G359" s="22"/>
    </row>
    <row r="360">
      <c r="G360" s="22"/>
    </row>
    <row r="361">
      <c r="G361" s="22"/>
    </row>
    <row r="362">
      <c r="G362" s="22"/>
    </row>
    <row r="363">
      <c r="G363" s="22"/>
    </row>
    <row r="364">
      <c r="G364" s="22"/>
    </row>
    <row r="365">
      <c r="G365" s="22"/>
    </row>
    <row r="366">
      <c r="G366" s="22"/>
    </row>
    <row r="367">
      <c r="G367" s="22"/>
    </row>
    <row r="368">
      <c r="G368" s="22"/>
    </row>
    <row r="369">
      <c r="G369" s="22"/>
    </row>
    <row r="370">
      <c r="G370" s="22"/>
    </row>
    <row r="371">
      <c r="G371" s="22"/>
    </row>
    <row r="372">
      <c r="G372" s="22"/>
    </row>
    <row r="373">
      <c r="G373" s="22"/>
    </row>
    <row r="374">
      <c r="G374" s="22"/>
    </row>
    <row r="375">
      <c r="G375" s="22"/>
    </row>
    <row r="376">
      <c r="G376" s="22"/>
    </row>
    <row r="377">
      <c r="G377" s="22"/>
    </row>
    <row r="378">
      <c r="G378" s="22"/>
    </row>
    <row r="379">
      <c r="G379" s="22"/>
    </row>
    <row r="380">
      <c r="G380" s="22"/>
    </row>
    <row r="381">
      <c r="G381" s="22"/>
    </row>
    <row r="382">
      <c r="G382" s="22"/>
    </row>
    <row r="383">
      <c r="G383" s="22"/>
    </row>
    <row r="384">
      <c r="G384" s="22"/>
    </row>
    <row r="385">
      <c r="G385" s="22"/>
    </row>
    <row r="386">
      <c r="G386" s="22"/>
    </row>
    <row r="387">
      <c r="G387" s="22"/>
    </row>
    <row r="388">
      <c r="G388" s="22"/>
    </row>
    <row r="389">
      <c r="G389" s="22"/>
    </row>
    <row r="390">
      <c r="G390" s="22"/>
    </row>
    <row r="391">
      <c r="G391" s="22"/>
    </row>
    <row r="392">
      <c r="G392" s="22"/>
    </row>
    <row r="393">
      <c r="G393" s="22"/>
    </row>
    <row r="394">
      <c r="G394" s="22"/>
    </row>
    <row r="395">
      <c r="G395" s="22"/>
    </row>
    <row r="396">
      <c r="G396" s="22"/>
    </row>
    <row r="397">
      <c r="G397" s="22"/>
    </row>
    <row r="398">
      <c r="G398" s="22"/>
    </row>
    <row r="399">
      <c r="G399" s="22"/>
    </row>
    <row r="400">
      <c r="G400" s="22"/>
    </row>
    <row r="401">
      <c r="G401" s="22"/>
    </row>
    <row r="402">
      <c r="G402" s="22"/>
    </row>
    <row r="403">
      <c r="G403" s="22"/>
    </row>
    <row r="404">
      <c r="G404" s="22"/>
    </row>
    <row r="405">
      <c r="G405" s="22"/>
    </row>
    <row r="406">
      <c r="G406" s="22"/>
    </row>
    <row r="407">
      <c r="G407" s="22"/>
    </row>
    <row r="408">
      <c r="G408" s="22"/>
    </row>
    <row r="409">
      <c r="G409" s="22"/>
    </row>
    <row r="410">
      <c r="G410" s="22"/>
    </row>
    <row r="411">
      <c r="G411" s="22"/>
    </row>
    <row r="412">
      <c r="G412" s="22"/>
    </row>
    <row r="413">
      <c r="G413" s="22"/>
    </row>
    <row r="414">
      <c r="G414" s="22"/>
    </row>
    <row r="415">
      <c r="G415" s="22"/>
    </row>
    <row r="416">
      <c r="G416" s="22"/>
    </row>
    <row r="417">
      <c r="G417" s="22"/>
    </row>
    <row r="418">
      <c r="G418" s="22"/>
    </row>
    <row r="419">
      <c r="G419" s="22"/>
    </row>
    <row r="420">
      <c r="G420" s="22"/>
    </row>
    <row r="421">
      <c r="G421" s="22"/>
    </row>
    <row r="422">
      <c r="G422" s="22"/>
    </row>
    <row r="423">
      <c r="G423" s="22"/>
    </row>
    <row r="424">
      <c r="G424" s="22"/>
    </row>
    <row r="425">
      <c r="G425" s="22"/>
    </row>
    <row r="426">
      <c r="G426" s="22"/>
    </row>
    <row r="427">
      <c r="G427" s="22"/>
    </row>
    <row r="428">
      <c r="G428" s="22"/>
    </row>
    <row r="429">
      <c r="G429" s="22"/>
    </row>
    <row r="430">
      <c r="G430" s="22"/>
    </row>
    <row r="431">
      <c r="G431" s="22"/>
    </row>
    <row r="432">
      <c r="G432" s="22"/>
    </row>
    <row r="433">
      <c r="G433" s="22"/>
    </row>
    <row r="434">
      <c r="G434" s="22"/>
    </row>
    <row r="435">
      <c r="G435" s="22"/>
    </row>
    <row r="436">
      <c r="G436" s="22"/>
    </row>
    <row r="437">
      <c r="G437" s="22"/>
    </row>
    <row r="438">
      <c r="G438" s="22"/>
    </row>
    <row r="439">
      <c r="G439" s="22"/>
    </row>
    <row r="440">
      <c r="G440" s="22"/>
    </row>
    <row r="441">
      <c r="G441" s="22"/>
    </row>
    <row r="442">
      <c r="G442" s="22"/>
    </row>
    <row r="443">
      <c r="G443" s="22"/>
    </row>
    <row r="444">
      <c r="G444" s="22"/>
    </row>
    <row r="445">
      <c r="G445" s="22"/>
    </row>
    <row r="446">
      <c r="G446" s="22"/>
    </row>
    <row r="447">
      <c r="G447" s="22"/>
    </row>
    <row r="448">
      <c r="G448" s="22"/>
    </row>
    <row r="449">
      <c r="G449" s="22"/>
    </row>
    <row r="450">
      <c r="G450" s="22"/>
    </row>
    <row r="451">
      <c r="G451" s="22"/>
    </row>
    <row r="452">
      <c r="G452" s="22"/>
    </row>
    <row r="453">
      <c r="G453" s="22"/>
    </row>
    <row r="454">
      <c r="G454" s="22"/>
    </row>
    <row r="455">
      <c r="G455" s="22"/>
    </row>
    <row r="456">
      <c r="G456" s="22"/>
    </row>
    <row r="457">
      <c r="G457" s="22"/>
    </row>
    <row r="458">
      <c r="G458" s="22"/>
    </row>
    <row r="459">
      <c r="G459" s="22"/>
    </row>
    <row r="460">
      <c r="G460" s="22"/>
    </row>
    <row r="461">
      <c r="G461" s="22"/>
    </row>
    <row r="462">
      <c r="G462" s="22"/>
    </row>
    <row r="463">
      <c r="G463" s="22"/>
    </row>
    <row r="464">
      <c r="G464" s="22"/>
    </row>
    <row r="465">
      <c r="G465" s="22"/>
    </row>
    <row r="466">
      <c r="G466" s="22"/>
    </row>
    <row r="467">
      <c r="G467" s="22"/>
    </row>
    <row r="468">
      <c r="G468" s="22"/>
    </row>
    <row r="469">
      <c r="G469" s="22"/>
    </row>
    <row r="470">
      <c r="G470" s="22"/>
    </row>
    <row r="471">
      <c r="G471" s="22"/>
    </row>
    <row r="472">
      <c r="G472" s="22"/>
    </row>
    <row r="473">
      <c r="G473" s="22"/>
    </row>
    <row r="474">
      <c r="G474" s="22"/>
    </row>
    <row r="475">
      <c r="G475" s="22"/>
    </row>
    <row r="476">
      <c r="G476" s="22"/>
    </row>
    <row r="477">
      <c r="G477" s="22"/>
    </row>
    <row r="478">
      <c r="G478" s="22"/>
    </row>
    <row r="479">
      <c r="G479" s="22"/>
    </row>
    <row r="480">
      <c r="G480" s="22"/>
    </row>
    <row r="481">
      <c r="G481" s="22"/>
    </row>
    <row r="482">
      <c r="G482" s="22"/>
    </row>
    <row r="483">
      <c r="G483" s="22"/>
    </row>
    <row r="484">
      <c r="G484" s="22"/>
    </row>
    <row r="485">
      <c r="G485" s="22"/>
    </row>
    <row r="486">
      <c r="G486" s="22"/>
    </row>
    <row r="487">
      <c r="G487" s="22"/>
    </row>
    <row r="488">
      <c r="G488" s="22"/>
    </row>
    <row r="489">
      <c r="G489" s="22"/>
    </row>
    <row r="490">
      <c r="G490" s="22"/>
    </row>
    <row r="491">
      <c r="G491" s="22"/>
    </row>
    <row r="492">
      <c r="G492" s="22"/>
    </row>
    <row r="493">
      <c r="G493" s="22"/>
    </row>
    <row r="494">
      <c r="G494" s="22"/>
    </row>
    <row r="495">
      <c r="G495" s="22"/>
    </row>
    <row r="496">
      <c r="G496" s="22"/>
    </row>
    <row r="497">
      <c r="G497" s="22"/>
    </row>
    <row r="498">
      <c r="G498" s="22"/>
    </row>
    <row r="499">
      <c r="G499" s="22"/>
    </row>
    <row r="500">
      <c r="G500" s="22"/>
    </row>
    <row r="501">
      <c r="G501" s="22"/>
    </row>
    <row r="502">
      <c r="G502" s="22"/>
    </row>
    <row r="503">
      <c r="G503" s="22"/>
    </row>
    <row r="504">
      <c r="G504" s="22"/>
    </row>
    <row r="505">
      <c r="G505" s="22"/>
    </row>
    <row r="506">
      <c r="G506" s="22"/>
    </row>
    <row r="507">
      <c r="G507" s="22"/>
    </row>
    <row r="508">
      <c r="G508" s="22"/>
    </row>
    <row r="509">
      <c r="G509" s="22"/>
    </row>
    <row r="510">
      <c r="G510" s="22"/>
    </row>
    <row r="511">
      <c r="G511" s="22"/>
    </row>
    <row r="512">
      <c r="G512" s="22"/>
    </row>
    <row r="513">
      <c r="G513" s="22"/>
    </row>
    <row r="514">
      <c r="G514" s="22"/>
    </row>
    <row r="515">
      <c r="G515" s="22"/>
    </row>
    <row r="516">
      <c r="G516" s="22"/>
    </row>
    <row r="517">
      <c r="G517" s="22"/>
    </row>
    <row r="518">
      <c r="G518" s="22"/>
    </row>
    <row r="519">
      <c r="G519" s="22"/>
    </row>
    <row r="520">
      <c r="G520" s="22"/>
    </row>
    <row r="521">
      <c r="G521" s="22"/>
    </row>
    <row r="522">
      <c r="G522" s="22"/>
    </row>
    <row r="523">
      <c r="G523" s="22"/>
    </row>
    <row r="524">
      <c r="G524" s="22"/>
    </row>
    <row r="525">
      <c r="G525" s="22"/>
    </row>
    <row r="526">
      <c r="G526" s="22"/>
    </row>
    <row r="527">
      <c r="G527" s="22"/>
    </row>
    <row r="528">
      <c r="G528" s="22"/>
    </row>
    <row r="529">
      <c r="G529" s="22"/>
    </row>
    <row r="530">
      <c r="G530" s="22"/>
    </row>
    <row r="531">
      <c r="G531" s="22"/>
    </row>
    <row r="532">
      <c r="G532" s="22"/>
    </row>
    <row r="533">
      <c r="G533" s="22"/>
    </row>
    <row r="534">
      <c r="G534" s="22"/>
    </row>
    <row r="535">
      <c r="G535" s="22"/>
    </row>
    <row r="536">
      <c r="G536" s="22"/>
    </row>
    <row r="537">
      <c r="G537" s="22"/>
    </row>
    <row r="538">
      <c r="G538" s="22"/>
    </row>
    <row r="539">
      <c r="G539" s="22"/>
    </row>
    <row r="540">
      <c r="G540" s="22"/>
    </row>
    <row r="541">
      <c r="G541" s="22"/>
    </row>
    <row r="542">
      <c r="G542" s="22"/>
    </row>
    <row r="543">
      <c r="G543" s="22"/>
    </row>
    <row r="544">
      <c r="G544" s="22"/>
    </row>
    <row r="545">
      <c r="G545" s="22"/>
    </row>
    <row r="546">
      <c r="G546" s="22"/>
    </row>
    <row r="547">
      <c r="G547" s="22"/>
    </row>
    <row r="548">
      <c r="G548" s="22"/>
    </row>
    <row r="549">
      <c r="G549" s="22"/>
    </row>
    <row r="550">
      <c r="G550" s="22"/>
    </row>
    <row r="551">
      <c r="G551" s="22"/>
    </row>
    <row r="552">
      <c r="G552" s="22"/>
    </row>
    <row r="553">
      <c r="G553" s="22"/>
    </row>
    <row r="554">
      <c r="G554" s="22"/>
    </row>
    <row r="555">
      <c r="G555" s="22"/>
    </row>
    <row r="556">
      <c r="G556" s="22"/>
    </row>
    <row r="557">
      <c r="G557" s="22"/>
    </row>
    <row r="558">
      <c r="G558" s="22"/>
    </row>
    <row r="559">
      <c r="G559" s="22"/>
    </row>
    <row r="560">
      <c r="G560" s="22"/>
    </row>
    <row r="561">
      <c r="G561" s="22"/>
    </row>
    <row r="562">
      <c r="G562" s="22"/>
    </row>
    <row r="563">
      <c r="G563" s="22"/>
    </row>
    <row r="564">
      <c r="G564" s="22"/>
    </row>
    <row r="565">
      <c r="G565" s="22"/>
    </row>
    <row r="566">
      <c r="G566" s="22"/>
    </row>
    <row r="567">
      <c r="G567" s="22"/>
    </row>
    <row r="568">
      <c r="G568" s="22"/>
    </row>
    <row r="569">
      <c r="G569" s="22"/>
    </row>
    <row r="570">
      <c r="G570" s="22"/>
    </row>
    <row r="571">
      <c r="G571" s="22"/>
    </row>
    <row r="572">
      <c r="G572" s="22"/>
    </row>
    <row r="573">
      <c r="G573" s="22"/>
    </row>
    <row r="574">
      <c r="G574" s="22"/>
    </row>
    <row r="575">
      <c r="G575" s="22"/>
    </row>
    <row r="576">
      <c r="G576" s="22"/>
    </row>
    <row r="577">
      <c r="G577" s="22"/>
    </row>
    <row r="578">
      <c r="G578" s="22"/>
    </row>
    <row r="579">
      <c r="G579" s="22"/>
    </row>
    <row r="580">
      <c r="G580" s="22"/>
    </row>
    <row r="581">
      <c r="G581" s="22"/>
    </row>
    <row r="582">
      <c r="G582" s="22"/>
    </row>
    <row r="583">
      <c r="G583" s="22"/>
    </row>
    <row r="584">
      <c r="G584" s="22"/>
    </row>
    <row r="585">
      <c r="G585" s="22"/>
    </row>
    <row r="586">
      <c r="G586" s="22"/>
    </row>
    <row r="587">
      <c r="G587" s="22"/>
    </row>
    <row r="588">
      <c r="G588" s="22"/>
    </row>
    <row r="589">
      <c r="G589" s="22"/>
    </row>
    <row r="590">
      <c r="G590" s="22"/>
    </row>
    <row r="591">
      <c r="G591" s="22"/>
    </row>
    <row r="592">
      <c r="G592" s="22"/>
    </row>
    <row r="593">
      <c r="G593" s="22"/>
    </row>
    <row r="594">
      <c r="G594" s="22"/>
    </row>
    <row r="595">
      <c r="G595" s="22"/>
    </row>
    <row r="596">
      <c r="G596" s="22"/>
    </row>
    <row r="597">
      <c r="G597" s="22"/>
    </row>
    <row r="598">
      <c r="G598" s="22"/>
    </row>
    <row r="599">
      <c r="G599" s="22"/>
    </row>
    <row r="600">
      <c r="G600" s="22"/>
    </row>
    <row r="601">
      <c r="G601" s="22"/>
    </row>
    <row r="602">
      <c r="G602" s="22"/>
    </row>
    <row r="603">
      <c r="G603" s="22"/>
    </row>
    <row r="604">
      <c r="G604" s="22"/>
    </row>
    <row r="605">
      <c r="G605" s="22"/>
    </row>
    <row r="606">
      <c r="G606" s="22"/>
    </row>
    <row r="607">
      <c r="G607" s="22"/>
    </row>
    <row r="608">
      <c r="G608" s="22"/>
    </row>
    <row r="609">
      <c r="G609" s="22"/>
    </row>
    <row r="610">
      <c r="G610" s="22"/>
    </row>
    <row r="611">
      <c r="G611" s="22"/>
    </row>
    <row r="612">
      <c r="G612" s="22"/>
    </row>
    <row r="613">
      <c r="G613" s="22"/>
    </row>
    <row r="614">
      <c r="G614" s="22"/>
    </row>
    <row r="615">
      <c r="G615" s="22"/>
    </row>
    <row r="616">
      <c r="G616" s="22"/>
    </row>
    <row r="617">
      <c r="G617" s="22"/>
    </row>
    <row r="618">
      <c r="G618" s="22"/>
    </row>
    <row r="619">
      <c r="G619" s="22"/>
    </row>
    <row r="620">
      <c r="G620" s="22"/>
    </row>
    <row r="621">
      <c r="G621" s="22"/>
    </row>
    <row r="622">
      <c r="G622" s="22"/>
    </row>
    <row r="623">
      <c r="G623" s="22"/>
    </row>
    <row r="624">
      <c r="G624" s="22"/>
    </row>
    <row r="625">
      <c r="G625" s="22"/>
    </row>
    <row r="626">
      <c r="G626" s="22"/>
    </row>
    <row r="627">
      <c r="G627" s="22"/>
    </row>
    <row r="628">
      <c r="G628" s="22"/>
    </row>
    <row r="629">
      <c r="G629" s="22"/>
    </row>
    <row r="630">
      <c r="G630" s="22"/>
    </row>
    <row r="631">
      <c r="G631" s="22"/>
    </row>
    <row r="632">
      <c r="G632" s="22"/>
    </row>
    <row r="633">
      <c r="G633" s="22"/>
    </row>
    <row r="634">
      <c r="G634" s="22"/>
    </row>
    <row r="635">
      <c r="G635" s="22"/>
    </row>
    <row r="636">
      <c r="G636" s="22"/>
    </row>
    <row r="637">
      <c r="G637" s="22"/>
    </row>
    <row r="638">
      <c r="G638" s="22"/>
    </row>
    <row r="639">
      <c r="G639" s="22"/>
    </row>
    <row r="640">
      <c r="G640" s="22"/>
    </row>
    <row r="641">
      <c r="G641" s="22"/>
    </row>
    <row r="642">
      <c r="G642" s="22"/>
    </row>
    <row r="643">
      <c r="G643" s="22"/>
    </row>
    <row r="644">
      <c r="G644" s="22"/>
    </row>
    <row r="645">
      <c r="G645" s="22"/>
    </row>
    <row r="646">
      <c r="G646" s="22"/>
    </row>
    <row r="647">
      <c r="G647" s="22"/>
    </row>
    <row r="648">
      <c r="G648" s="22"/>
    </row>
    <row r="649">
      <c r="G649" s="22"/>
    </row>
    <row r="650">
      <c r="G650" s="22"/>
    </row>
    <row r="651">
      <c r="G651" s="22"/>
    </row>
    <row r="652">
      <c r="G652" s="22"/>
    </row>
    <row r="653">
      <c r="G653" s="22"/>
    </row>
    <row r="654">
      <c r="G654" s="22"/>
    </row>
    <row r="655">
      <c r="G655" s="22"/>
    </row>
    <row r="656">
      <c r="G656" s="22"/>
    </row>
    <row r="657">
      <c r="G657" s="22"/>
    </row>
    <row r="658">
      <c r="G658" s="22"/>
    </row>
    <row r="659">
      <c r="G659" s="22"/>
    </row>
    <row r="660">
      <c r="G660" s="22"/>
    </row>
    <row r="661">
      <c r="G661" s="22"/>
    </row>
    <row r="662">
      <c r="G662" s="22"/>
    </row>
    <row r="663">
      <c r="G663" s="22"/>
    </row>
    <row r="664">
      <c r="G664" s="22"/>
    </row>
    <row r="665">
      <c r="G665" s="22"/>
    </row>
    <row r="666">
      <c r="G666" s="22"/>
    </row>
    <row r="667">
      <c r="G667" s="22"/>
    </row>
    <row r="668">
      <c r="G668" s="22"/>
    </row>
    <row r="669">
      <c r="G669" s="22"/>
    </row>
    <row r="670">
      <c r="G670" s="22"/>
    </row>
    <row r="671">
      <c r="G671" s="22"/>
    </row>
    <row r="672">
      <c r="G672" s="22"/>
    </row>
    <row r="673">
      <c r="G673" s="22"/>
    </row>
    <row r="674">
      <c r="G674" s="22"/>
    </row>
    <row r="675">
      <c r="G675" s="22"/>
    </row>
    <row r="676">
      <c r="G676" s="22"/>
    </row>
    <row r="677">
      <c r="G677" s="22"/>
    </row>
    <row r="678">
      <c r="G678" s="22"/>
    </row>
    <row r="679">
      <c r="G679" s="22"/>
    </row>
    <row r="680">
      <c r="G680" s="22"/>
    </row>
    <row r="681">
      <c r="G681" s="22"/>
    </row>
    <row r="682">
      <c r="G682" s="22"/>
    </row>
    <row r="683">
      <c r="G683" s="22"/>
    </row>
    <row r="684">
      <c r="G684" s="22"/>
    </row>
    <row r="685">
      <c r="G685" s="22"/>
    </row>
    <row r="686">
      <c r="G686" s="22"/>
    </row>
    <row r="687">
      <c r="G687" s="22"/>
    </row>
    <row r="688">
      <c r="G688" s="22"/>
    </row>
    <row r="689">
      <c r="G689" s="22"/>
    </row>
    <row r="690">
      <c r="G690" s="22"/>
    </row>
    <row r="691">
      <c r="G691" s="22"/>
    </row>
    <row r="692">
      <c r="G692" s="22"/>
    </row>
    <row r="693">
      <c r="G693" s="22"/>
    </row>
    <row r="694">
      <c r="G694" s="22"/>
    </row>
    <row r="695">
      <c r="G695" s="22"/>
    </row>
    <row r="696">
      <c r="G696" s="22"/>
    </row>
    <row r="697">
      <c r="G697" s="22"/>
    </row>
    <row r="698">
      <c r="G698" s="22"/>
    </row>
    <row r="699">
      <c r="G699" s="22"/>
    </row>
    <row r="700">
      <c r="G700" s="22"/>
    </row>
    <row r="701">
      <c r="G701" s="22"/>
    </row>
    <row r="702">
      <c r="G702" s="22"/>
    </row>
    <row r="703">
      <c r="G703" s="22"/>
    </row>
    <row r="704">
      <c r="G704" s="22"/>
    </row>
    <row r="705">
      <c r="G705" s="22"/>
    </row>
    <row r="706">
      <c r="G706" s="22"/>
    </row>
    <row r="707">
      <c r="G707" s="22"/>
    </row>
    <row r="708">
      <c r="G708" s="22"/>
    </row>
    <row r="709">
      <c r="G709" s="22"/>
    </row>
    <row r="710">
      <c r="G710" s="22"/>
    </row>
    <row r="711">
      <c r="G711" s="22"/>
    </row>
    <row r="712">
      <c r="G712" s="22"/>
    </row>
    <row r="713">
      <c r="G713" s="22"/>
    </row>
    <row r="714">
      <c r="G714" s="22"/>
    </row>
    <row r="715">
      <c r="G715" s="22"/>
    </row>
    <row r="716">
      <c r="G716" s="22"/>
    </row>
    <row r="717">
      <c r="G717" s="22"/>
    </row>
    <row r="718">
      <c r="G718" s="22"/>
    </row>
    <row r="719">
      <c r="G719" s="22"/>
    </row>
    <row r="720">
      <c r="G720" s="22"/>
    </row>
    <row r="721">
      <c r="G721" s="22"/>
    </row>
    <row r="722">
      <c r="G722" s="22"/>
    </row>
    <row r="723">
      <c r="G723" s="22"/>
    </row>
    <row r="724">
      <c r="G724" s="22"/>
    </row>
    <row r="725">
      <c r="G725" s="22"/>
    </row>
    <row r="726">
      <c r="G726" s="22"/>
    </row>
    <row r="727">
      <c r="G727" s="22"/>
    </row>
    <row r="728">
      <c r="G728" s="22"/>
    </row>
    <row r="729">
      <c r="G729" s="22"/>
    </row>
    <row r="730">
      <c r="G730" s="22"/>
    </row>
    <row r="731">
      <c r="G731" s="22"/>
    </row>
    <row r="732">
      <c r="G732" s="22"/>
    </row>
    <row r="733">
      <c r="G733" s="22"/>
    </row>
    <row r="734">
      <c r="G734" s="22"/>
    </row>
    <row r="735">
      <c r="G735" s="22"/>
    </row>
    <row r="736">
      <c r="G736" s="22"/>
    </row>
    <row r="737">
      <c r="G737" s="22"/>
    </row>
    <row r="738">
      <c r="G738" s="22"/>
    </row>
    <row r="739">
      <c r="G739" s="22"/>
    </row>
    <row r="740">
      <c r="G740" s="22"/>
    </row>
    <row r="741">
      <c r="G741" s="22"/>
    </row>
    <row r="742">
      <c r="G742" s="22"/>
    </row>
    <row r="743">
      <c r="G743" s="22"/>
    </row>
    <row r="744">
      <c r="G744" s="22"/>
    </row>
    <row r="745">
      <c r="G745" s="22"/>
    </row>
    <row r="746">
      <c r="G746" s="22"/>
    </row>
    <row r="747">
      <c r="G747" s="22"/>
    </row>
    <row r="748">
      <c r="G748" s="22"/>
    </row>
    <row r="749">
      <c r="G749" s="22"/>
    </row>
    <row r="750">
      <c r="G750" s="22"/>
    </row>
    <row r="751">
      <c r="G751" s="22"/>
    </row>
    <row r="752">
      <c r="G752" s="22"/>
    </row>
    <row r="753">
      <c r="G753" s="22"/>
    </row>
    <row r="754">
      <c r="G754" s="22"/>
    </row>
    <row r="755">
      <c r="G755" s="22"/>
    </row>
    <row r="756">
      <c r="G756" s="22"/>
    </row>
    <row r="757">
      <c r="G757" s="22"/>
    </row>
    <row r="758">
      <c r="G758" s="22"/>
    </row>
    <row r="759">
      <c r="G759" s="22"/>
    </row>
    <row r="760">
      <c r="G760" s="22"/>
    </row>
    <row r="761">
      <c r="G761" s="22"/>
    </row>
    <row r="762">
      <c r="G762" s="22"/>
    </row>
    <row r="763">
      <c r="G763" s="22"/>
    </row>
    <row r="764">
      <c r="G764" s="22"/>
    </row>
    <row r="765">
      <c r="G765" s="22"/>
    </row>
    <row r="766">
      <c r="G766" s="22"/>
    </row>
    <row r="767">
      <c r="G767" s="22"/>
    </row>
    <row r="768">
      <c r="G768" s="22"/>
    </row>
    <row r="769">
      <c r="G769" s="22"/>
    </row>
    <row r="770">
      <c r="G770" s="22"/>
    </row>
    <row r="771">
      <c r="G771" s="22"/>
    </row>
    <row r="772">
      <c r="G772" s="22"/>
    </row>
    <row r="773">
      <c r="G773" s="22"/>
    </row>
    <row r="774">
      <c r="G774" s="22"/>
    </row>
    <row r="775">
      <c r="G775" s="22"/>
    </row>
    <row r="776">
      <c r="G776" s="22"/>
    </row>
    <row r="777">
      <c r="G777" s="22"/>
    </row>
    <row r="778">
      <c r="G778" s="22"/>
    </row>
    <row r="779">
      <c r="G779" s="22"/>
    </row>
    <row r="780">
      <c r="G780" s="22"/>
    </row>
    <row r="781">
      <c r="G781" s="22"/>
    </row>
    <row r="782">
      <c r="G782" s="22"/>
    </row>
    <row r="783">
      <c r="G783" s="22"/>
    </row>
    <row r="784">
      <c r="G784" s="22"/>
    </row>
    <row r="785">
      <c r="G785" s="22"/>
    </row>
    <row r="786">
      <c r="G786" s="22"/>
    </row>
    <row r="787">
      <c r="G787" s="22"/>
    </row>
    <row r="788">
      <c r="G788" s="22"/>
    </row>
    <row r="789">
      <c r="G789" s="22"/>
    </row>
    <row r="790">
      <c r="G790" s="22"/>
    </row>
    <row r="791">
      <c r="G791" s="22"/>
    </row>
    <row r="792">
      <c r="G792" s="22"/>
    </row>
    <row r="793">
      <c r="G793" s="22"/>
    </row>
    <row r="794">
      <c r="G794" s="22"/>
    </row>
    <row r="795">
      <c r="G795" s="22"/>
    </row>
    <row r="796">
      <c r="G796" s="22"/>
    </row>
    <row r="797">
      <c r="G797" s="22"/>
    </row>
    <row r="798">
      <c r="G798" s="22"/>
    </row>
    <row r="799">
      <c r="G799" s="22"/>
    </row>
    <row r="800">
      <c r="G800" s="22"/>
    </row>
    <row r="801">
      <c r="G801" s="22"/>
    </row>
    <row r="802">
      <c r="G802" s="22"/>
    </row>
    <row r="803">
      <c r="G803" s="22"/>
    </row>
    <row r="804">
      <c r="G804" s="22"/>
    </row>
    <row r="805">
      <c r="G805" s="22"/>
    </row>
    <row r="806">
      <c r="G806" s="22"/>
    </row>
    <row r="807">
      <c r="G807" s="22"/>
    </row>
    <row r="808">
      <c r="G808" s="22"/>
    </row>
    <row r="809">
      <c r="G809" s="22"/>
    </row>
    <row r="810">
      <c r="G810" s="22"/>
    </row>
    <row r="811">
      <c r="G811" s="22"/>
    </row>
    <row r="812">
      <c r="G812" s="22"/>
    </row>
    <row r="813">
      <c r="G813" s="22"/>
    </row>
    <row r="814">
      <c r="G814" s="22"/>
    </row>
    <row r="815">
      <c r="G815" s="22"/>
    </row>
    <row r="816">
      <c r="G816" s="22"/>
    </row>
    <row r="817">
      <c r="G817" s="22"/>
    </row>
    <row r="818">
      <c r="G818" s="22"/>
    </row>
    <row r="819">
      <c r="G819" s="22"/>
    </row>
    <row r="820">
      <c r="G820" s="22"/>
    </row>
    <row r="821">
      <c r="G821" s="22"/>
    </row>
    <row r="822">
      <c r="G822" s="22"/>
    </row>
    <row r="823">
      <c r="G823" s="22"/>
    </row>
    <row r="824">
      <c r="G824" s="22"/>
    </row>
    <row r="825">
      <c r="G825" s="22"/>
    </row>
    <row r="826">
      <c r="G826" s="22"/>
    </row>
    <row r="827">
      <c r="G827" s="22"/>
    </row>
    <row r="828">
      <c r="G828" s="22"/>
    </row>
    <row r="829">
      <c r="G829" s="22"/>
    </row>
    <row r="830">
      <c r="G830" s="22"/>
    </row>
    <row r="831">
      <c r="G831" s="22"/>
    </row>
    <row r="832">
      <c r="G832" s="22"/>
    </row>
    <row r="833">
      <c r="G833" s="22"/>
    </row>
    <row r="834">
      <c r="G834" s="22"/>
    </row>
    <row r="835">
      <c r="G835" s="22"/>
    </row>
    <row r="836">
      <c r="G836" s="22"/>
    </row>
    <row r="837">
      <c r="G837" s="22"/>
    </row>
    <row r="838">
      <c r="G838" s="22"/>
    </row>
    <row r="839">
      <c r="G839" s="22"/>
    </row>
    <row r="840">
      <c r="G840" s="22"/>
    </row>
    <row r="841">
      <c r="G841" s="22"/>
    </row>
    <row r="842">
      <c r="G842" s="22"/>
    </row>
    <row r="843">
      <c r="G843" s="22"/>
    </row>
    <row r="844">
      <c r="G844" s="22"/>
    </row>
    <row r="845">
      <c r="G845" s="22"/>
    </row>
    <row r="846">
      <c r="G846" s="22"/>
    </row>
    <row r="847">
      <c r="G847" s="22"/>
    </row>
    <row r="848">
      <c r="G848" s="22"/>
    </row>
    <row r="849">
      <c r="G849" s="22"/>
    </row>
    <row r="850">
      <c r="G850" s="22"/>
    </row>
    <row r="851">
      <c r="G851" s="22"/>
    </row>
    <row r="852">
      <c r="G852" s="22"/>
    </row>
    <row r="853">
      <c r="G853" s="22"/>
    </row>
    <row r="854">
      <c r="G854" s="22"/>
    </row>
    <row r="855">
      <c r="G855" s="22"/>
    </row>
    <row r="856">
      <c r="G856" s="22"/>
    </row>
    <row r="857">
      <c r="G857" s="22"/>
    </row>
    <row r="858">
      <c r="G858" s="22"/>
    </row>
    <row r="859">
      <c r="G859" s="22"/>
    </row>
    <row r="860">
      <c r="G860" s="22"/>
    </row>
    <row r="861">
      <c r="G861" s="22"/>
    </row>
    <row r="862">
      <c r="G862" s="22"/>
    </row>
    <row r="863">
      <c r="G863" s="22"/>
    </row>
    <row r="864">
      <c r="G864" s="22"/>
    </row>
    <row r="865">
      <c r="G865" s="22"/>
    </row>
    <row r="866">
      <c r="G866" s="22"/>
    </row>
    <row r="867">
      <c r="G867" s="22"/>
    </row>
    <row r="868">
      <c r="G868" s="22"/>
    </row>
    <row r="869">
      <c r="G869" s="22"/>
    </row>
    <row r="870">
      <c r="G870" s="22"/>
    </row>
    <row r="871">
      <c r="G871" s="22"/>
    </row>
    <row r="872">
      <c r="G872" s="22"/>
    </row>
    <row r="873">
      <c r="G873" s="22"/>
    </row>
    <row r="874">
      <c r="G874" s="22"/>
    </row>
    <row r="875">
      <c r="G875" s="22"/>
    </row>
    <row r="876">
      <c r="G876" s="22"/>
    </row>
    <row r="877">
      <c r="G877" s="22"/>
    </row>
    <row r="878">
      <c r="G878" s="22"/>
    </row>
    <row r="879">
      <c r="G879" s="22"/>
    </row>
    <row r="880">
      <c r="G880" s="22"/>
    </row>
    <row r="881">
      <c r="G881" s="22"/>
    </row>
    <row r="882">
      <c r="G882" s="22"/>
    </row>
    <row r="883">
      <c r="G883" s="22"/>
    </row>
    <row r="884">
      <c r="G884" s="22"/>
    </row>
    <row r="885">
      <c r="G885" s="22"/>
    </row>
    <row r="886">
      <c r="G886" s="22"/>
    </row>
    <row r="887">
      <c r="G887" s="22"/>
    </row>
    <row r="888">
      <c r="G888" s="22"/>
    </row>
    <row r="889">
      <c r="G889" s="22"/>
    </row>
    <row r="890">
      <c r="G890" s="22"/>
    </row>
    <row r="891">
      <c r="G891" s="22"/>
    </row>
    <row r="892">
      <c r="G892" s="22"/>
    </row>
    <row r="893">
      <c r="G893" s="22"/>
    </row>
    <row r="894">
      <c r="G894" s="22"/>
    </row>
    <row r="895">
      <c r="G895" s="22"/>
    </row>
    <row r="896">
      <c r="G896" s="22"/>
    </row>
    <row r="897">
      <c r="G897" s="22"/>
    </row>
    <row r="898">
      <c r="G898" s="22"/>
    </row>
    <row r="899">
      <c r="G899" s="22"/>
    </row>
    <row r="900">
      <c r="G900" s="22"/>
    </row>
    <row r="901">
      <c r="G901" s="22"/>
    </row>
    <row r="902">
      <c r="G902" s="22"/>
    </row>
    <row r="903">
      <c r="G903" s="22"/>
    </row>
    <row r="904">
      <c r="G904" s="22"/>
    </row>
    <row r="905">
      <c r="G905" s="22"/>
    </row>
    <row r="906">
      <c r="G906" s="22"/>
    </row>
    <row r="907">
      <c r="G907" s="22"/>
    </row>
    <row r="908">
      <c r="G908" s="22"/>
    </row>
    <row r="909">
      <c r="G909" s="22"/>
    </row>
    <row r="910">
      <c r="G910" s="22"/>
    </row>
    <row r="911">
      <c r="G911" s="22"/>
    </row>
    <row r="912">
      <c r="G912" s="22"/>
    </row>
    <row r="913">
      <c r="G913" s="22"/>
    </row>
    <row r="914">
      <c r="G914" s="22"/>
    </row>
    <row r="915">
      <c r="G915" s="22"/>
    </row>
    <row r="916">
      <c r="G916" s="22"/>
    </row>
    <row r="917">
      <c r="G917" s="22"/>
    </row>
    <row r="918">
      <c r="G918" s="22"/>
    </row>
    <row r="919">
      <c r="G919" s="22"/>
    </row>
    <row r="920">
      <c r="G920" s="22"/>
    </row>
    <row r="921">
      <c r="G921" s="22"/>
    </row>
    <row r="922">
      <c r="G922" s="22"/>
    </row>
    <row r="923">
      <c r="G923" s="22"/>
    </row>
    <row r="924">
      <c r="G924" s="22"/>
    </row>
    <row r="925">
      <c r="G925" s="22"/>
    </row>
    <row r="926">
      <c r="G926" s="22"/>
    </row>
    <row r="927">
      <c r="G927" s="22"/>
    </row>
    <row r="928">
      <c r="G928" s="22"/>
    </row>
    <row r="929">
      <c r="G929" s="22"/>
    </row>
    <row r="930">
      <c r="G930" s="22"/>
    </row>
    <row r="931">
      <c r="G931" s="22"/>
    </row>
    <row r="932">
      <c r="G932" s="22"/>
    </row>
    <row r="933">
      <c r="G933" s="22"/>
    </row>
    <row r="934">
      <c r="G934" s="22"/>
    </row>
    <row r="935">
      <c r="G935" s="22"/>
    </row>
    <row r="936">
      <c r="G936" s="22"/>
    </row>
    <row r="937">
      <c r="G937" s="22"/>
    </row>
    <row r="938">
      <c r="G938" s="22"/>
    </row>
    <row r="939">
      <c r="G939" s="22"/>
    </row>
    <row r="940">
      <c r="G940" s="22"/>
    </row>
    <row r="941">
      <c r="G941" s="22"/>
    </row>
    <row r="942">
      <c r="G942" s="22"/>
    </row>
    <row r="943">
      <c r="G943" s="22"/>
    </row>
    <row r="944">
      <c r="G944" s="22"/>
    </row>
    <row r="945">
      <c r="G945" s="22"/>
    </row>
    <row r="946">
      <c r="G946" s="22"/>
    </row>
    <row r="947">
      <c r="G947" s="22"/>
    </row>
    <row r="948">
      <c r="G948" s="22"/>
    </row>
    <row r="949">
      <c r="G949" s="22"/>
    </row>
    <row r="950">
      <c r="G950" s="22"/>
    </row>
    <row r="951">
      <c r="G951" s="22"/>
    </row>
    <row r="952">
      <c r="G952" s="22"/>
    </row>
    <row r="953">
      <c r="G953" s="22"/>
    </row>
    <row r="954">
      <c r="G954" s="22"/>
    </row>
    <row r="955">
      <c r="G955" s="22"/>
    </row>
    <row r="956">
      <c r="G956" s="22"/>
    </row>
    <row r="957">
      <c r="G957" s="22"/>
    </row>
    <row r="958">
      <c r="G958" s="22"/>
    </row>
    <row r="959">
      <c r="G959" s="22"/>
    </row>
    <row r="960">
      <c r="G960" s="22"/>
    </row>
    <row r="961">
      <c r="G961" s="22"/>
    </row>
    <row r="962">
      <c r="G962" s="22"/>
    </row>
    <row r="963">
      <c r="G963" s="22"/>
    </row>
    <row r="964">
      <c r="G964" s="22"/>
    </row>
    <row r="965">
      <c r="G965" s="22"/>
    </row>
    <row r="966">
      <c r="G966" s="22"/>
    </row>
    <row r="967">
      <c r="G967" s="22"/>
    </row>
    <row r="968">
      <c r="G968" s="22"/>
    </row>
    <row r="969">
      <c r="G969" s="22"/>
    </row>
    <row r="970">
      <c r="G970" s="22"/>
    </row>
    <row r="971">
      <c r="G971" s="22"/>
    </row>
    <row r="972">
      <c r="G972" s="22"/>
    </row>
    <row r="973">
      <c r="G973" s="22"/>
    </row>
    <row r="974">
      <c r="G974" s="22"/>
    </row>
    <row r="975">
      <c r="G975" s="22"/>
    </row>
    <row r="976">
      <c r="G976" s="22"/>
    </row>
    <row r="977">
      <c r="G977" s="22"/>
    </row>
    <row r="978">
      <c r="G978" s="22"/>
    </row>
    <row r="979">
      <c r="G979" s="22"/>
    </row>
    <row r="980">
      <c r="G980" s="22"/>
    </row>
    <row r="981">
      <c r="G981" s="22"/>
    </row>
    <row r="982">
      <c r="G982" s="22"/>
    </row>
    <row r="983">
      <c r="G983" s="22"/>
    </row>
    <row r="984">
      <c r="G984" s="22"/>
    </row>
    <row r="985">
      <c r="G985" s="22"/>
    </row>
    <row r="986">
      <c r="G986" s="22"/>
    </row>
    <row r="987">
      <c r="G987" s="22"/>
    </row>
    <row r="988">
      <c r="G988" s="22"/>
    </row>
    <row r="989">
      <c r="G989" s="22"/>
    </row>
    <row r="990">
      <c r="G990" s="22"/>
    </row>
    <row r="991">
      <c r="G991" s="22"/>
    </row>
    <row r="992">
      <c r="G992" s="22"/>
    </row>
    <row r="993">
      <c r="G993" s="22"/>
    </row>
    <row r="994">
      <c r="G994" s="22"/>
    </row>
    <row r="995">
      <c r="G995" s="22"/>
    </row>
    <row r="996">
      <c r="G996" s="22"/>
    </row>
    <row r="997">
      <c r="G997" s="22"/>
    </row>
    <row r="998">
      <c r="G998" s="22"/>
    </row>
    <row r="999">
      <c r="G999" s="22"/>
    </row>
    <row r="1000">
      <c r="G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8" t="s">
        <v>20</v>
      </c>
      <c r="B1" s="8" t="s">
        <v>23</v>
      </c>
      <c r="C1" s="8" t="s">
        <v>27</v>
      </c>
      <c r="D1" s="8" t="s">
        <v>28</v>
      </c>
      <c r="E1" s="8" t="s">
        <v>30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22.5" customHeight="1">
      <c r="A2" s="18">
        <v>1.0</v>
      </c>
      <c r="B2" s="18" t="s">
        <v>40</v>
      </c>
      <c r="C2" s="18" t="s">
        <v>42</v>
      </c>
      <c r="D2" s="18" t="s">
        <v>44</v>
      </c>
      <c r="E2" s="19" t="s">
        <v>46</v>
      </c>
    </row>
    <row r="3" ht="22.5" customHeight="1">
      <c r="A3" s="18">
        <v>2.0</v>
      </c>
      <c r="B3" s="18" t="s">
        <v>48</v>
      </c>
      <c r="C3" s="18" t="s">
        <v>49</v>
      </c>
      <c r="D3" s="18" t="s">
        <v>44</v>
      </c>
      <c r="E3" s="19" t="s">
        <v>46</v>
      </c>
    </row>
    <row r="4" ht="22.5" customHeight="1">
      <c r="A4" s="18">
        <v>3.0</v>
      </c>
      <c r="B4" s="18" t="s">
        <v>52</v>
      </c>
      <c r="C4" s="18" t="s">
        <v>53</v>
      </c>
      <c r="D4" s="18" t="s">
        <v>44</v>
      </c>
      <c r="E4" s="19" t="s">
        <v>46</v>
      </c>
    </row>
    <row r="5" ht="22.5" customHeight="1">
      <c r="A5" s="18">
        <v>4.0</v>
      </c>
      <c r="B5" s="18" t="s">
        <v>56</v>
      </c>
      <c r="C5" s="18" t="s">
        <v>56</v>
      </c>
      <c r="D5" s="18" t="s">
        <v>44</v>
      </c>
      <c r="E5" s="19" t="s">
        <v>46</v>
      </c>
    </row>
    <row r="6" ht="22.5" customHeight="1">
      <c r="A6" s="18">
        <v>5.0</v>
      </c>
      <c r="B6" s="18" t="s">
        <v>59</v>
      </c>
      <c r="C6" s="18" t="s">
        <v>60</v>
      </c>
      <c r="D6" s="18" t="s">
        <v>44</v>
      </c>
      <c r="E6" s="19" t="s">
        <v>46</v>
      </c>
    </row>
    <row r="7" ht="22.5" customHeight="1">
      <c r="A7" s="18">
        <v>6.0</v>
      </c>
      <c r="B7" s="18" t="s">
        <v>63</v>
      </c>
      <c r="C7" s="18" t="s">
        <v>64</v>
      </c>
      <c r="D7" s="18" t="s">
        <v>44</v>
      </c>
      <c r="E7" s="19" t="s">
        <v>46</v>
      </c>
    </row>
    <row r="8" ht="22.5" customHeight="1">
      <c r="A8" s="18">
        <v>7.0</v>
      </c>
      <c r="B8" s="18" t="s">
        <v>65</v>
      </c>
      <c r="C8" s="18" t="s">
        <v>66</v>
      </c>
      <c r="D8" s="18" t="s">
        <v>44</v>
      </c>
      <c r="E8" s="19" t="s">
        <v>46</v>
      </c>
    </row>
    <row r="9" ht="22.5" customHeight="1">
      <c r="A9" s="18">
        <v>8.0</v>
      </c>
      <c r="B9" s="18" t="s">
        <v>69</v>
      </c>
      <c r="C9" s="18" t="s">
        <v>71</v>
      </c>
      <c r="D9" s="18" t="s">
        <v>44</v>
      </c>
      <c r="E9" s="19" t="s">
        <v>46</v>
      </c>
    </row>
    <row r="10" ht="22.5" customHeight="1">
      <c r="A10" s="18">
        <v>9.0</v>
      </c>
      <c r="B10" s="18" t="s">
        <v>72</v>
      </c>
      <c r="C10" s="18" t="s">
        <v>74</v>
      </c>
      <c r="D10" s="18" t="s">
        <v>44</v>
      </c>
      <c r="E10" s="19" t="s">
        <v>46</v>
      </c>
    </row>
    <row r="11" ht="22.5" customHeight="1">
      <c r="A11" s="18">
        <v>10.0</v>
      </c>
      <c r="B11" s="18" t="s">
        <v>77</v>
      </c>
      <c r="C11" s="18" t="s">
        <v>79</v>
      </c>
      <c r="D11" s="18" t="s">
        <v>44</v>
      </c>
      <c r="E11" s="19" t="s">
        <v>46</v>
      </c>
    </row>
    <row r="12" ht="22.5" customHeight="1">
      <c r="A12" s="18">
        <v>11.0</v>
      </c>
      <c r="B12" s="18" t="s">
        <v>82</v>
      </c>
      <c r="C12" s="18" t="s">
        <v>85</v>
      </c>
      <c r="D12" s="18" t="s">
        <v>44</v>
      </c>
      <c r="E12" s="19" t="s">
        <v>46</v>
      </c>
    </row>
    <row r="13" ht="22.5" customHeight="1">
      <c r="A13" s="18">
        <v>12.0</v>
      </c>
      <c r="B13" s="18" t="s">
        <v>89</v>
      </c>
      <c r="C13" s="18" t="s">
        <v>90</v>
      </c>
      <c r="D13" s="18" t="s">
        <v>44</v>
      </c>
      <c r="E13" s="19" t="s">
        <v>46</v>
      </c>
    </row>
    <row r="14" ht="22.5" customHeight="1">
      <c r="A14" s="18">
        <v>13.0</v>
      </c>
      <c r="B14" s="18" t="s">
        <v>95</v>
      </c>
      <c r="C14" s="18" t="s">
        <v>95</v>
      </c>
      <c r="D14" s="18" t="s">
        <v>97</v>
      </c>
      <c r="E14" s="19" t="s">
        <v>46</v>
      </c>
    </row>
    <row r="15" ht="22.5" customHeight="1">
      <c r="A15" s="18">
        <v>14.0</v>
      </c>
      <c r="B15" s="18" t="s">
        <v>98</v>
      </c>
      <c r="C15" s="18" t="s">
        <v>100</v>
      </c>
      <c r="D15" s="18" t="s">
        <v>97</v>
      </c>
      <c r="E15" s="19" t="s">
        <v>46</v>
      </c>
    </row>
    <row r="16" ht="22.5" customHeight="1">
      <c r="A16" s="18">
        <v>15.0</v>
      </c>
      <c r="B16" s="18" t="s">
        <v>103</v>
      </c>
      <c r="C16" s="18" t="s">
        <v>104</v>
      </c>
      <c r="D16" s="18" t="s">
        <v>97</v>
      </c>
      <c r="E16" s="19" t="s">
        <v>46</v>
      </c>
    </row>
    <row r="17" ht="22.5" customHeight="1">
      <c r="A17" s="18">
        <v>16.0</v>
      </c>
      <c r="B17" s="18" t="s">
        <v>106</v>
      </c>
      <c r="C17" s="18" t="s">
        <v>108</v>
      </c>
      <c r="D17" s="18" t="s">
        <v>97</v>
      </c>
      <c r="E17" s="19" t="s">
        <v>46</v>
      </c>
    </row>
    <row r="18" ht="22.5" customHeight="1">
      <c r="A18" s="18">
        <v>17.0</v>
      </c>
      <c r="B18" s="18" t="s">
        <v>110</v>
      </c>
      <c r="C18" s="18" t="s">
        <v>111</v>
      </c>
      <c r="D18" s="18" t="s">
        <v>97</v>
      </c>
      <c r="E18" s="19" t="s">
        <v>46</v>
      </c>
    </row>
    <row r="19" ht="22.5" customHeight="1">
      <c r="A19" s="18">
        <v>18.0</v>
      </c>
      <c r="B19" s="18" t="s">
        <v>114</v>
      </c>
      <c r="C19" s="18" t="s">
        <v>116</v>
      </c>
      <c r="D19" s="18" t="s">
        <v>97</v>
      </c>
      <c r="E19" s="19" t="s">
        <v>46</v>
      </c>
    </row>
    <row r="20" ht="22.5" customHeight="1">
      <c r="A20" s="18">
        <v>19.0</v>
      </c>
      <c r="B20" s="18" t="s">
        <v>119</v>
      </c>
      <c r="C20" s="18" t="s">
        <v>121</v>
      </c>
      <c r="D20" s="18" t="s">
        <v>97</v>
      </c>
      <c r="E20" s="19" t="s">
        <v>46</v>
      </c>
    </row>
    <row r="21">
      <c r="E21" s="22"/>
    </row>
    <row r="22">
      <c r="E22" s="22"/>
    </row>
    <row r="23">
      <c r="E23" s="22"/>
    </row>
    <row r="24">
      <c r="E24" s="22"/>
    </row>
    <row r="25">
      <c r="E25" s="22"/>
    </row>
    <row r="26">
      <c r="E26" s="22"/>
    </row>
    <row r="27">
      <c r="E27" s="22"/>
    </row>
    <row r="28">
      <c r="E28" s="22"/>
    </row>
    <row r="29">
      <c r="E29" s="22"/>
    </row>
    <row r="30">
      <c r="E30" s="22"/>
    </row>
    <row r="31">
      <c r="E31" s="22"/>
    </row>
    <row r="32">
      <c r="E32" s="22"/>
    </row>
    <row r="33">
      <c r="E33" s="22"/>
    </row>
    <row r="34">
      <c r="E34" s="22"/>
    </row>
    <row r="35">
      <c r="E35" s="22"/>
    </row>
    <row r="36">
      <c r="E36" s="22"/>
    </row>
    <row r="37">
      <c r="E37" s="22"/>
    </row>
    <row r="38">
      <c r="E38" s="22"/>
    </row>
    <row r="39">
      <c r="E39" s="22"/>
    </row>
    <row r="40">
      <c r="E40" s="22"/>
    </row>
    <row r="41">
      <c r="E41" s="22"/>
    </row>
    <row r="42">
      <c r="E42" s="22"/>
    </row>
    <row r="43">
      <c r="E43" s="22"/>
    </row>
    <row r="44">
      <c r="E44" s="22"/>
    </row>
    <row r="45">
      <c r="E45" s="22"/>
    </row>
    <row r="46">
      <c r="E46" s="22"/>
    </row>
    <row r="47">
      <c r="E47" s="22"/>
    </row>
    <row r="48">
      <c r="E48" s="22"/>
    </row>
    <row r="49">
      <c r="E49" s="22"/>
    </row>
    <row r="50">
      <c r="E50" s="22"/>
    </row>
    <row r="51">
      <c r="E51" s="22"/>
    </row>
    <row r="52">
      <c r="E52" s="22"/>
    </row>
    <row r="53">
      <c r="E53" s="22"/>
    </row>
    <row r="54">
      <c r="E54" s="22"/>
    </row>
    <row r="55">
      <c r="E55" s="22"/>
    </row>
    <row r="56">
      <c r="E56" s="22"/>
    </row>
    <row r="57">
      <c r="E57" s="22"/>
    </row>
    <row r="58">
      <c r="E58" s="22"/>
    </row>
    <row r="59">
      <c r="E59" s="22"/>
    </row>
    <row r="60">
      <c r="E60" s="22"/>
    </row>
    <row r="61">
      <c r="E61" s="22"/>
    </row>
    <row r="62">
      <c r="E62" s="22"/>
    </row>
    <row r="63">
      <c r="E63" s="22"/>
    </row>
    <row r="64">
      <c r="E64" s="22"/>
    </row>
    <row r="65">
      <c r="E65" s="22"/>
    </row>
    <row r="66">
      <c r="E66" s="22"/>
    </row>
    <row r="67">
      <c r="E67" s="22"/>
    </row>
    <row r="68">
      <c r="E68" s="22"/>
    </row>
    <row r="69">
      <c r="E69" s="22"/>
    </row>
    <row r="70">
      <c r="E70" s="22"/>
    </row>
    <row r="71">
      <c r="E71" s="22"/>
    </row>
    <row r="72">
      <c r="E72" s="22"/>
    </row>
    <row r="73">
      <c r="E73" s="22"/>
    </row>
    <row r="74">
      <c r="E74" s="22"/>
    </row>
    <row r="75">
      <c r="E75" s="22"/>
    </row>
    <row r="76">
      <c r="E76" s="22"/>
    </row>
    <row r="77">
      <c r="E77" s="22"/>
    </row>
    <row r="78">
      <c r="E78" s="22"/>
    </row>
    <row r="79">
      <c r="E79" s="22"/>
    </row>
    <row r="80">
      <c r="E80" s="22"/>
    </row>
    <row r="81">
      <c r="E81" s="22"/>
    </row>
    <row r="82">
      <c r="E82" s="22"/>
    </row>
    <row r="83">
      <c r="E83" s="22"/>
    </row>
    <row r="84">
      <c r="E84" s="22"/>
    </row>
    <row r="85">
      <c r="E85" s="22"/>
    </row>
    <row r="86">
      <c r="E86" s="22"/>
    </row>
    <row r="87">
      <c r="E87" s="22"/>
    </row>
    <row r="88">
      <c r="E88" s="22"/>
    </row>
    <row r="89">
      <c r="E89" s="22"/>
    </row>
    <row r="90">
      <c r="E90" s="22"/>
    </row>
    <row r="91">
      <c r="E91" s="22"/>
    </row>
    <row r="92">
      <c r="E92" s="22"/>
    </row>
    <row r="93">
      <c r="E93" s="22"/>
    </row>
    <row r="94">
      <c r="E94" s="22"/>
    </row>
    <row r="95">
      <c r="E95" s="22"/>
    </row>
    <row r="96">
      <c r="E96" s="22"/>
    </row>
    <row r="97">
      <c r="E97" s="22"/>
    </row>
    <row r="98">
      <c r="E98" s="22"/>
    </row>
    <row r="99">
      <c r="E99" s="22"/>
    </row>
    <row r="100">
      <c r="E100" s="22"/>
    </row>
    <row r="101">
      <c r="E101" s="22"/>
    </row>
    <row r="102">
      <c r="E102" s="22"/>
    </row>
    <row r="103">
      <c r="E103" s="22"/>
    </row>
    <row r="104">
      <c r="E104" s="22"/>
    </row>
    <row r="105">
      <c r="E105" s="22"/>
    </row>
    <row r="106">
      <c r="E106" s="22"/>
    </row>
    <row r="107">
      <c r="E107" s="22"/>
    </row>
    <row r="108">
      <c r="E108" s="22"/>
    </row>
    <row r="109">
      <c r="E109" s="22"/>
    </row>
    <row r="110">
      <c r="E110" s="22"/>
    </row>
    <row r="111">
      <c r="E111" s="22"/>
    </row>
    <row r="112">
      <c r="E112" s="22"/>
    </row>
    <row r="113">
      <c r="E113" s="22"/>
    </row>
    <row r="114">
      <c r="E114" s="22"/>
    </row>
    <row r="115">
      <c r="E115" s="22"/>
    </row>
    <row r="116">
      <c r="E116" s="22"/>
    </row>
    <row r="117">
      <c r="E117" s="22"/>
    </row>
    <row r="118">
      <c r="E118" s="22"/>
    </row>
    <row r="119">
      <c r="E119" s="22"/>
    </row>
    <row r="120">
      <c r="E120" s="22"/>
    </row>
    <row r="121">
      <c r="E121" s="22"/>
    </row>
    <row r="122">
      <c r="E122" s="22"/>
    </row>
    <row r="123">
      <c r="E123" s="22"/>
    </row>
    <row r="124">
      <c r="E124" s="22"/>
    </row>
    <row r="125">
      <c r="E125" s="22"/>
    </row>
    <row r="126">
      <c r="E126" s="22"/>
    </row>
    <row r="127">
      <c r="E127" s="22"/>
    </row>
    <row r="128">
      <c r="E128" s="22"/>
    </row>
    <row r="129">
      <c r="E129" s="22"/>
    </row>
    <row r="130">
      <c r="E130" s="22"/>
    </row>
    <row r="131">
      <c r="E131" s="22"/>
    </row>
    <row r="132">
      <c r="E132" s="22"/>
    </row>
    <row r="133">
      <c r="E133" s="22"/>
    </row>
    <row r="134">
      <c r="E134" s="22"/>
    </row>
    <row r="135">
      <c r="E135" s="22"/>
    </row>
    <row r="136">
      <c r="E136" s="22"/>
    </row>
    <row r="137">
      <c r="E137" s="22"/>
    </row>
    <row r="138">
      <c r="E138" s="22"/>
    </row>
    <row r="139">
      <c r="E139" s="22"/>
    </row>
    <row r="140">
      <c r="E140" s="22"/>
    </row>
    <row r="141">
      <c r="E141" s="22"/>
    </row>
    <row r="142">
      <c r="E142" s="22"/>
    </row>
    <row r="143">
      <c r="E143" s="22"/>
    </row>
    <row r="144">
      <c r="E144" s="22"/>
    </row>
    <row r="145">
      <c r="E145" s="22"/>
    </row>
    <row r="146">
      <c r="E146" s="22"/>
    </row>
    <row r="147">
      <c r="E147" s="22"/>
    </row>
    <row r="148">
      <c r="E148" s="22"/>
    </row>
    <row r="149">
      <c r="E149" s="22"/>
    </row>
    <row r="150">
      <c r="E150" s="22"/>
    </row>
    <row r="151">
      <c r="E151" s="22"/>
    </row>
    <row r="152">
      <c r="E152" s="22"/>
    </row>
    <row r="153">
      <c r="E153" s="22"/>
    </row>
    <row r="154">
      <c r="E154" s="22"/>
    </row>
    <row r="155">
      <c r="E155" s="22"/>
    </row>
    <row r="156">
      <c r="E156" s="22"/>
    </row>
    <row r="157">
      <c r="E157" s="22"/>
    </row>
    <row r="158">
      <c r="E158" s="22"/>
    </row>
    <row r="159">
      <c r="E159" s="22"/>
    </row>
    <row r="160">
      <c r="E160" s="22"/>
    </row>
    <row r="161">
      <c r="E161" s="22"/>
    </row>
    <row r="162">
      <c r="E162" s="22"/>
    </row>
    <row r="163">
      <c r="E163" s="22"/>
    </row>
    <row r="164">
      <c r="E164" s="22"/>
    </row>
    <row r="165">
      <c r="E165" s="22"/>
    </row>
    <row r="166">
      <c r="E166" s="22"/>
    </row>
    <row r="167">
      <c r="E167" s="22"/>
    </row>
    <row r="168">
      <c r="E168" s="22"/>
    </row>
    <row r="169">
      <c r="E169" s="22"/>
    </row>
    <row r="170">
      <c r="E170" s="22"/>
    </row>
    <row r="171">
      <c r="E171" s="22"/>
    </row>
    <row r="172">
      <c r="E172" s="22"/>
    </row>
    <row r="173">
      <c r="E173" s="22"/>
    </row>
    <row r="174">
      <c r="E174" s="22"/>
    </row>
    <row r="175">
      <c r="E175" s="22"/>
    </row>
    <row r="176">
      <c r="E176" s="22"/>
    </row>
    <row r="177">
      <c r="E177" s="22"/>
    </row>
    <row r="178">
      <c r="E178" s="22"/>
    </row>
    <row r="179">
      <c r="E179" s="22"/>
    </row>
    <row r="180">
      <c r="E180" s="22"/>
    </row>
    <row r="181">
      <c r="E181" s="22"/>
    </row>
    <row r="182">
      <c r="E182" s="22"/>
    </row>
    <row r="183">
      <c r="E183" s="22"/>
    </row>
    <row r="184">
      <c r="E184" s="22"/>
    </row>
    <row r="185">
      <c r="E185" s="22"/>
    </row>
    <row r="186">
      <c r="E186" s="22"/>
    </row>
    <row r="187">
      <c r="E187" s="22"/>
    </row>
    <row r="188">
      <c r="E188" s="22"/>
    </row>
    <row r="189">
      <c r="E189" s="22"/>
    </row>
    <row r="190">
      <c r="E190" s="22"/>
    </row>
    <row r="191">
      <c r="E191" s="22"/>
    </row>
    <row r="192">
      <c r="E192" s="22"/>
    </row>
    <row r="193">
      <c r="E193" s="22"/>
    </row>
    <row r="194">
      <c r="E194" s="22"/>
    </row>
    <row r="195">
      <c r="E195" s="22"/>
    </row>
    <row r="196">
      <c r="E196" s="22"/>
    </row>
    <row r="197">
      <c r="E197" s="22"/>
    </row>
    <row r="198">
      <c r="E198" s="22"/>
    </row>
    <row r="199">
      <c r="E199" s="22"/>
    </row>
    <row r="200">
      <c r="E200" s="22"/>
    </row>
    <row r="201">
      <c r="E201" s="22"/>
    </row>
    <row r="202">
      <c r="E202" s="22"/>
    </row>
    <row r="203">
      <c r="E203" s="22"/>
    </row>
    <row r="204">
      <c r="E204" s="22"/>
    </row>
    <row r="205">
      <c r="E205" s="22"/>
    </row>
    <row r="206">
      <c r="E206" s="22"/>
    </row>
    <row r="207">
      <c r="E207" s="22"/>
    </row>
    <row r="208">
      <c r="E208" s="22"/>
    </row>
    <row r="209">
      <c r="E209" s="22"/>
    </row>
    <row r="210">
      <c r="E210" s="22"/>
    </row>
    <row r="211">
      <c r="E211" s="22"/>
    </row>
    <row r="212">
      <c r="E212" s="22"/>
    </row>
    <row r="213">
      <c r="E213" s="22"/>
    </row>
    <row r="214">
      <c r="E214" s="22"/>
    </row>
    <row r="215">
      <c r="E215" s="22"/>
    </row>
    <row r="216">
      <c r="E216" s="22"/>
    </row>
    <row r="217">
      <c r="E217" s="22"/>
    </row>
    <row r="218">
      <c r="E218" s="22"/>
    </row>
    <row r="219">
      <c r="E219" s="22"/>
    </row>
    <row r="220">
      <c r="E220" s="22"/>
    </row>
    <row r="221">
      <c r="E221" s="22"/>
    </row>
    <row r="222">
      <c r="E222" s="22"/>
    </row>
    <row r="223">
      <c r="E223" s="22"/>
    </row>
    <row r="224">
      <c r="E224" s="22"/>
    </row>
    <row r="225">
      <c r="E225" s="22"/>
    </row>
    <row r="226">
      <c r="E226" s="22"/>
    </row>
    <row r="227">
      <c r="E227" s="22"/>
    </row>
    <row r="228">
      <c r="E228" s="22"/>
    </row>
    <row r="229">
      <c r="E229" s="22"/>
    </row>
    <row r="230">
      <c r="E230" s="22"/>
    </row>
    <row r="231">
      <c r="E231" s="22"/>
    </row>
    <row r="232">
      <c r="E232" s="22"/>
    </row>
    <row r="233">
      <c r="E233" s="22"/>
    </row>
    <row r="234">
      <c r="E234" s="22"/>
    </row>
    <row r="235">
      <c r="E235" s="22"/>
    </row>
    <row r="236">
      <c r="E236" s="22"/>
    </row>
    <row r="237">
      <c r="E237" s="22"/>
    </row>
    <row r="238">
      <c r="E238" s="22"/>
    </row>
    <row r="239">
      <c r="E239" s="22"/>
    </row>
    <row r="240">
      <c r="E240" s="22"/>
    </row>
    <row r="241">
      <c r="E241" s="22"/>
    </row>
    <row r="242">
      <c r="E242" s="22"/>
    </row>
    <row r="243">
      <c r="E243" s="22"/>
    </row>
    <row r="244">
      <c r="E244" s="22"/>
    </row>
    <row r="245">
      <c r="E245" s="22"/>
    </row>
    <row r="246">
      <c r="E246" s="22"/>
    </row>
    <row r="247">
      <c r="E247" s="22"/>
    </row>
    <row r="248">
      <c r="E248" s="22"/>
    </row>
    <row r="249">
      <c r="E249" s="22"/>
    </row>
    <row r="250">
      <c r="E250" s="22"/>
    </row>
    <row r="251">
      <c r="E251" s="22"/>
    </row>
    <row r="252">
      <c r="E252" s="22"/>
    </row>
    <row r="253">
      <c r="E253" s="22"/>
    </row>
    <row r="254">
      <c r="E254" s="22"/>
    </row>
    <row r="255">
      <c r="E255" s="22"/>
    </row>
    <row r="256">
      <c r="E256" s="22"/>
    </row>
    <row r="257">
      <c r="E257" s="22"/>
    </row>
    <row r="258">
      <c r="E258" s="22"/>
    </row>
    <row r="259">
      <c r="E259" s="22"/>
    </row>
    <row r="260">
      <c r="E260" s="22"/>
    </row>
    <row r="261">
      <c r="E261" s="22"/>
    </row>
    <row r="262">
      <c r="E262" s="22"/>
    </row>
    <row r="263">
      <c r="E263" s="22"/>
    </row>
    <row r="264">
      <c r="E264" s="22"/>
    </row>
    <row r="265">
      <c r="E265" s="22"/>
    </row>
    <row r="266">
      <c r="E266" s="22"/>
    </row>
    <row r="267">
      <c r="E267" s="22"/>
    </row>
    <row r="268">
      <c r="E268" s="22"/>
    </row>
    <row r="269">
      <c r="E269" s="22"/>
    </row>
    <row r="270">
      <c r="E270" s="22"/>
    </row>
    <row r="271">
      <c r="E271" s="22"/>
    </row>
    <row r="272">
      <c r="E272" s="22"/>
    </row>
    <row r="273">
      <c r="E273" s="22"/>
    </row>
    <row r="274">
      <c r="E274" s="22"/>
    </row>
    <row r="275">
      <c r="E275" s="22"/>
    </row>
    <row r="276">
      <c r="E276" s="22"/>
    </row>
    <row r="277">
      <c r="E277" s="22"/>
    </row>
    <row r="278">
      <c r="E278" s="22"/>
    </row>
    <row r="279">
      <c r="E279" s="22"/>
    </row>
    <row r="280">
      <c r="E280" s="22"/>
    </row>
    <row r="281">
      <c r="E281" s="22"/>
    </row>
    <row r="282">
      <c r="E282" s="22"/>
    </row>
    <row r="283">
      <c r="E283" s="22"/>
    </row>
    <row r="284">
      <c r="E284" s="22"/>
    </row>
    <row r="285">
      <c r="E285" s="22"/>
    </row>
    <row r="286">
      <c r="E286" s="22"/>
    </row>
    <row r="287">
      <c r="E287" s="22"/>
    </row>
    <row r="288">
      <c r="E288" s="22"/>
    </row>
    <row r="289">
      <c r="E289" s="22"/>
    </row>
    <row r="290">
      <c r="E290" s="22"/>
    </row>
    <row r="291">
      <c r="E291" s="22"/>
    </row>
    <row r="292">
      <c r="E292" s="22"/>
    </row>
    <row r="293">
      <c r="E293" s="22"/>
    </row>
    <row r="294">
      <c r="E294" s="22"/>
    </row>
    <row r="295">
      <c r="E295" s="22"/>
    </row>
    <row r="296">
      <c r="E296" s="22"/>
    </row>
    <row r="297">
      <c r="E297" s="22"/>
    </row>
    <row r="298">
      <c r="E298" s="22"/>
    </row>
    <row r="299">
      <c r="E299" s="22"/>
    </row>
    <row r="300">
      <c r="E300" s="22"/>
    </row>
    <row r="301">
      <c r="E301" s="22"/>
    </row>
    <row r="302">
      <c r="E302" s="22"/>
    </row>
    <row r="303">
      <c r="E303" s="22"/>
    </row>
    <row r="304">
      <c r="E304" s="22"/>
    </row>
    <row r="305">
      <c r="E305" s="22"/>
    </row>
    <row r="306">
      <c r="E306" s="22"/>
    </row>
    <row r="307">
      <c r="E307" s="22"/>
    </row>
    <row r="308">
      <c r="E308" s="22"/>
    </row>
    <row r="309">
      <c r="E309" s="22"/>
    </row>
    <row r="310">
      <c r="E310" s="22"/>
    </row>
    <row r="311">
      <c r="E311" s="22"/>
    </row>
    <row r="312">
      <c r="E312" s="22"/>
    </row>
    <row r="313">
      <c r="E313" s="22"/>
    </row>
    <row r="314">
      <c r="E314" s="22"/>
    </row>
    <row r="315">
      <c r="E315" s="22"/>
    </row>
    <row r="316">
      <c r="E316" s="22"/>
    </row>
    <row r="317">
      <c r="E317" s="22"/>
    </row>
    <row r="318">
      <c r="E318" s="22"/>
    </row>
    <row r="319">
      <c r="E319" s="22"/>
    </row>
    <row r="320">
      <c r="E320" s="22"/>
    </row>
    <row r="321">
      <c r="E321" s="22"/>
    </row>
    <row r="322">
      <c r="E322" s="22"/>
    </row>
    <row r="323">
      <c r="E323" s="22"/>
    </row>
    <row r="324">
      <c r="E324" s="22"/>
    </row>
    <row r="325">
      <c r="E325" s="22"/>
    </row>
    <row r="326">
      <c r="E326" s="22"/>
    </row>
    <row r="327">
      <c r="E327" s="22"/>
    </row>
    <row r="328">
      <c r="E328" s="22"/>
    </row>
    <row r="329">
      <c r="E329" s="22"/>
    </row>
    <row r="330">
      <c r="E330" s="22"/>
    </row>
    <row r="331">
      <c r="E331" s="22"/>
    </row>
    <row r="332">
      <c r="E332" s="22"/>
    </row>
    <row r="333">
      <c r="E333" s="22"/>
    </row>
    <row r="334">
      <c r="E334" s="22"/>
    </row>
    <row r="335">
      <c r="E335" s="22"/>
    </row>
    <row r="336">
      <c r="E336" s="22"/>
    </row>
    <row r="337">
      <c r="E337" s="22"/>
    </row>
    <row r="338">
      <c r="E338" s="22"/>
    </row>
    <row r="339">
      <c r="E339" s="22"/>
    </row>
    <row r="340">
      <c r="E340" s="22"/>
    </row>
    <row r="341">
      <c r="E341" s="22"/>
    </row>
    <row r="342">
      <c r="E342" s="22"/>
    </row>
    <row r="343">
      <c r="E343" s="22"/>
    </row>
    <row r="344">
      <c r="E344" s="22"/>
    </row>
    <row r="345">
      <c r="E345" s="22"/>
    </row>
    <row r="346">
      <c r="E346" s="22"/>
    </row>
    <row r="347">
      <c r="E347" s="22"/>
    </row>
    <row r="348">
      <c r="E348" s="22"/>
    </row>
    <row r="349">
      <c r="E349" s="22"/>
    </row>
    <row r="350">
      <c r="E350" s="22"/>
    </row>
    <row r="351">
      <c r="E351" s="22"/>
    </row>
    <row r="352">
      <c r="E352" s="22"/>
    </row>
    <row r="353">
      <c r="E353" s="22"/>
    </row>
    <row r="354">
      <c r="E354" s="22"/>
    </row>
    <row r="355">
      <c r="E355" s="22"/>
    </row>
    <row r="356">
      <c r="E356" s="22"/>
    </row>
    <row r="357">
      <c r="E357" s="22"/>
    </row>
    <row r="358">
      <c r="E358" s="22"/>
    </row>
    <row r="359">
      <c r="E359" s="22"/>
    </row>
    <row r="360">
      <c r="E360" s="22"/>
    </row>
    <row r="361">
      <c r="E361" s="22"/>
    </row>
    <row r="362">
      <c r="E362" s="22"/>
    </row>
    <row r="363">
      <c r="E363" s="22"/>
    </row>
    <row r="364">
      <c r="E364" s="22"/>
    </row>
    <row r="365">
      <c r="E365" s="22"/>
    </row>
    <row r="366">
      <c r="E366" s="22"/>
    </row>
    <row r="367">
      <c r="E367" s="22"/>
    </row>
    <row r="368">
      <c r="E368" s="22"/>
    </row>
    <row r="369">
      <c r="E369" s="22"/>
    </row>
    <row r="370">
      <c r="E370" s="22"/>
    </row>
    <row r="371">
      <c r="E371" s="22"/>
    </row>
    <row r="372">
      <c r="E372" s="22"/>
    </row>
    <row r="373">
      <c r="E373" s="22"/>
    </row>
    <row r="374">
      <c r="E374" s="22"/>
    </row>
    <row r="375">
      <c r="E375" s="22"/>
    </row>
    <row r="376">
      <c r="E376" s="22"/>
    </row>
    <row r="377">
      <c r="E377" s="22"/>
    </row>
    <row r="378">
      <c r="E378" s="22"/>
    </row>
    <row r="379">
      <c r="E379" s="22"/>
    </row>
    <row r="380">
      <c r="E380" s="22"/>
    </row>
    <row r="381">
      <c r="E381" s="22"/>
    </row>
    <row r="382">
      <c r="E382" s="22"/>
    </row>
    <row r="383">
      <c r="E383" s="22"/>
    </row>
    <row r="384">
      <c r="E384" s="22"/>
    </row>
    <row r="385">
      <c r="E385" s="22"/>
    </row>
    <row r="386">
      <c r="E386" s="22"/>
    </row>
    <row r="387">
      <c r="E387" s="22"/>
    </row>
    <row r="388">
      <c r="E388" s="22"/>
    </row>
    <row r="389">
      <c r="E389" s="22"/>
    </row>
    <row r="390">
      <c r="E390" s="22"/>
    </row>
    <row r="391">
      <c r="E391" s="22"/>
    </row>
    <row r="392">
      <c r="E392" s="22"/>
    </row>
    <row r="393">
      <c r="E393" s="22"/>
    </row>
    <row r="394">
      <c r="E394" s="22"/>
    </row>
    <row r="395">
      <c r="E395" s="22"/>
    </row>
    <row r="396">
      <c r="E396" s="22"/>
    </row>
    <row r="397">
      <c r="E397" s="22"/>
    </row>
    <row r="398">
      <c r="E398" s="22"/>
    </row>
    <row r="399">
      <c r="E399" s="22"/>
    </row>
    <row r="400">
      <c r="E400" s="22"/>
    </row>
    <row r="401">
      <c r="E401" s="22"/>
    </row>
    <row r="402">
      <c r="E402" s="22"/>
    </row>
    <row r="403">
      <c r="E403" s="22"/>
    </row>
    <row r="404">
      <c r="E404" s="22"/>
    </row>
    <row r="405">
      <c r="E405" s="22"/>
    </row>
    <row r="406">
      <c r="E406" s="22"/>
    </row>
    <row r="407">
      <c r="E407" s="22"/>
    </row>
    <row r="408">
      <c r="E408" s="22"/>
    </row>
    <row r="409">
      <c r="E409" s="22"/>
    </row>
    <row r="410">
      <c r="E410" s="22"/>
    </row>
    <row r="411">
      <c r="E411" s="22"/>
    </row>
    <row r="412">
      <c r="E412" s="22"/>
    </row>
    <row r="413">
      <c r="E413" s="22"/>
    </row>
    <row r="414">
      <c r="E414" s="22"/>
    </row>
    <row r="415">
      <c r="E415" s="22"/>
    </row>
    <row r="416">
      <c r="E416" s="22"/>
    </row>
    <row r="417">
      <c r="E417" s="22"/>
    </row>
    <row r="418">
      <c r="E418" s="22"/>
    </row>
    <row r="419">
      <c r="E419" s="22"/>
    </row>
    <row r="420">
      <c r="E420" s="22"/>
    </row>
    <row r="421">
      <c r="E421" s="22"/>
    </row>
    <row r="422">
      <c r="E422" s="22"/>
    </row>
    <row r="423">
      <c r="E423" s="22"/>
    </row>
    <row r="424">
      <c r="E424" s="22"/>
    </row>
    <row r="425">
      <c r="E425" s="22"/>
    </row>
    <row r="426">
      <c r="E426" s="22"/>
    </row>
    <row r="427">
      <c r="E427" s="22"/>
    </row>
    <row r="428">
      <c r="E428" s="22"/>
    </row>
    <row r="429">
      <c r="E429" s="22"/>
    </row>
    <row r="430">
      <c r="E430" s="22"/>
    </row>
    <row r="431">
      <c r="E431" s="22"/>
    </row>
    <row r="432">
      <c r="E432" s="22"/>
    </row>
    <row r="433">
      <c r="E433" s="22"/>
    </row>
    <row r="434">
      <c r="E434" s="22"/>
    </row>
    <row r="435">
      <c r="E435" s="22"/>
    </row>
    <row r="436">
      <c r="E436" s="22"/>
    </row>
    <row r="437">
      <c r="E437" s="22"/>
    </row>
    <row r="438">
      <c r="E438" s="22"/>
    </row>
    <row r="439">
      <c r="E439" s="22"/>
    </row>
    <row r="440">
      <c r="E440" s="22"/>
    </row>
    <row r="441">
      <c r="E441" s="22"/>
    </row>
    <row r="442">
      <c r="E442" s="22"/>
    </row>
    <row r="443">
      <c r="E443" s="22"/>
    </row>
    <row r="444">
      <c r="E444" s="22"/>
    </row>
    <row r="445">
      <c r="E445" s="22"/>
    </row>
    <row r="446">
      <c r="E446" s="22"/>
    </row>
    <row r="447">
      <c r="E447" s="22"/>
    </row>
    <row r="448">
      <c r="E448" s="22"/>
    </row>
    <row r="449">
      <c r="E449" s="22"/>
    </row>
    <row r="450">
      <c r="E450" s="22"/>
    </row>
    <row r="451">
      <c r="E451" s="22"/>
    </row>
    <row r="452">
      <c r="E452" s="22"/>
    </row>
    <row r="453">
      <c r="E453" s="22"/>
    </row>
    <row r="454">
      <c r="E454" s="22"/>
    </row>
    <row r="455">
      <c r="E455" s="22"/>
    </row>
    <row r="456">
      <c r="E456" s="22"/>
    </row>
    <row r="457">
      <c r="E457" s="22"/>
    </row>
    <row r="458">
      <c r="E458" s="22"/>
    </row>
    <row r="459">
      <c r="E459" s="22"/>
    </row>
    <row r="460">
      <c r="E460" s="22"/>
    </row>
    <row r="461">
      <c r="E461" s="22"/>
    </row>
    <row r="462">
      <c r="E462" s="22"/>
    </row>
    <row r="463">
      <c r="E463" s="22"/>
    </row>
    <row r="464">
      <c r="E464" s="22"/>
    </row>
    <row r="465">
      <c r="E465" s="22"/>
    </row>
    <row r="466">
      <c r="E466" s="22"/>
    </row>
    <row r="467">
      <c r="E467" s="22"/>
    </row>
    <row r="468">
      <c r="E468" s="22"/>
    </row>
    <row r="469">
      <c r="E469" s="22"/>
    </row>
    <row r="470">
      <c r="E470" s="22"/>
    </row>
    <row r="471">
      <c r="E471" s="22"/>
    </row>
    <row r="472">
      <c r="E472" s="22"/>
    </row>
    <row r="473">
      <c r="E473" s="22"/>
    </row>
    <row r="474">
      <c r="E474" s="22"/>
    </row>
    <row r="475">
      <c r="E475" s="22"/>
    </row>
    <row r="476">
      <c r="E476" s="22"/>
    </row>
    <row r="477">
      <c r="E477" s="22"/>
    </row>
    <row r="478">
      <c r="E478" s="22"/>
    </row>
    <row r="479">
      <c r="E479" s="22"/>
    </row>
    <row r="480">
      <c r="E480" s="22"/>
    </row>
    <row r="481">
      <c r="E481" s="22"/>
    </row>
    <row r="482">
      <c r="E482" s="22"/>
    </row>
    <row r="483">
      <c r="E483" s="22"/>
    </row>
    <row r="484">
      <c r="E484" s="22"/>
    </row>
    <row r="485">
      <c r="E485" s="22"/>
    </row>
    <row r="486">
      <c r="E486" s="22"/>
    </row>
    <row r="487">
      <c r="E487" s="22"/>
    </row>
    <row r="488">
      <c r="E488" s="22"/>
    </row>
    <row r="489">
      <c r="E489" s="22"/>
    </row>
    <row r="490">
      <c r="E490" s="22"/>
    </row>
    <row r="491">
      <c r="E491" s="22"/>
    </row>
    <row r="492">
      <c r="E492" s="22"/>
    </row>
    <row r="493">
      <c r="E493" s="22"/>
    </row>
    <row r="494">
      <c r="E494" s="22"/>
    </row>
    <row r="495">
      <c r="E495" s="22"/>
    </row>
    <row r="496">
      <c r="E496" s="22"/>
    </row>
    <row r="497">
      <c r="E497" s="22"/>
    </row>
    <row r="498">
      <c r="E498" s="22"/>
    </row>
    <row r="499">
      <c r="E499" s="22"/>
    </row>
    <row r="500">
      <c r="E500" s="22"/>
    </row>
    <row r="501">
      <c r="E501" s="22"/>
    </row>
    <row r="502">
      <c r="E502" s="22"/>
    </row>
    <row r="503">
      <c r="E503" s="22"/>
    </row>
    <row r="504">
      <c r="E504" s="22"/>
    </row>
    <row r="505">
      <c r="E505" s="22"/>
    </row>
    <row r="506">
      <c r="E506" s="22"/>
    </row>
    <row r="507">
      <c r="E507" s="22"/>
    </row>
    <row r="508">
      <c r="E508" s="22"/>
    </row>
    <row r="509">
      <c r="E509" s="22"/>
    </row>
    <row r="510">
      <c r="E510" s="22"/>
    </row>
    <row r="511">
      <c r="E511" s="22"/>
    </row>
    <row r="512">
      <c r="E512" s="22"/>
    </row>
    <row r="513">
      <c r="E513" s="22"/>
    </row>
    <row r="514">
      <c r="E514" s="22"/>
    </row>
    <row r="515">
      <c r="E515" s="22"/>
    </row>
    <row r="516">
      <c r="E516" s="22"/>
    </row>
    <row r="517">
      <c r="E517" s="22"/>
    </row>
    <row r="518">
      <c r="E518" s="22"/>
    </row>
    <row r="519">
      <c r="E519" s="22"/>
    </row>
    <row r="520">
      <c r="E520" s="22"/>
    </row>
    <row r="521">
      <c r="E521" s="22"/>
    </row>
    <row r="522">
      <c r="E522" s="22"/>
    </row>
    <row r="523">
      <c r="E523" s="22"/>
    </row>
    <row r="524">
      <c r="E524" s="22"/>
    </row>
    <row r="525">
      <c r="E525" s="22"/>
    </row>
    <row r="526">
      <c r="E526" s="22"/>
    </row>
    <row r="527">
      <c r="E527" s="22"/>
    </row>
    <row r="528">
      <c r="E528" s="22"/>
    </row>
    <row r="529">
      <c r="E529" s="22"/>
    </row>
    <row r="530">
      <c r="E530" s="22"/>
    </row>
    <row r="531">
      <c r="E531" s="22"/>
    </row>
    <row r="532">
      <c r="E532" s="22"/>
    </row>
    <row r="533">
      <c r="E533" s="22"/>
    </row>
    <row r="534">
      <c r="E534" s="22"/>
    </row>
    <row r="535">
      <c r="E535" s="22"/>
    </row>
    <row r="536">
      <c r="E536" s="22"/>
    </row>
    <row r="537">
      <c r="E537" s="22"/>
    </row>
    <row r="538">
      <c r="E538" s="22"/>
    </row>
    <row r="539">
      <c r="E539" s="22"/>
    </row>
    <row r="540">
      <c r="E540" s="22"/>
    </row>
    <row r="541">
      <c r="E541" s="22"/>
    </row>
    <row r="542">
      <c r="E542" s="22"/>
    </row>
    <row r="543">
      <c r="E543" s="22"/>
    </row>
    <row r="544">
      <c r="E544" s="22"/>
    </row>
    <row r="545">
      <c r="E545" s="22"/>
    </row>
    <row r="546">
      <c r="E546" s="22"/>
    </row>
    <row r="547">
      <c r="E547" s="22"/>
    </row>
    <row r="548">
      <c r="E548" s="22"/>
    </row>
    <row r="549">
      <c r="E549" s="22"/>
    </row>
    <row r="550">
      <c r="E550" s="22"/>
    </row>
    <row r="551">
      <c r="E551" s="22"/>
    </row>
    <row r="552">
      <c r="E552" s="22"/>
    </row>
    <row r="553">
      <c r="E553" s="22"/>
    </row>
    <row r="554">
      <c r="E554" s="22"/>
    </row>
    <row r="555">
      <c r="E555" s="22"/>
    </row>
    <row r="556">
      <c r="E556" s="22"/>
    </row>
    <row r="557">
      <c r="E557" s="22"/>
    </row>
    <row r="558">
      <c r="E558" s="22"/>
    </row>
    <row r="559">
      <c r="E559" s="22"/>
    </row>
    <row r="560">
      <c r="E560" s="22"/>
    </row>
    <row r="561">
      <c r="E561" s="22"/>
    </row>
    <row r="562">
      <c r="E562" s="22"/>
    </row>
    <row r="563">
      <c r="E563" s="22"/>
    </row>
    <row r="564">
      <c r="E564" s="22"/>
    </row>
    <row r="565">
      <c r="E565" s="22"/>
    </row>
    <row r="566">
      <c r="E566" s="22"/>
    </row>
    <row r="567">
      <c r="E567" s="22"/>
    </row>
    <row r="568">
      <c r="E568" s="22"/>
    </row>
    <row r="569">
      <c r="E569" s="22"/>
    </row>
    <row r="570">
      <c r="E570" s="22"/>
    </row>
    <row r="571">
      <c r="E571" s="22"/>
    </row>
    <row r="572">
      <c r="E572" s="22"/>
    </row>
    <row r="573">
      <c r="E573" s="22"/>
    </row>
    <row r="574">
      <c r="E574" s="22"/>
    </row>
    <row r="575">
      <c r="E575" s="22"/>
    </row>
    <row r="576">
      <c r="E576" s="22"/>
    </row>
    <row r="577">
      <c r="E577" s="22"/>
    </row>
    <row r="578">
      <c r="E578" s="22"/>
    </row>
    <row r="579">
      <c r="E579" s="22"/>
    </row>
    <row r="580">
      <c r="E580" s="22"/>
    </row>
    <row r="581">
      <c r="E581" s="22"/>
    </row>
    <row r="582">
      <c r="E582" s="22"/>
    </row>
    <row r="583">
      <c r="E583" s="22"/>
    </row>
    <row r="584">
      <c r="E584" s="22"/>
    </row>
    <row r="585">
      <c r="E585" s="22"/>
    </row>
    <row r="586">
      <c r="E586" s="22"/>
    </row>
    <row r="587">
      <c r="E587" s="22"/>
    </row>
    <row r="588">
      <c r="E588" s="22"/>
    </row>
    <row r="589">
      <c r="E589" s="22"/>
    </row>
    <row r="590">
      <c r="E590" s="22"/>
    </row>
    <row r="591">
      <c r="E591" s="22"/>
    </row>
    <row r="592">
      <c r="E592" s="22"/>
    </row>
    <row r="593">
      <c r="E593" s="22"/>
    </row>
    <row r="594">
      <c r="E594" s="22"/>
    </row>
    <row r="595">
      <c r="E595" s="22"/>
    </row>
    <row r="596">
      <c r="E596" s="22"/>
    </row>
    <row r="597">
      <c r="E597" s="22"/>
    </row>
    <row r="598">
      <c r="E598" s="22"/>
    </row>
    <row r="599">
      <c r="E599" s="22"/>
    </row>
    <row r="600">
      <c r="E600" s="22"/>
    </row>
    <row r="601">
      <c r="E601" s="22"/>
    </row>
    <row r="602">
      <c r="E602" s="22"/>
    </row>
    <row r="603">
      <c r="E603" s="22"/>
    </row>
    <row r="604">
      <c r="E604" s="22"/>
    </row>
    <row r="605">
      <c r="E605" s="22"/>
    </row>
    <row r="606">
      <c r="E606" s="22"/>
    </row>
    <row r="607">
      <c r="E607" s="22"/>
    </row>
    <row r="608">
      <c r="E608" s="22"/>
    </row>
    <row r="609">
      <c r="E609" s="22"/>
    </row>
    <row r="610">
      <c r="E610" s="22"/>
    </row>
    <row r="611">
      <c r="E611" s="22"/>
    </row>
    <row r="612">
      <c r="E612" s="22"/>
    </row>
    <row r="613">
      <c r="E613" s="22"/>
    </row>
    <row r="614">
      <c r="E614" s="22"/>
    </row>
    <row r="615">
      <c r="E615" s="22"/>
    </row>
    <row r="616">
      <c r="E616" s="22"/>
    </row>
    <row r="617">
      <c r="E617" s="22"/>
    </row>
    <row r="618">
      <c r="E618" s="22"/>
    </row>
    <row r="619">
      <c r="E619" s="22"/>
    </row>
    <row r="620">
      <c r="E620" s="22"/>
    </row>
    <row r="621">
      <c r="E621" s="22"/>
    </row>
    <row r="622">
      <c r="E622" s="22"/>
    </row>
    <row r="623">
      <c r="E623" s="22"/>
    </row>
    <row r="624">
      <c r="E624" s="22"/>
    </row>
    <row r="625">
      <c r="E625" s="22"/>
    </row>
    <row r="626">
      <c r="E626" s="22"/>
    </row>
    <row r="627">
      <c r="E627" s="22"/>
    </row>
    <row r="628">
      <c r="E628" s="22"/>
    </row>
    <row r="629">
      <c r="E629" s="22"/>
    </row>
    <row r="630">
      <c r="E630" s="22"/>
    </row>
    <row r="631">
      <c r="E631" s="22"/>
    </row>
    <row r="632">
      <c r="E632" s="22"/>
    </row>
    <row r="633">
      <c r="E633" s="22"/>
    </row>
    <row r="634">
      <c r="E634" s="22"/>
    </row>
    <row r="635">
      <c r="E635" s="22"/>
    </row>
    <row r="636">
      <c r="E636" s="22"/>
    </row>
    <row r="637">
      <c r="E637" s="22"/>
    </row>
    <row r="638">
      <c r="E638" s="22"/>
    </row>
    <row r="639">
      <c r="E639" s="22"/>
    </row>
    <row r="640">
      <c r="E640" s="22"/>
    </row>
    <row r="641">
      <c r="E641" s="22"/>
    </row>
    <row r="642">
      <c r="E642" s="22"/>
    </row>
    <row r="643">
      <c r="E643" s="22"/>
    </row>
    <row r="644">
      <c r="E644" s="22"/>
    </row>
    <row r="645">
      <c r="E645" s="22"/>
    </row>
    <row r="646">
      <c r="E646" s="22"/>
    </row>
    <row r="647">
      <c r="E647" s="22"/>
    </row>
    <row r="648">
      <c r="E648" s="22"/>
    </row>
    <row r="649">
      <c r="E649" s="22"/>
    </row>
    <row r="650">
      <c r="E650" s="22"/>
    </row>
    <row r="651">
      <c r="E651" s="22"/>
    </row>
    <row r="652">
      <c r="E652" s="22"/>
    </row>
    <row r="653">
      <c r="E653" s="22"/>
    </row>
    <row r="654">
      <c r="E654" s="22"/>
    </row>
    <row r="655">
      <c r="E655" s="22"/>
    </row>
    <row r="656">
      <c r="E656" s="22"/>
    </row>
    <row r="657">
      <c r="E657" s="22"/>
    </row>
    <row r="658">
      <c r="E658" s="22"/>
    </row>
    <row r="659">
      <c r="E659" s="22"/>
    </row>
    <row r="660">
      <c r="E660" s="22"/>
    </row>
    <row r="661">
      <c r="E661" s="22"/>
    </row>
    <row r="662">
      <c r="E662" s="22"/>
    </row>
    <row r="663">
      <c r="E663" s="22"/>
    </row>
    <row r="664">
      <c r="E664" s="22"/>
    </row>
    <row r="665">
      <c r="E665" s="22"/>
    </row>
    <row r="666">
      <c r="E666" s="22"/>
    </row>
    <row r="667">
      <c r="E667" s="22"/>
    </row>
    <row r="668">
      <c r="E668" s="22"/>
    </row>
    <row r="669">
      <c r="E669" s="22"/>
    </row>
    <row r="670">
      <c r="E670" s="22"/>
    </row>
    <row r="671">
      <c r="E671" s="22"/>
    </row>
    <row r="672">
      <c r="E672" s="22"/>
    </row>
    <row r="673">
      <c r="E673" s="22"/>
    </row>
    <row r="674">
      <c r="E674" s="22"/>
    </row>
    <row r="675">
      <c r="E675" s="22"/>
    </row>
    <row r="676">
      <c r="E676" s="22"/>
    </row>
    <row r="677">
      <c r="E677" s="22"/>
    </row>
    <row r="678">
      <c r="E678" s="22"/>
    </row>
    <row r="679">
      <c r="E679" s="22"/>
    </row>
    <row r="680">
      <c r="E680" s="22"/>
    </row>
    <row r="681">
      <c r="E681" s="22"/>
    </row>
    <row r="682">
      <c r="E682" s="22"/>
    </row>
    <row r="683">
      <c r="E683" s="22"/>
    </row>
    <row r="684">
      <c r="E684" s="22"/>
    </row>
    <row r="685">
      <c r="E685" s="22"/>
    </row>
    <row r="686">
      <c r="E686" s="22"/>
    </row>
    <row r="687">
      <c r="E687" s="22"/>
    </row>
    <row r="688">
      <c r="E688" s="22"/>
    </row>
    <row r="689">
      <c r="E689" s="22"/>
    </row>
    <row r="690">
      <c r="E690" s="22"/>
    </row>
    <row r="691">
      <c r="E691" s="22"/>
    </row>
    <row r="692">
      <c r="E692" s="22"/>
    </row>
    <row r="693">
      <c r="E693" s="22"/>
    </row>
    <row r="694">
      <c r="E694" s="22"/>
    </row>
    <row r="695">
      <c r="E695" s="22"/>
    </row>
    <row r="696">
      <c r="E696" s="22"/>
    </row>
    <row r="697">
      <c r="E697" s="22"/>
    </row>
    <row r="698">
      <c r="E698" s="22"/>
    </row>
    <row r="699">
      <c r="E699" s="22"/>
    </row>
    <row r="700">
      <c r="E700" s="22"/>
    </row>
    <row r="701">
      <c r="E701" s="22"/>
    </row>
    <row r="702">
      <c r="E702" s="22"/>
    </row>
    <row r="703">
      <c r="E703" s="22"/>
    </row>
    <row r="704">
      <c r="E704" s="22"/>
    </row>
    <row r="705">
      <c r="E705" s="22"/>
    </row>
    <row r="706">
      <c r="E706" s="22"/>
    </row>
    <row r="707">
      <c r="E707" s="22"/>
    </row>
    <row r="708">
      <c r="E708" s="22"/>
    </row>
    <row r="709">
      <c r="E709" s="22"/>
    </row>
    <row r="710">
      <c r="E710" s="22"/>
    </row>
    <row r="711">
      <c r="E711" s="22"/>
    </row>
    <row r="712">
      <c r="E712" s="22"/>
    </row>
    <row r="713">
      <c r="E713" s="22"/>
    </row>
    <row r="714">
      <c r="E714" s="22"/>
    </row>
    <row r="715">
      <c r="E715" s="22"/>
    </row>
    <row r="716">
      <c r="E716" s="22"/>
    </row>
    <row r="717">
      <c r="E717" s="22"/>
    </row>
    <row r="718">
      <c r="E718" s="22"/>
    </row>
    <row r="719">
      <c r="E719" s="22"/>
    </row>
    <row r="720">
      <c r="E720" s="22"/>
    </row>
    <row r="721">
      <c r="E721" s="22"/>
    </row>
    <row r="722">
      <c r="E722" s="22"/>
    </row>
    <row r="723">
      <c r="E723" s="22"/>
    </row>
    <row r="724">
      <c r="E724" s="22"/>
    </row>
    <row r="725">
      <c r="E725" s="22"/>
    </row>
    <row r="726">
      <c r="E726" s="22"/>
    </row>
    <row r="727">
      <c r="E727" s="22"/>
    </row>
    <row r="728">
      <c r="E728" s="22"/>
    </row>
    <row r="729">
      <c r="E729" s="22"/>
    </row>
    <row r="730">
      <c r="E730" s="22"/>
    </row>
    <row r="731">
      <c r="E731" s="22"/>
    </row>
    <row r="732">
      <c r="E732" s="22"/>
    </row>
    <row r="733">
      <c r="E733" s="22"/>
    </row>
    <row r="734">
      <c r="E734" s="22"/>
    </row>
    <row r="735">
      <c r="E735" s="22"/>
    </row>
    <row r="736">
      <c r="E736" s="22"/>
    </row>
    <row r="737">
      <c r="E737" s="22"/>
    </row>
    <row r="738">
      <c r="E738" s="22"/>
    </row>
    <row r="739">
      <c r="E739" s="22"/>
    </row>
    <row r="740">
      <c r="E740" s="22"/>
    </row>
    <row r="741">
      <c r="E741" s="22"/>
    </row>
    <row r="742">
      <c r="E742" s="22"/>
    </row>
    <row r="743">
      <c r="E743" s="22"/>
    </row>
    <row r="744">
      <c r="E744" s="22"/>
    </row>
    <row r="745">
      <c r="E745" s="22"/>
    </row>
    <row r="746">
      <c r="E746" s="22"/>
    </row>
    <row r="747">
      <c r="E747" s="22"/>
    </row>
    <row r="748">
      <c r="E748" s="22"/>
    </row>
    <row r="749">
      <c r="E749" s="22"/>
    </row>
    <row r="750">
      <c r="E750" s="22"/>
    </row>
    <row r="751">
      <c r="E751" s="22"/>
    </row>
    <row r="752">
      <c r="E752" s="22"/>
    </row>
    <row r="753">
      <c r="E753" s="22"/>
    </row>
    <row r="754">
      <c r="E754" s="22"/>
    </row>
    <row r="755">
      <c r="E755" s="22"/>
    </row>
    <row r="756">
      <c r="E756" s="22"/>
    </row>
    <row r="757">
      <c r="E757" s="22"/>
    </row>
    <row r="758">
      <c r="E758" s="22"/>
    </row>
    <row r="759">
      <c r="E759" s="22"/>
    </row>
    <row r="760">
      <c r="E760" s="22"/>
    </row>
    <row r="761">
      <c r="E761" s="22"/>
    </row>
    <row r="762">
      <c r="E762" s="22"/>
    </row>
    <row r="763">
      <c r="E763" s="22"/>
    </row>
    <row r="764">
      <c r="E764" s="22"/>
    </row>
    <row r="765">
      <c r="E765" s="22"/>
    </row>
    <row r="766">
      <c r="E766" s="22"/>
    </row>
    <row r="767">
      <c r="E767" s="22"/>
    </row>
    <row r="768">
      <c r="E768" s="22"/>
    </row>
    <row r="769">
      <c r="E769" s="22"/>
    </row>
    <row r="770">
      <c r="E770" s="22"/>
    </row>
    <row r="771">
      <c r="E771" s="22"/>
    </row>
    <row r="772">
      <c r="E772" s="22"/>
    </row>
    <row r="773">
      <c r="E773" s="22"/>
    </row>
    <row r="774">
      <c r="E774" s="22"/>
    </row>
    <row r="775">
      <c r="E775" s="22"/>
    </row>
    <row r="776">
      <c r="E776" s="22"/>
    </row>
    <row r="777">
      <c r="E777" s="22"/>
    </row>
    <row r="778">
      <c r="E778" s="22"/>
    </row>
    <row r="779">
      <c r="E779" s="22"/>
    </row>
    <row r="780">
      <c r="E780" s="22"/>
    </row>
    <row r="781">
      <c r="E781" s="22"/>
    </row>
    <row r="782">
      <c r="E782" s="22"/>
    </row>
    <row r="783">
      <c r="E783" s="22"/>
    </row>
    <row r="784">
      <c r="E784" s="22"/>
    </row>
    <row r="785">
      <c r="E785" s="22"/>
    </row>
    <row r="786">
      <c r="E786" s="22"/>
    </row>
    <row r="787">
      <c r="E787" s="22"/>
    </row>
    <row r="788">
      <c r="E788" s="22"/>
    </row>
    <row r="789">
      <c r="E789" s="22"/>
    </row>
    <row r="790">
      <c r="E790" s="22"/>
    </row>
    <row r="791">
      <c r="E791" s="22"/>
    </row>
    <row r="792">
      <c r="E792" s="22"/>
    </row>
    <row r="793">
      <c r="E793" s="22"/>
    </row>
    <row r="794">
      <c r="E794" s="22"/>
    </row>
    <row r="795">
      <c r="E795" s="22"/>
    </row>
    <row r="796">
      <c r="E796" s="22"/>
    </row>
    <row r="797">
      <c r="E797" s="22"/>
    </row>
    <row r="798">
      <c r="E798" s="22"/>
    </row>
    <row r="799">
      <c r="E799" s="22"/>
    </row>
    <row r="800">
      <c r="E800" s="22"/>
    </row>
    <row r="801">
      <c r="E801" s="22"/>
    </row>
    <row r="802">
      <c r="E802" s="22"/>
    </row>
    <row r="803">
      <c r="E803" s="22"/>
    </row>
    <row r="804">
      <c r="E804" s="22"/>
    </row>
    <row r="805">
      <c r="E805" s="22"/>
    </row>
    <row r="806">
      <c r="E806" s="22"/>
    </row>
    <row r="807">
      <c r="E807" s="22"/>
    </row>
    <row r="808">
      <c r="E808" s="22"/>
    </row>
    <row r="809">
      <c r="E809" s="22"/>
    </row>
    <row r="810">
      <c r="E810" s="22"/>
    </row>
    <row r="811">
      <c r="E811" s="22"/>
    </row>
    <row r="812">
      <c r="E812" s="22"/>
    </row>
    <row r="813">
      <c r="E813" s="22"/>
    </row>
    <row r="814">
      <c r="E814" s="22"/>
    </row>
    <row r="815">
      <c r="E815" s="22"/>
    </row>
    <row r="816">
      <c r="E816" s="22"/>
    </row>
    <row r="817">
      <c r="E817" s="22"/>
    </row>
    <row r="818">
      <c r="E818" s="22"/>
    </row>
    <row r="819">
      <c r="E819" s="22"/>
    </row>
    <row r="820">
      <c r="E820" s="22"/>
    </row>
    <row r="821">
      <c r="E821" s="22"/>
    </row>
    <row r="822">
      <c r="E822" s="22"/>
    </row>
    <row r="823">
      <c r="E823" s="22"/>
    </row>
    <row r="824">
      <c r="E824" s="22"/>
    </row>
    <row r="825">
      <c r="E825" s="22"/>
    </row>
    <row r="826">
      <c r="E826" s="22"/>
    </row>
    <row r="827">
      <c r="E827" s="22"/>
    </row>
    <row r="828">
      <c r="E828" s="22"/>
    </row>
    <row r="829">
      <c r="E829" s="22"/>
    </row>
    <row r="830">
      <c r="E830" s="22"/>
    </row>
    <row r="831">
      <c r="E831" s="22"/>
    </row>
    <row r="832">
      <c r="E832" s="22"/>
    </row>
    <row r="833">
      <c r="E833" s="22"/>
    </row>
    <row r="834">
      <c r="E834" s="22"/>
    </row>
    <row r="835">
      <c r="E835" s="22"/>
    </row>
    <row r="836">
      <c r="E836" s="22"/>
    </row>
    <row r="837">
      <c r="E837" s="22"/>
    </row>
    <row r="838">
      <c r="E838" s="22"/>
    </row>
    <row r="839">
      <c r="E839" s="22"/>
    </row>
    <row r="840">
      <c r="E840" s="22"/>
    </row>
    <row r="841">
      <c r="E841" s="22"/>
    </row>
    <row r="842">
      <c r="E842" s="22"/>
    </row>
    <row r="843">
      <c r="E843" s="22"/>
    </row>
    <row r="844">
      <c r="E844" s="22"/>
    </row>
    <row r="845">
      <c r="E845" s="22"/>
    </row>
    <row r="846">
      <c r="E846" s="22"/>
    </row>
    <row r="847">
      <c r="E847" s="22"/>
    </row>
    <row r="848">
      <c r="E848" s="22"/>
    </row>
    <row r="849">
      <c r="E849" s="22"/>
    </row>
    <row r="850">
      <c r="E850" s="22"/>
    </row>
    <row r="851">
      <c r="E851" s="22"/>
    </row>
    <row r="852">
      <c r="E852" s="22"/>
    </row>
    <row r="853">
      <c r="E853" s="22"/>
    </row>
    <row r="854">
      <c r="E854" s="22"/>
    </row>
    <row r="855">
      <c r="E855" s="22"/>
    </row>
    <row r="856">
      <c r="E856" s="22"/>
    </row>
    <row r="857">
      <c r="E857" s="22"/>
    </row>
    <row r="858">
      <c r="E858" s="22"/>
    </row>
    <row r="859">
      <c r="E859" s="22"/>
    </row>
    <row r="860">
      <c r="E860" s="22"/>
    </row>
    <row r="861">
      <c r="E861" s="22"/>
    </row>
    <row r="862">
      <c r="E862" s="22"/>
    </row>
    <row r="863">
      <c r="E863" s="22"/>
    </row>
    <row r="864">
      <c r="E864" s="22"/>
    </row>
    <row r="865">
      <c r="E865" s="22"/>
    </row>
    <row r="866">
      <c r="E866" s="22"/>
    </row>
    <row r="867">
      <c r="E867" s="22"/>
    </row>
    <row r="868">
      <c r="E868" s="22"/>
    </row>
    <row r="869">
      <c r="E869" s="22"/>
    </row>
    <row r="870">
      <c r="E870" s="22"/>
    </row>
    <row r="871">
      <c r="E871" s="22"/>
    </row>
    <row r="872">
      <c r="E872" s="22"/>
    </row>
    <row r="873">
      <c r="E873" s="22"/>
    </row>
    <row r="874">
      <c r="E874" s="22"/>
    </row>
    <row r="875">
      <c r="E875" s="22"/>
    </row>
    <row r="876">
      <c r="E876" s="22"/>
    </row>
    <row r="877">
      <c r="E877" s="22"/>
    </row>
    <row r="878">
      <c r="E878" s="22"/>
    </row>
    <row r="879">
      <c r="E879" s="22"/>
    </row>
    <row r="880">
      <c r="E880" s="22"/>
    </row>
    <row r="881">
      <c r="E881" s="22"/>
    </row>
    <row r="882">
      <c r="E882" s="22"/>
    </row>
    <row r="883">
      <c r="E883" s="22"/>
    </row>
    <row r="884">
      <c r="E884" s="22"/>
    </row>
    <row r="885">
      <c r="E885" s="22"/>
    </row>
    <row r="886">
      <c r="E886" s="22"/>
    </row>
    <row r="887">
      <c r="E887" s="22"/>
    </row>
    <row r="888">
      <c r="E888" s="22"/>
    </row>
    <row r="889">
      <c r="E889" s="22"/>
    </row>
    <row r="890">
      <c r="E890" s="22"/>
    </row>
    <row r="891">
      <c r="E891" s="22"/>
    </row>
    <row r="892">
      <c r="E892" s="22"/>
    </row>
    <row r="893">
      <c r="E893" s="22"/>
    </row>
    <row r="894">
      <c r="E894" s="22"/>
    </row>
    <row r="895">
      <c r="E895" s="22"/>
    </row>
    <row r="896">
      <c r="E896" s="22"/>
    </row>
    <row r="897">
      <c r="E897" s="22"/>
    </row>
    <row r="898">
      <c r="E898" s="22"/>
    </row>
    <row r="899">
      <c r="E899" s="22"/>
    </row>
    <row r="900">
      <c r="E900" s="22"/>
    </row>
    <row r="901">
      <c r="E901" s="22"/>
    </row>
    <row r="902">
      <c r="E902" s="22"/>
    </row>
    <row r="903">
      <c r="E903" s="22"/>
    </row>
    <row r="904">
      <c r="E904" s="22"/>
    </row>
    <row r="905">
      <c r="E905" s="22"/>
    </row>
    <row r="906">
      <c r="E906" s="22"/>
    </row>
    <row r="907">
      <c r="E907" s="22"/>
    </row>
    <row r="908">
      <c r="E908" s="22"/>
    </row>
    <row r="909">
      <c r="E909" s="22"/>
    </row>
    <row r="910">
      <c r="E910" s="22"/>
    </row>
    <row r="911">
      <c r="E911" s="22"/>
    </row>
    <row r="912">
      <c r="E912" s="22"/>
    </row>
    <row r="913">
      <c r="E913" s="22"/>
    </row>
    <row r="914">
      <c r="E914" s="22"/>
    </row>
    <row r="915">
      <c r="E915" s="22"/>
    </row>
    <row r="916">
      <c r="E916" s="22"/>
    </row>
    <row r="917">
      <c r="E917" s="22"/>
    </row>
    <row r="918">
      <c r="E918" s="22"/>
    </row>
    <row r="919">
      <c r="E919" s="22"/>
    </row>
    <row r="920">
      <c r="E920" s="22"/>
    </row>
    <row r="921">
      <c r="E921" s="22"/>
    </row>
    <row r="922">
      <c r="E922" s="22"/>
    </row>
    <row r="923">
      <c r="E923" s="22"/>
    </row>
    <row r="924">
      <c r="E924" s="22"/>
    </row>
    <row r="925">
      <c r="E925" s="22"/>
    </row>
    <row r="926">
      <c r="E926" s="22"/>
    </row>
    <row r="927">
      <c r="E927" s="22"/>
    </row>
    <row r="928">
      <c r="E928" s="22"/>
    </row>
    <row r="929">
      <c r="E929" s="22"/>
    </row>
    <row r="930">
      <c r="E930" s="22"/>
    </row>
    <row r="931">
      <c r="E931" s="22"/>
    </row>
    <row r="932">
      <c r="E932" s="22"/>
    </row>
    <row r="933">
      <c r="E933" s="22"/>
    </row>
    <row r="934">
      <c r="E934" s="22"/>
    </row>
    <row r="935">
      <c r="E935" s="22"/>
    </row>
    <row r="936">
      <c r="E936" s="22"/>
    </row>
    <row r="937">
      <c r="E937" s="22"/>
    </row>
    <row r="938">
      <c r="E938" s="22"/>
    </row>
    <row r="939">
      <c r="E939" s="22"/>
    </row>
    <row r="940">
      <c r="E940" s="22"/>
    </row>
    <row r="941">
      <c r="E941" s="22"/>
    </row>
    <row r="942">
      <c r="E942" s="22"/>
    </row>
    <row r="943">
      <c r="E943" s="22"/>
    </row>
    <row r="944">
      <c r="E944" s="22"/>
    </row>
    <row r="945">
      <c r="E945" s="22"/>
    </row>
    <row r="946">
      <c r="E946" s="22"/>
    </row>
    <row r="947">
      <c r="E947" s="22"/>
    </row>
    <row r="948">
      <c r="E948" s="22"/>
    </row>
    <row r="949">
      <c r="E949" s="22"/>
    </row>
    <row r="950">
      <c r="E950" s="22"/>
    </row>
    <row r="951">
      <c r="E951" s="22"/>
    </row>
    <row r="952">
      <c r="E952" s="22"/>
    </row>
    <row r="953">
      <c r="E953" s="22"/>
    </row>
    <row r="954">
      <c r="E954" s="22"/>
    </row>
    <row r="955">
      <c r="E955" s="22"/>
    </row>
    <row r="956">
      <c r="E956" s="22"/>
    </row>
    <row r="957">
      <c r="E957" s="22"/>
    </row>
    <row r="958">
      <c r="E958" s="22"/>
    </row>
    <row r="959">
      <c r="E959" s="22"/>
    </row>
    <row r="960">
      <c r="E960" s="22"/>
    </row>
    <row r="961">
      <c r="E961" s="22"/>
    </row>
    <row r="962">
      <c r="E962" s="22"/>
    </row>
    <row r="963">
      <c r="E963" s="22"/>
    </row>
    <row r="964">
      <c r="E964" s="22"/>
    </row>
    <row r="965">
      <c r="E965" s="22"/>
    </row>
    <row r="966">
      <c r="E966" s="22"/>
    </row>
    <row r="967">
      <c r="E967" s="22"/>
    </row>
    <row r="968">
      <c r="E968" s="22"/>
    </row>
    <row r="969">
      <c r="E969" s="22"/>
    </row>
    <row r="970">
      <c r="E970" s="22"/>
    </row>
    <row r="971">
      <c r="E971" s="22"/>
    </row>
    <row r="972">
      <c r="E972" s="22"/>
    </row>
    <row r="973">
      <c r="E973" s="22"/>
    </row>
    <row r="974">
      <c r="E974" s="22"/>
    </row>
    <row r="975">
      <c r="E975" s="22"/>
    </row>
    <row r="976">
      <c r="E976" s="22"/>
    </row>
    <row r="977">
      <c r="E977" s="22"/>
    </row>
    <row r="978">
      <c r="E978" s="22"/>
    </row>
    <row r="979">
      <c r="E979" s="22"/>
    </row>
    <row r="980">
      <c r="E980" s="22"/>
    </row>
    <row r="981">
      <c r="E981" s="22"/>
    </row>
    <row r="982">
      <c r="E982" s="22"/>
    </row>
    <row r="983">
      <c r="E983" s="22"/>
    </row>
    <row r="984">
      <c r="E984" s="22"/>
    </row>
    <row r="985">
      <c r="E985" s="22"/>
    </row>
    <row r="986">
      <c r="E986" s="22"/>
    </row>
    <row r="987">
      <c r="E987" s="22"/>
    </row>
    <row r="988">
      <c r="E988" s="22"/>
    </row>
    <row r="989">
      <c r="E989" s="22"/>
    </row>
    <row r="990">
      <c r="E990" s="22"/>
    </row>
    <row r="991">
      <c r="E991" s="22"/>
    </row>
    <row r="992">
      <c r="E992" s="22"/>
    </row>
    <row r="993">
      <c r="E993" s="22"/>
    </row>
    <row r="994">
      <c r="E994" s="22"/>
    </row>
    <row r="995">
      <c r="E995" s="22"/>
    </row>
    <row r="996">
      <c r="E996" s="22"/>
    </row>
    <row r="997">
      <c r="E997" s="22"/>
    </row>
    <row r="998">
      <c r="E998" s="22"/>
    </row>
    <row r="999">
      <c r="E999" s="22"/>
    </row>
    <row r="1000">
      <c r="E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1" t="s">
        <v>70</v>
      </c>
      <c r="B1" s="21" t="s">
        <v>73</v>
      </c>
      <c r="C1" s="21" t="s">
        <v>36</v>
      </c>
      <c r="D1" s="21" t="s">
        <v>75</v>
      </c>
      <c r="E1" s="21" t="s">
        <v>28</v>
      </c>
      <c r="F1" s="21" t="s">
        <v>30</v>
      </c>
      <c r="G1" s="21" t="s">
        <v>81</v>
      </c>
    </row>
    <row r="2" ht="22.5" customHeight="1">
      <c r="A2" s="18">
        <v>1.0</v>
      </c>
      <c r="B2" s="18" t="s">
        <v>84</v>
      </c>
      <c r="C2" s="18" t="s">
        <v>87</v>
      </c>
      <c r="D2" s="18" t="s">
        <v>48</v>
      </c>
      <c r="E2" s="18" t="s">
        <v>44</v>
      </c>
      <c r="F2" s="18" t="s">
        <v>88</v>
      </c>
      <c r="G2" s="18" t="s">
        <v>91</v>
      </c>
    </row>
    <row r="3" ht="22.5" customHeight="1">
      <c r="A3" s="18">
        <v>2.0</v>
      </c>
      <c r="B3" s="18" t="s">
        <v>94</v>
      </c>
      <c r="C3" s="18" t="s">
        <v>87</v>
      </c>
      <c r="D3" s="18" t="s">
        <v>63</v>
      </c>
      <c r="E3" s="18" t="s">
        <v>44</v>
      </c>
      <c r="F3" s="18" t="s">
        <v>46</v>
      </c>
      <c r="G3" s="18" t="s">
        <v>91</v>
      </c>
    </row>
    <row r="4" ht="22.5" customHeight="1">
      <c r="A4" s="18">
        <v>3.0</v>
      </c>
      <c r="B4" s="18" t="s">
        <v>101</v>
      </c>
      <c r="C4" s="18" t="s">
        <v>87</v>
      </c>
      <c r="D4" s="18" t="s">
        <v>40</v>
      </c>
      <c r="E4" s="18" t="s">
        <v>44</v>
      </c>
      <c r="F4" s="18" t="s">
        <v>46</v>
      </c>
      <c r="G4" s="18" t="s">
        <v>91</v>
      </c>
    </row>
    <row r="5" ht="22.5" customHeight="1">
      <c r="A5" s="18">
        <v>4.0</v>
      </c>
      <c r="B5" s="18" t="s">
        <v>105</v>
      </c>
      <c r="C5" s="18" t="s">
        <v>87</v>
      </c>
      <c r="D5" s="18" t="s">
        <v>69</v>
      </c>
      <c r="E5" s="18" t="s">
        <v>44</v>
      </c>
      <c r="F5" s="18" t="s">
        <v>46</v>
      </c>
      <c r="G5" s="18" t="s">
        <v>91</v>
      </c>
    </row>
    <row r="6" ht="22.5" customHeight="1">
      <c r="A6" s="18">
        <v>5.0</v>
      </c>
      <c r="B6" s="18" t="s">
        <v>109</v>
      </c>
      <c r="C6" s="18" t="s">
        <v>87</v>
      </c>
      <c r="D6" s="18" t="s">
        <v>69</v>
      </c>
      <c r="E6" s="18" t="s">
        <v>44</v>
      </c>
      <c r="F6" s="18" t="s">
        <v>46</v>
      </c>
      <c r="G6" s="18" t="s">
        <v>91</v>
      </c>
    </row>
    <row r="7" ht="22.5" customHeight="1">
      <c r="A7" s="18">
        <v>6.0</v>
      </c>
      <c r="B7" s="18" t="s">
        <v>117</v>
      </c>
      <c r="C7" s="18" t="s">
        <v>87</v>
      </c>
      <c r="D7" s="18" t="s">
        <v>106</v>
      </c>
      <c r="E7" s="18" t="s">
        <v>97</v>
      </c>
      <c r="F7" s="18" t="s">
        <v>46</v>
      </c>
      <c r="G7" s="18" t="s">
        <v>91</v>
      </c>
    </row>
    <row r="8" ht="22.5" customHeight="1">
      <c r="A8" s="18">
        <v>7.0</v>
      </c>
      <c r="B8" s="18" t="s">
        <v>122</v>
      </c>
      <c r="C8" s="18" t="s">
        <v>123</v>
      </c>
      <c r="D8" s="18" t="s">
        <v>52</v>
      </c>
      <c r="E8" s="18" t="s">
        <v>44</v>
      </c>
      <c r="F8" s="18" t="s">
        <v>46</v>
      </c>
      <c r="G8" s="18" t="s">
        <v>125</v>
      </c>
    </row>
    <row r="9" ht="22.5" customHeight="1">
      <c r="A9" s="18">
        <v>8.0</v>
      </c>
      <c r="B9" s="18" t="s">
        <v>127</v>
      </c>
      <c r="C9" s="18" t="s">
        <v>87</v>
      </c>
      <c r="D9" s="18" t="s">
        <v>106</v>
      </c>
      <c r="E9" s="18" t="s">
        <v>97</v>
      </c>
      <c r="F9" s="18" t="s">
        <v>46</v>
      </c>
      <c r="G9" s="18" t="s">
        <v>91</v>
      </c>
    </row>
    <row r="10" ht="22.5" customHeight="1">
      <c r="A10" s="18">
        <v>9.0</v>
      </c>
      <c r="B10" s="18" t="s">
        <v>132</v>
      </c>
      <c r="C10" s="18" t="s">
        <v>87</v>
      </c>
      <c r="D10" s="18"/>
      <c r="E10" s="18" t="s">
        <v>44</v>
      </c>
      <c r="F10" s="18" t="s">
        <v>88</v>
      </c>
      <c r="G10" s="18" t="s">
        <v>91</v>
      </c>
    </row>
    <row r="11" ht="22.5" customHeight="1">
      <c r="A11" s="18">
        <v>10.0</v>
      </c>
      <c r="B11" s="18" t="s">
        <v>135</v>
      </c>
      <c r="C11" s="18" t="s">
        <v>87</v>
      </c>
      <c r="D11" s="18" t="s">
        <v>89</v>
      </c>
      <c r="E11" s="18" t="s">
        <v>44</v>
      </c>
      <c r="F11" s="18" t="s">
        <v>46</v>
      </c>
      <c r="G11" s="18" t="s">
        <v>91</v>
      </c>
    </row>
    <row r="12" ht="22.5" customHeight="1">
      <c r="A12" s="18">
        <v>11.0</v>
      </c>
      <c r="B12" s="18" t="s">
        <v>139</v>
      </c>
      <c r="C12" s="18" t="s">
        <v>123</v>
      </c>
      <c r="D12" s="18" t="s">
        <v>95</v>
      </c>
      <c r="E12" s="18" t="s">
        <v>97</v>
      </c>
      <c r="F12" s="18" t="s">
        <v>46</v>
      </c>
      <c r="G12" s="18" t="s">
        <v>125</v>
      </c>
    </row>
    <row r="13" ht="22.5" customHeight="1">
      <c r="A13" s="18">
        <v>12.0</v>
      </c>
      <c r="B13" s="18" t="s">
        <v>142</v>
      </c>
      <c r="C13" s="18" t="s">
        <v>87</v>
      </c>
      <c r="D13" s="18" t="s">
        <v>89</v>
      </c>
      <c r="E13" s="18" t="s">
        <v>44</v>
      </c>
      <c r="F13" s="18" t="s">
        <v>46</v>
      </c>
      <c r="G13" s="18" t="s">
        <v>91</v>
      </c>
    </row>
    <row r="14" ht="22.5" customHeight="1">
      <c r="A14" s="18">
        <v>13.0</v>
      </c>
      <c r="B14" s="18" t="s">
        <v>145</v>
      </c>
      <c r="C14" s="18" t="s">
        <v>87</v>
      </c>
      <c r="D14" s="18" t="s">
        <v>119</v>
      </c>
      <c r="E14" s="18" t="s">
        <v>44</v>
      </c>
      <c r="F14" s="18" t="s">
        <v>46</v>
      </c>
      <c r="G14" s="18" t="s">
        <v>91</v>
      </c>
    </row>
    <row r="15" ht="22.5" customHeight="1">
      <c r="A15" s="18">
        <v>14.0</v>
      </c>
      <c r="B15" s="18" t="s">
        <v>148</v>
      </c>
      <c r="C15" s="18" t="s">
        <v>123</v>
      </c>
      <c r="D15" s="18" t="s">
        <v>59</v>
      </c>
      <c r="E15" s="18" t="s">
        <v>44</v>
      </c>
      <c r="F15" s="18" t="s">
        <v>46</v>
      </c>
      <c r="G15" s="18" t="s">
        <v>125</v>
      </c>
    </row>
    <row r="16" ht="22.5" customHeight="1">
      <c r="A16" s="18">
        <v>15.0</v>
      </c>
      <c r="B16" s="18" t="s">
        <v>151</v>
      </c>
      <c r="C16" s="18" t="s">
        <v>123</v>
      </c>
      <c r="D16" s="18" t="s">
        <v>103</v>
      </c>
      <c r="E16" s="18" t="s">
        <v>97</v>
      </c>
      <c r="F16" s="18" t="s">
        <v>46</v>
      </c>
      <c r="G16" s="18" t="s">
        <v>125</v>
      </c>
    </row>
    <row r="17" ht="22.5" customHeight="1">
      <c r="A17" s="18">
        <v>16.0</v>
      </c>
      <c r="B17" s="18" t="s">
        <v>154</v>
      </c>
      <c r="C17" s="18" t="s">
        <v>123</v>
      </c>
      <c r="D17" s="18" t="s">
        <v>82</v>
      </c>
      <c r="E17" s="18" t="s">
        <v>44</v>
      </c>
      <c r="F17" s="18" t="s">
        <v>46</v>
      </c>
      <c r="G17" s="18" t="s">
        <v>125</v>
      </c>
    </row>
    <row r="18" ht="22.5" customHeight="1">
      <c r="A18" s="18">
        <v>17.0</v>
      </c>
      <c r="B18" s="18" t="s">
        <v>157</v>
      </c>
      <c r="C18" s="18" t="s">
        <v>123</v>
      </c>
      <c r="D18" s="18" t="s">
        <v>59</v>
      </c>
      <c r="E18" s="18" t="s">
        <v>44</v>
      </c>
      <c r="F18" s="18" t="s">
        <v>46</v>
      </c>
      <c r="G18" s="18" t="s">
        <v>125</v>
      </c>
    </row>
    <row r="19" ht="22.5" customHeight="1">
      <c r="A19" s="18">
        <v>18.0</v>
      </c>
      <c r="B19" s="18" t="s">
        <v>160</v>
      </c>
      <c r="C19" s="18" t="s">
        <v>123</v>
      </c>
      <c r="D19" s="18" t="s">
        <v>89</v>
      </c>
      <c r="E19" s="18" t="s">
        <v>44</v>
      </c>
      <c r="F19" s="18" t="s">
        <v>46</v>
      </c>
      <c r="G19" s="18" t="s">
        <v>125</v>
      </c>
    </row>
    <row r="20" ht="22.5" customHeight="1">
      <c r="A20" s="18">
        <v>19.0</v>
      </c>
      <c r="B20" s="18" t="s">
        <v>164</v>
      </c>
      <c r="C20" s="18" t="s">
        <v>87</v>
      </c>
      <c r="D20" s="18" t="s">
        <v>89</v>
      </c>
      <c r="E20" s="18" t="s">
        <v>44</v>
      </c>
      <c r="F20" s="18" t="s">
        <v>46</v>
      </c>
      <c r="G20" s="18" t="s">
        <v>91</v>
      </c>
    </row>
    <row r="21" ht="22.5" customHeight="1">
      <c r="A21" s="18">
        <v>20.0</v>
      </c>
      <c r="B21" s="18" t="s">
        <v>167</v>
      </c>
      <c r="C21" s="18" t="s">
        <v>87</v>
      </c>
      <c r="D21" s="18" t="s">
        <v>65</v>
      </c>
      <c r="E21" s="18" t="s">
        <v>66</v>
      </c>
      <c r="F21" s="18" t="s">
        <v>46</v>
      </c>
      <c r="G21" s="18" t="s">
        <v>91</v>
      </c>
    </row>
    <row r="22" ht="22.5" customHeight="1">
      <c r="A22" s="18">
        <v>21.0</v>
      </c>
      <c r="B22" s="18" t="s">
        <v>171</v>
      </c>
      <c r="C22" s="18" t="s">
        <v>87</v>
      </c>
      <c r="E22" s="18" t="s">
        <v>44</v>
      </c>
      <c r="F22" s="18" t="s">
        <v>88</v>
      </c>
      <c r="G22" s="18" t="s">
        <v>91</v>
      </c>
    </row>
    <row r="23" ht="22.5" customHeight="1">
      <c r="A23" s="18">
        <v>22.0</v>
      </c>
      <c r="B23" s="18" t="s">
        <v>174</v>
      </c>
      <c r="C23" s="18" t="s">
        <v>87</v>
      </c>
      <c r="D23" s="18" t="s">
        <v>65</v>
      </c>
      <c r="E23" s="18" t="s">
        <v>66</v>
      </c>
      <c r="F23" s="18" t="s">
        <v>46</v>
      </c>
      <c r="G23" s="18" t="s">
        <v>91</v>
      </c>
    </row>
    <row r="24" ht="22.5" customHeight="1">
      <c r="A24" s="18">
        <v>23.0</v>
      </c>
      <c r="B24" s="18" t="s">
        <v>176</v>
      </c>
      <c r="C24" s="18" t="s">
        <v>87</v>
      </c>
      <c r="D24" s="18" t="s">
        <v>106</v>
      </c>
      <c r="E24" s="18" t="s">
        <v>97</v>
      </c>
      <c r="F24" s="18" t="s">
        <v>46</v>
      </c>
      <c r="G24" s="18" t="s">
        <v>91</v>
      </c>
    </row>
    <row r="25" ht="22.5" customHeight="1">
      <c r="A25" s="18">
        <v>24.0</v>
      </c>
      <c r="B25" s="18" t="s">
        <v>179</v>
      </c>
      <c r="C25" s="18" t="s">
        <v>87</v>
      </c>
      <c r="E25" s="18" t="s">
        <v>97</v>
      </c>
      <c r="F25" s="18" t="s">
        <v>88</v>
      </c>
      <c r="G25" s="18" t="s">
        <v>91</v>
      </c>
    </row>
    <row r="26" ht="22.5" customHeight="1">
      <c r="A26" s="18">
        <v>25.0</v>
      </c>
      <c r="B26" s="18" t="s">
        <v>181</v>
      </c>
      <c r="C26" s="18" t="s">
        <v>123</v>
      </c>
      <c r="D26" s="18" t="s">
        <v>56</v>
      </c>
      <c r="E26" s="18" t="s">
        <v>44</v>
      </c>
      <c r="F26" s="18" t="s">
        <v>46</v>
      </c>
      <c r="G26" s="18" t="s">
        <v>125</v>
      </c>
    </row>
    <row r="27" ht="22.5" customHeight="1">
      <c r="A27" s="18">
        <v>26.0</v>
      </c>
      <c r="B27" s="18" t="s">
        <v>183</v>
      </c>
      <c r="C27" s="18" t="s">
        <v>123</v>
      </c>
      <c r="D27" s="18" t="s">
        <v>110</v>
      </c>
      <c r="E27" s="18" t="s">
        <v>97</v>
      </c>
      <c r="F27" s="18" t="s">
        <v>46</v>
      </c>
      <c r="G27" s="18" t="s">
        <v>125</v>
      </c>
    </row>
    <row r="28" ht="22.5" customHeight="1">
      <c r="A28" s="18">
        <v>27.0</v>
      </c>
      <c r="B28" s="18" t="s">
        <v>186</v>
      </c>
      <c r="C28" s="18" t="s">
        <v>87</v>
      </c>
      <c r="D28" s="18" t="s">
        <v>103</v>
      </c>
      <c r="E28" s="18" t="s">
        <v>97</v>
      </c>
      <c r="F28" s="18" t="s">
        <v>46</v>
      </c>
      <c r="G28" s="18" t="s">
        <v>91</v>
      </c>
    </row>
    <row r="29" ht="22.5" customHeight="1">
      <c r="A29" s="18">
        <v>28.0</v>
      </c>
      <c r="B29" s="18" t="s">
        <v>187</v>
      </c>
      <c r="C29" s="18" t="s">
        <v>87</v>
      </c>
      <c r="D29" s="18" t="s">
        <v>69</v>
      </c>
      <c r="E29" s="18" t="s">
        <v>44</v>
      </c>
      <c r="F29" s="18" t="s">
        <v>46</v>
      </c>
      <c r="G29" s="18" t="s">
        <v>91</v>
      </c>
    </row>
    <row r="30" ht="22.5" customHeight="1">
      <c r="A30" s="18">
        <v>29.0</v>
      </c>
      <c r="B30" s="18" t="s">
        <v>190</v>
      </c>
      <c r="C30" s="18" t="s">
        <v>87</v>
      </c>
      <c r="D30" s="18" t="s">
        <v>114</v>
      </c>
      <c r="E30" s="18" t="s">
        <v>97</v>
      </c>
      <c r="F30" s="18" t="s">
        <v>46</v>
      </c>
      <c r="G30" s="18" t="s">
        <v>91</v>
      </c>
    </row>
    <row r="31" ht="22.5" customHeight="1">
      <c r="A31" s="18">
        <v>30.0</v>
      </c>
      <c r="B31" s="18" t="s">
        <v>192</v>
      </c>
      <c r="C31" s="18" t="s">
        <v>87</v>
      </c>
      <c r="D31" s="18" t="s">
        <v>52</v>
      </c>
      <c r="E31" s="18" t="s">
        <v>44</v>
      </c>
      <c r="F31" s="18" t="s">
        <v>46</v>
      </c>
      <c r="G31" s="18" t="s">
        <v>91</v>
      </c>
    </row>
    <row r="32" ht="22.5" customHeight="1">
      <c r="A32" s="18">
        <v>31.0</v>
      </c>
      <c r="B32" s="18" t="s">
        <v>194</v>
      </c>
      <c r="C32" s="18" t="s">
        <v>87</v>
      </c>
      <c r="D32" s="18" t="s">
        <v>103</v>
      </c>
      <c r="E32" s="18" t="s">
        <v>97</v>
      </c>
      <c r="F32" s="18" t="s">
        <v>46</v>
      </c>
      <c r="G32" s="18" t="s">
        <v>91</v>
      </c>
    </row>
    <row r="33" ht="22.5" customHeight="1">
      <c r="A33" s="18">
        <v>32.0</v>
      </c>
      <c r="B33" s="18" t="s">
        <v>197</v>
      </c>
      <c r="C33" s="18" t="s">
        <v>87</v>
      </c>
      <c r="D33" s="18" t="s">
        <v>98</v>
      </c>
      <c r="E33" s="18" t="s">
        <v>97</v>
      </c>
      <c r="F33" s="18" t="s">
        <v>46</v>
      </c>
      <c r="G33" s="18" t="s">
        <v>91</v>
      </c>
    </row>
    <row r="34" ht="22.5" customHeight="1">
      <c r="A34" s="18">
        <v>33.0</v>
      </c>
      <c r="B34" s="18" t="s">
        <v>199</v>
      </c>
      <c r="C34" s="18" t="s">
        <v>123</v>
      </c>
      <c r="D34" s="18" t="s">
        <v>98</v>
      </c>
      <c r="E34" s="18" t="s">
        <v>97</v>
      </c>
      <c r="F34" s="18" t="s">
        <v>46</v>
      </c>
      <c r="G34" s="18" t="s">
        <v>125</v>
      </c>
    </row>
    <row r="35" ht="22.5" customHeight="1">
      <c r="A35" s="18">
        <v>34.0</v>
      </c>
      <c r="B35" s="18" t="s">
        <v>201</v>
      </c>
      <c r="C35" s="18" t="s">
        <v>87</v>
      </c>
      <c r="D35" s="18" t="s">
        <v>59</v>
      </c>
      <c r="E35" s="18" t="s">
        <v>44</v>
      </c>
      <c r="F35" s="18" t="s">
        <v>46</v>
      </c>
      <c r="G35" s="18" t="s">
        <v>91</v>
      </c>
    </row>
    <row r="36" ht="22.5" customHeight="1">
      <c r="A36" s="18">
        <v>35.0</v>
      </c>
      <c r="B36" s="18" t="s">
        <v>205</v>
      </c>
      <c r="C36" s="18" t="s">
        <v>87</v>
      </c>
      <c r="D36" s="18" t="s">
        <v>65</v>
      </c>
      <c r="E36" s="18" t="s">
        <v>66</v>
      </c>
      <c r="F36" s="18" t="s">
        <v>46</v>
      </c>
      <c r="G36" s="18" t="s">
        <v>91</v>
      </c>
    </row>
    <row r="37" ht="22.5" customHeight="1">
      <c r="A37" s="18">
        <v>36.0</v>
      </c>
      <c r="B37" s="18" t="s">
        <v>208</v>
      </c>
      <c r="C37" s="18" t="s">
        <v>87</v>
      </c>
      <c r="D37" s="18" t="s">
        <v>52</v>
      </c>
      <c r="E37" s="18" t="s">
        <v>44</v>
      </c>
      <c r="F37" s="18" t="s">
        <v>46</v>
      </c>
      <c r="G37" s="18" t="s">
        <v>91</v>
      </c>
    </row>
    <row r="38" ht="22.5" customHeight="1">
      <c r="A38" s="18">
        <v>37.0</v>
      </c>
      <c r="B38" s="18" t="s">
        <v>210</v>
      </c>
      <c r="C38" s="18" t="s">
        <v>87</v>
      </c>
      <c r="D38" s="18" t="s">
        <v>52</v>
      </c>
      <c r="E38" s="18" t="s">
        <v>44</v>
      </c>
      <c r="F38" s="18" t="s">
        <v>46</v>
      </c>
      <c r="G38" s="18" t="s">
        <v>91</v>
      </c>
    </row>
    <row r="39" ht="22.5" customHeight="1">
      <c r="A39" s="18">
        <v>38.0</v>
      </c>
      <c r="B39" s="18" t="s">
        <v>211</v>
      </c>
      <c r="C39" s="18" t="s">
        <v>87</v>
      </c>
      <c r="E39" s="18" t="s">
        <v>44</v>
      </c>
      <c r="F39" s="18" t="s">
        <v>88</v>
      </c>
      <c r="G39" s="18" t="s">
        <v>91</v>
      </c>
    </row>
    <row r="40" ht="22.5" customHeight="1">
      <c r="A40" s="18">
        <v>39.0</v>
      </c>
      <c r="B40" s="18" t="s">
        <v>214</v>
      </c>
      <c r="C40" s="18" t="s">
        <v>87</v>
      </c>
      <c r="E40" s="18" t="s">
        <v>44</v>
      </c>
      <c r="F40" s="18" t="s">
        <v>88</v>
      </c>
      <c r="G40" s="18" t="s">
        <v>91</v>
      </c>
    </row>
    <row r="41" ht="22.5" customHeight="1">
      <c r="A41" s="18">
        <v>40.0</v>
      </c>
      <c r="B41" s="18" t="s">
        <v>215</v>
      </c>
      <c r="C41" s="18" t="s">
        <v>87</v>
      </c>
      <c r="E41" s="18" t="s">
        <v>97</v>
      </c>
      <c r="F41" s="18" t="s">
        <v>88</v>
      </c>
      <c r="G41" s="18" t="s">
        <v>91</v>
      </c>
    </row>
    <row r="42" ht="22.5" customHeight="1">
      <c r="A42" s="18">
        <v>41.0</v>
      </c>
      <c r="B42" s="18" t="s">
        <v>219</v>
      </c>
      <c r="C42" s="18" t="s">
        <v>87</v>
      </c>
      <c r="E42" s="18" t="s">
        <v>44</v>
      </c>
      <c r="F42" s="18" t="s">
        <v>88</v>
      </c>
      <c r="G42" s="18" t="s">
        <v>91</v>
      </c>
    </row>
    <row r="43" ht="22.5" customHeight="1">
      <c r="A43" s="18">
        <v>42.0</v>
      </c>
      <c r="B43" s="18" t="s">
        <v>222</v>
      </c>
      <c r="C43" s="18" t="s">
        <v>87</v>
      </c>
      <c r="E43" s="18" t="s">
        <v>97</v>
      </c>
      <c r="F43" s="18" t="s">
        <v>88</v>
      </c>
      <c r="G43" s="18" t="s">
        <v>91</v>
      </c>
    </row>
    <row r="44" ht="22.5" customHeight="1">
      <c r="A44" s="18">
        <v>43.0</v>
      </c>
      <c r="B44" s="18" t="s">
        <v>225</v>
      </c>
      <c r="C44" s="18" t="s">
        <v>87</v>
      </c>
      <c r="E44" s="18" t="s">
        <v>97</v>
      </c>
      <c r="F44" s="18" t="s">
        <v>88</v>
      </c>
      <c r="G44" s="18" t="s">
        <v>91</v>
      </c>
    </row>
    <row r="45" ht="22.5" customHeight="1">
      <c r="A45" s="18">
        <v>44.0</v>
      </c>
      <c r="B45" s="18" t="s">
        <v>233</v>
      </c>
      <c r="C45" s="18" t="s">
        <v>87</v>
      </c>
      <c r="E45" s="18" t="s">
        <v>97</v>
      </c>
      <c r="F45" s="18" t="s">
        <v>88</v>
      </c>
      <c r="G45" s="18" t="s">
        <v>91</v>
      </c>
    </row>
    <row r="46" ht="22.5" customHeight="1">
      <c r="A46" s="18">
        <v>45.0</v>
      </c>
      <c r="B46" s="18" t="s">
        <v>237</v>
      </c>
      <c r="C46" s="18" t="s">
        <v>123</v>
      </c>
      <c r="D46" s="18" t="s">
        <v>69</v>
      </c>
      <c r="E46" s="18" t="s">
        <v>44</v>
      </c>
      <c r="F46" s="18" t="s">
        <v>46</v>
      </c>
      <c r="G46" s="18" t="s">
        <v>125</v>
      </c>
    </row>
    <row r="47" ht="22.5" customHeight="1">
      <c r="A47" s="18">
        <v>46.0</v>
      </c>
      <c r="B47" s="18" t="s">
        <v>239</v>
      </c>
      <c r="C47" s="18" t="s">
        <v>87</v>
      </c>
      <c r="E47" s="18" t="s">
        <v>97</v>
      </c>
      <c r="F47" s="18" t="s">
        <v>88</v>
      </c>
      <c r="G47" s="18" t="s">
        <v>91</v>
      </c>
    </row>
    <row r="48" ht="22.5" customHeight="1">
      <c r="A48" s="18">
        <v>47.0</v>
      </c>
      <c r="B48" s="18" t="s">
        <v>242</v>
      </c>
      <c r="C48" s="18" t="s">
        <v>87</v>
      </c>
      <c r="E48" s="18" t="s">
        <v>97</v>
      </c>
      <c r="F48" s="18" t="s">
        <v>88</v>
      </c>
      <c r="G48" s="18" t="s">
        <v>91</v>
      </c>
    </row>
    <row r="49" ht="22.5" customHeight="1">
      <c r="A49" s="18">
        <v>48.0</v>
      </c>
      <c r="B49" s="18" t="s">
        <v>246</v>
      </c>
      <c r="C49" s="18" t="s">
        <v>87</v>
      </c>
      <c r="E49" s="18" t="s">
        <v>97</v>
      </c>
      <c r="F49" s="18" t="s">
        <v>88</v>
      </c>
      <c r="G49" s="18" t="s">
        <v>91</v>
      </c>
    </row>
    <row r="50" ht="22.5" customHeight="1">
      <c r="A50" s="23">
        <v>49.0</v>
      </c>
      <c r="B50" s="23" t="s">
        <v>249</v>
      </c>
      <c r="C50" s="23" t="s">
        <v>123</v>
      </c>
      <c r="D50" s="23" t="s">
        <v>69</v>
      </c>
      <c r="E50" s="23" t="s">
        <v>44</v>
      </c>
      <c r="F50" s="23" t="s">
        <v>46</v>
      </c>
      <c r="G50" s="18" t="s">
        <v>125</v>
      </c>
    </row>
    <row r="51" ht="22.5" customHeight="1">
      <c r="A51" s="23"/>
      <c r="B51" s="23"/>
      <c r="C51" s="23"/>
      <c r="D51" s="23"/>
      <c r="E51" s="23"/>
      <c r="F51" s="23"/>
      <c r="G51" s="23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13"/>
    <col customWidth="1" min="3" max="3" width="12.88"/>
    <col customWidth="1" min="4" max="4" width="17.38"/>
    <col customWidth="1" min="5" max="5" width="16.38"/>
    <col customWidth="1" min="6" max="6" width="65.63"/>
    <col customWidth="1" min="7" max="7" width="13.5"/>
  </cols>
  <sheetData>
    <row r="1" ht="22.5" customHeight="1">
      <c r="A1" s="21" t="s">
        <v>294</v>
      </c>
      <c r="B1" s="21" t="s">
        <v>295</v>
      </c>
      <c r="C1" s="21" t="s">
        <v>297</v>
      </c>
      <c r="D1" s="21" t="s">
        <v>299</v>
      </c>
      <c r="E1" s="21" t="s">
        <v>301</v>
      </c>
      <c r="F1" s="21" t="s">
        <v>302</v>
      </c>
      <c r="G1" s="21" t="s">
        <v>304</v>
      </c>
      <c r="H1" s="21" t="s">
        <v>30</v>
      </c>
      <c r="I1" s="21" t="s">
        <v>305</v>
      </c>
    </row>
    <row r="2" ht="22.5" customHeight="1">
      <c r="A2" s="18">
        <v>951.0</v>
      </c>
      <c r="B2" s="18" t="s">
        <v>306</v>
      </c>
      <c r="C2" s="18">
        <v>92.76</v>
      </c>
      <c r="D2" s="18" t="s">
        <v>309</v>
      </c>
      <c r="E2" s="18" t="s">
        <v>310</v>
      </c>
      <c r="F2" s="18" t="s">
        <v>311</v>
      </c>
      <c r="G2" s="18">
        <v>1.0</v>
      </c>
      <c r="H2" s="18" t="s">
        <v>46</v>
      </c>
    </row>
    <row r="3" ht="22.5" customHeight="1">
      <c r="A3" s="18">
        <v>1136.0</v>
      </c>
      <c r="B3" s="18" t="s">
        <v>306</v>
      </c>
      <c r="D3" s="18" t="s">
        <v>315</v>
      </c>
      <c r="E3" s="18" t="s">
        <v>315</v>
      </c>
      <c r="F3" s="18" t="s">
        <v>316</v>
      </c>
      <c r="G3" s="18">
        <v>1.0</v>
      </c>
      <c r="H3" s="18" t="s">
        <v>46</v>
      </c>
    </row>
    <row r="4" ht="22.5" customHeight="1">
      <c r="A4" s="18">
        <v>1140.0</v>
      </c>
      <c r="B4" s="18" t="s">
        <v>306</v>
      </c>
      <c r="D4" s="18" t="s">
        <v>319</v>
      </c>
      <c r="E4" s="18" t="s">
        <v>319</v>
      </c>
      <c r="F4" s="18" t="s">
        <v>322</v>
      </c>
      <c r="G4" s="18">
        <v>1.0</v>
      </c>
      <c r="H4" s="18" t="s">
        <v>46</v>
      </c>
    </row>
    <row r="5" ht="22.5" customHeight="1">
      <c r="A5" s="18">
        <v>1143.0</v>
      </c>
      <c r="B5" s="18" t="s">
        <v>306</v>
      </c>
      <c r="D5" s="18" t="s">
        <v>325</v>
      </c>
      <c r="E5" s="18" t="s">
        <v>325</v>
      </c>
      <c r="F5" s="18" t="s">
        <v>326</v>
      </c>
      <c r="G5" s="18">
        <v>1.0</v>
      </c>
      <c r="H5" s="18" t="s">
        <v>46</v>
      </c>
    </row>
    <row r="6" ht="22.5" customHeight="1">
      <c r="A6" s="18">
        <v>1144.0</v>
      </c>
      <c r="B6" s="18" t="s">
        <v>306</v>
      </c>
      <c r="D6" s="18" t="s">
        <v>329</v>
      </c>
      <c r="E6" s="18" t="s">
        <v>329</v>
      </c>
      <c r="F6" s="18" t="s">
        <v>330</v>
      </c>
      <c r="G6" s="18">
        <v>1.0</v>
      </c>
      <c r="H6" s="18" t="s">
        <v>46</v>
      </c>
    </row>
    <row r="7" ht="22.5" customHeight="1">
      <c r="A7" s="18">
        <v>1157.0</v>
      </c>
      <c r="B7" s="18" t="s">
        <v>306</v>
      </c>
      <c r="D7" s="18" t="s">
        <v>333</v>
      </c>
      <c r="E7" s="18" t="s">
        <v>333</v>
      </c>
      <c r="F7" s="18" t="s">
        <v>334</v>
      </c>
      <c r="G7" s="18">
        <v>1.0</v>
      </c>
      <c r="H7" s="18" t="s">
        <v>46</v>
      </c>
    </row>
    <row r="8" ht="22.5" customHeight="1">
      <c r="A8" s="18">
        <v>1158.0</v>
      </c>
      <c r="B8" s="18" t="s">
        <v>306</v>
      </c>
      <c r="D8" s="18" t="s">
        <v>337</v>
      </c>
      <c r="E8" s="18" t="s">
        <v>337</v>
      </c>
      <c r="F8" s="18" t="s">
        <v>338</v>
      </c>
      <c r="G8" s="18">
        <v>1.0</v>
      </c>
      <c r="H8" s="18" t="s">
        <v>46</v>
      </c>
    </row>
    <row r="9" ht="22.5" customHeight="1">
      <c r="A9" s="18">
        <v>1159.0</v>
      </c>
      <c r="B9" s="18" t="s">
        <v>306</v>
      </c>
      <c r="D9" s="18" t="s">
        <v>342</v>
      </c>
      <c r="E9" s="18" t="s">
        <v>342</v>
      </c>
      <c r="F9" s="18" t="s">
        <v>344</v>
      </c>
      <c r="G9" s="18">
        <v>1.0</v>
      </c>
      <c r="H9" s="18" t="s">
        <v>46</v>
      </c>
    </row>
    <row r="10" ht="22.5" customHeight="1">
      <c r="A10" s="18">
        <v>1160.0</v>
      </c>
      <c r="B10" s="18" t="s">
        <v>306</v>
      </c>
      <c r="D10" s="18" t="s">
        <v>346</v>
      </c>
      <c r="E10" s="18" t="s">
        <v>346</v>
      </c>
      <c r="F10" s="18" t="s">
        <v>349</v>
      </c>
      <c r="G10" s="18">
        <v>1.0</v>
      </c>
      <c r="H10" s="18" t="s">
        <v>46</v>
      </c>
    </row>
    <row r="11" ht="22.5" customHeight="1">
      <c r="A11" s="18">
        <v>1165.0</v>
      </c>
      <c r="B11" s="18" t="s">
        <v>306</v>
      </c>
      <c r="D11" s="18" t="s">
        <v>351</v>
      </c>
      <c r="E11" s="18" t="s">
        <v>351</v>
      </c>
      <c r="F11" s="18" t="s">
        <v>353</v>
      </c>
      <c r="G11" s="18">
        <v>1.0</v>
      </c>
      <c r="H11" s="18" t="s">
        <v>46</v>
      </c>
    </row>
    <row r="12" ht="22.5" customHeight="1">
      <c r="A12" s="18">
        <v>1168.0</v>
      </c>
      <c r="B12" s="18" t="s">
        <v>306</v>
      </c>
      <c r="D12" s="18" t="s">
        <v>356</v>
      </c>
      <c r="E12" s="18" t="s">
        <v>356</v>
      </c>
      <c r="F12" s="18" t="s">
        <v>358</v>
      </c>
      <c r="G12" s="18">
        <v>1.0</v>
      </c>
      <c r="H12" s="18" t="s">
        <v>46</v>
      </c>
    </row>
    <row r="13" ht="22.5" customHeight="1">
      <c r="A13" s="18">
        <v>1169.0</v>
      </c>
      <c r="B13" s="18" t="s">
        <v>306</v>
      </c>
      <c r="D13" s="18" t="s">
        <v>361</v>
      </c>
      <c r="E13" s="18" t="s">
        <v>361</v>
      </c>
      <c r="F13" s="18" t="s">
        <v>362</v>
      </c>
      <c r="G13" s="18">
        <v>1.0</v>
      </c>
      <c r="H13" s="18" t="s">
        <v>46</v>
      </c>
    </row>
    <row r="14" ht="22.5" customHeight="1">
      <c r="A14" s="18">
        <v>1170.0</v>
      </c>
      <c r="B14" s="18" t="s">
        <v>306</v>
      </c>
      <c r="D14" s="18" t="s">
        <v>364</v>
      </c>
      <c r="E14" s="18" t="s">
        <v>364</v>
      </c>
      <c r="F14" s="18" t="s">
        <v>366</v>
      </c>
      <c r="G14" s="18">
        <v>1.0</v>
      </c>
      <c r="H14" s="18" t="s">
        <v>46</v>
      </c>
    </row>
    <row r="15" ht="22.5" customHeight="1">
      <c r="A15" s="18">
        <v>1171.0</v>
      </c>
      <c r="B15" s="18" t="s">
        <v>306</v>
      </c>
      <c r="D15" s="18" t="s">
        <v>369</v>
      </c>
      <c r="E15" s="18" t="s">
        <v>369</v>
      </c>
      <c r="F15" s="18" t="s">
        <v>370</v>
      </c>
      <c r="G15" s="18">
        <v>1.0</v>
      </c>
      <c r="H15" s="18" t="s">
        <v>46</v>
      </c>
    </row>
    <row r="16" ht="22.5" customHeight="1">
      <c r="A16" s="18">
        <v>1174.0</v>
      </c>
      <c r="B16" s="18" t="s">
        <v>306</v>
      </c>
      <c r="D16" s="18" t="s">
        <v>372</v>
      </c>
      <c r="E16" s="18" t="s">
        <v>372</v>
      </c>
      <c r="F16" s="18" t="s">
        <v>373</v>
      </c>
      <c r="G16" s="18">
        <v>1.0</v>
      </c>
      <c r="H16" s="18" t="s">
        <v>46</v>
      </c>
    </row>
    <row r="17" ht="22.5" customHeight="1">
      <c r="A17" s="18">
        <v>1175.0</v>
      </c>
      <c r="B17" s="18" t="s">
        <v>306</v>
      </c>
      <c r="D17" s="18" t="s">
        <v>376</v>
      </c>
      <c r="E17" s="18" t="s">
        <v>376</v>
      </c>
      <c r="F17" s="18" t="s">
        <v>377</v>
      </c>
      <c r="G17" s="18">
        <v>1.0</v>
      </c>
      <c r="H17" s="18" t="s">
        <v>46</v>
      </c>
    </row>
    <row r="18" ht="22.5" customHeight="1">
      <c r="A18" s="18">
        <v>1189.0</v>
      </c>
      <c r="B18" s="18" t="s">
        <v>306</v>
      </c>
      <c r="D18" s="18" t="s">
        <v>380</v>
      </c>
      <c r="E18" s="18" t="s">
        <v>380</v>
      </c>
      <c r="F18" s="18" t="s">
        <v>381</v>
      </c>
      <c r="G18" s="18">
        <v>1.0</v>
      </c>
      <c r="H18" s="18" t="s">
        <v>46</v>
      </c>
    </row>
    <row r="19" ht="22.5" customHeight="1">
      <c r="A19" s="18">
        <v>1190.0</v>
      </c>
      <c r="B19" s="18" t="s">
        <v>306</v>
      </c>
      <c r="D19" s="18" t="s">
        <v>386</v>
      </c>
      <c r="E19" s="18" t="s">
        <v>386</v>
      </c>
      <c r="F19" s="18" t="s">
        <v>387</v>
      </c>
      <c r="G19" s="18">
        <v>1.0</v>
      </c>
      <c r="H19" s="18" t="s">
        <v>46</v>
      </c>
    </row>
    <row r="20" ht="22.5" customHeight="1">
      <c r="A20" s="18">
        <v>1191.0</v>
      </c>
      <c r="B20" s="18" t="s">
        <v>306</v>
      </c>
      <c r="D20" s="18" t="s">
        <v>390</v>
      </c>
      <c r="E20" s="18" t="s">
        <v>390</v>
      </c>
      <c r="F20" s="18" t="s">
        <v>391</v>
      </c>
      <c r="G20" s="18">
        <v>1.0</v>
      </c>
      <c r="H20" s="18" t="s">
        <v>46</v>
      </c>
    </row>
    <row r="21" ht="22.5" customHeight="1">
      <c r="A21" s="18">
        <v>1199.0</v>
      </c>
      <c r="B21" s="18" t="s">
        <v>306</v>
      </c>
      <c r="C21" s="18">
        <v>92.76</v>
      </c>
      <c r="D21" s="18" t="s">
        <v>394</v>
      </c>
      <c r="E21" s="18">
        <v>92.76</v>
      </c>
      <c r="F21" s="18" t="s">
        <v>396</v>
      </c>
      <c r="G21" s="18">
        <v>1.0</v>
      </c>
      <c r="H21" s="18" t="s">
        <v>46</v>
      </c>
    </row>
    <row r="22" ht="22.5" customHeight="1">
      <c r="A22" s="18">
        <v>1207.0</v>
      </c>
      <c r="B22" s="18" t="s">
        <v>306</v>
      </c>
      <c r="C22" s="18" t="s">
        <v>400</v>
      </c>
      <c r="D22" s="18" t="s">
        <v>402</v>
      </c>
      <c r="E22" s="18" t="s">
        <v>403</v>
      </c>
      <c r="F22" s="18" t="s">
        <v>404</v>
      </c>
      <c r="G22" s="18">
        <v>1.0</v>
      </c>
      <c r="H22" s="18" t="s">
        <v>46</v>
      </c>
    </row>
    <row r="23" ht="22.5" customHeight="1">
      <c r="A23" s="18">
        <v>1213.0</v>
      </c>
      <c r="B23" s="18" t="s">
        <v>306</v>
      </c>
      <c r="C23" s="18" t="s">
        <v>407</v>
      </c>
      <c r="D23" s="18" t="s">
        <v>408</v>
      </c>
      <c r="E23" s="18" t="s">
        <v>409</v>
      </c>
      <c r="F23" s="18" t="s">
        <v>411</v>
      </c>
      <c r="G23" s="18">
        <v>1.0</v>
      </c>
      <c r="H23" s="18" t="s">
        <v>46</v>
      </c>
    </row>
    <row r="24" ht="22.5" customHeight="1">
      <c r="A24" s="18">
        <v>1284.0</v>
      </c>
      <c r="B24" s="18" t="s">
        <v>306</v>
      </c>
      <c r="D24" s="18" t="s">
        <v>416</v>
      </c>
      <c r="E24" s="18" t="s">
        <v>416</v>
      </c>
      <c r="F24" s="18" t="s">
        <v>418</v>
      </c>
      <c r="G24" s="18">
        <v>1.0</v>
      </c>
      <c r="H24" s="18" t="s">
        <v>46</v>
      </c>
    </row>
    <row r="25" ht="22.5" customHeight="1">
      <c r="A25" s="18">
        <v>1285.0</v>
      </c>
      <c r="B25" s="18" t="s">
        <v>306</v>
      </c>
      <c r="D25" s="18" t="s">
        <v>422</v>
      </c>
      <c r="E25" s="18" t="s">
        <v>422</v>
      </c>
      <c r="F25" s="18" t="s">
        <v>426</v>
      </c>
      <c r="G25" s="18">
        <v>1.0</v>
      </c>
      <c r="H25" s="18" t="s">
        <v>46</v>
      </c>
    </row>
    <row r="26" ht="22.5" customHeight="1">
      <c r="A26" s="18">
        <v>1297.0</v>
      </c>
      <c r="B26" s="18" t="s">
        <v>306</v>
      </c>
      <c r="D26" s="18" t="s">
        <v>430</v>
      </c>
      <c r="E26" s="18" t="s">
        <v>430</v>
      </c>
      <c r="F26" s="18" t="s">
        <v>433</v>
      </c>
      <c r="G26" s="18">
        <v>1.0</v>
      </c>
      <c r="H26" s="18" t="s">
        <v>46</v>
      </c>
    </row>
    <row r="27" ht="22.5" customHeight="1">
      <c r="A27" s="18">
        <v>1380.0</v>
      </c>
      <c r="B27" s="18" t="s">
        <v>306</v>
      </c>
      <c r="D27" s="18" t="s">
        <v>437</v>
      </c>
      <c r="E27" s="18" t="s">
        <v>437</v>
      </c>
      <c r="F27" s="18" t="s">
        <v>439</v>
      </c>
      <c r="G27" s="18">
        <v>1.0</v>
      </c>
      <c r="H27" s="18" t="s">
        <v>46</v>
      </c>
    </row>
    <row r="28" ht="22.5" customHeight="1">
      <c r="A28" s="18">
        <v>1382.0</v>
      </c>
      <c r="B28" s="18" t="s">
        <v>306</v>
      </c>
      <c r="D28" s="18" t="s">
        <v>442</v>
      </c>
      <c r="E28" s="18" t="s">
        <v>442</v>
      </c>
      <c r="F28" s="18" t="s">
        <v>445</v>
      </c>
      <c r="G28" s="18">
        <v>1.0</v>
      </c>
      <c r="H28" s="18" t="s">
        <v>46</v>
      </c>
    </row>
    <row r="29" ht="22.5" customHeight="1">
      <c r="A29" s="18">
        <v>1429.0</v>
      </c>
      <c r="B29" s="18" t="s">
        <v>306</v>
      </c>
      <c r="D29" s="18" t="s">
        <v>448</v>
      </c>
      <c r="E29" s="18" t="s">
        <v>448</v>
      </c>
      <c r="F29" s="18" t="s">
        <v>449</v>
      </c>
      <c r="G29" s="18">
        <v>1.0</v>
      </c>
      <c r="H29" s="18" t="s">
        <v>46</v>
      </c>
    </row>
    <row r="30" ht="22.5" customHeight="1">
      <c r="A30" s="18">
        <v>1433.0</v>
      </c>
      <c r="B30" s="18" t="s">
        <v>306</v>
      </c>
      <c r="C30" s="18" t="s">
        <v>452</v>
      </c>
      <c r="D30" s="18" t="s">
        <v>453</v>
      </c>
      <c r="E30" s="18" t="s">
        <v>454</v>
      </c>
      <c r="F30" s="18" t="s">
        <v>455</v>
      </c>
      <c r="G30" s="18">
        <v>1.0</v>
      </c>
      <c r="H30" s="18" t="s">
        <v>46</v>
      </c>
    </row>
    <row r="31" ht="22.5" customHeight="1">
      <c r="A31" s="18">
        <v>1446.0</v>
      </c>
      <c r="B31" s="18" t="s">
        <v>306</v>
      </c>
      <c r="D31" s="18" t="s">
        <v>458</v>
      </c>
      <c r="E31" s="18" t="s">
        <v>458</v>
      </c>
      <c r="F31" s="18" t="s">
        <v>460</v>
      </c>
      <c r="G31" s="18">
        <v>1.0</v>
      </c>
      <c r="H31" s="18" t="s">
        <v>46</v>
      </c>
    </row>
    <row r="32" ht="22.5" customHeight="1">
      <c r="A32" s="18">
        <v>1447.0</v>
      </c>
      <c r="B32" s="18" t="s">
        <v>306</v>
      </c>
      <c r="D32" s="18" t="s">
        <v>462</v>
      </c>
      <c r="E32" s="18" t="s">
        <v>464</v>
      </c>
      <c r="F32" s="18" t="s">
        <v>466</v>
      </c>
      <c r="G32" s="18">
        <v>1.0</v>
      </c>
      <c r="H32" s="18" t="s">
        <v>46</v>
      </c>
    </row>
    <row r="33" ht="22.5" customHeight="1">
      <c r="A33" s="18">
        <v>1448.0</v>
      </c>
      <c r="B33" s="18" t="s">
        <v>306</v>
      </c>
      <c r="D33" s="18" t="s">
        <v>470</v>
      </c>
      <c r="E33" s="18" t="s">
        <v>470</v>
      </c>
      <c r="F33" s="18" t="s">
        <v>472</v>
      </c>
      <c r="G33" s="18">
        <v>1.0</v>
      </c>
      <c r="H33" s="18" t="s">
        <v>46</v>
      </c>
    </row>
    <row r="34" ht="22.5" customHeight="1">
      <c r="A34" s="18">
        <v>1452.0</v>
      </c>
      <c r="B34" s="18" t="s">
        <v>306</v>
      </c>
      <c r="D34" s="18" t="s">
        <v>473</v>
      </c>
      <c r="E34" s="18" t="s">
        <v>473</v>
      </c>
      <c r="F34" s="18" t="s">
        <v>476</v>
      </c>
      <c r="G34" s="18">
        <v>1.0</v>
      </c>
      <c r="H34" s="18" t="s">
        <v>46</v>
      </c>
    </row>
    <row r="35" ht="22.5" customHeight="1">
      <c r="A35" s="18">
        <v>1490.0</v>
      </c>
      <c r="B35" s="18" t="s">
        <v>306</v>
      </c>
      <c r="D35" s="18" t="s">
        <v>478</v>
      </c>
      <c r="E35" s="18" t="s">
        <v>478</v>
      </c>
      <c r="F35" s="18" t="s">
        <v>480</v>
      </c>
      <c r="G35" s="18">
        <v>1.0</v>
      </c>
      <c r="H35" s="18" t="s">
        <v>46</v>
      </c>
    </row>
    <row r="36" ht="22.5" customHeight="1">
      <c r="A36" s="18">
        <v>1538.0</v>
      </c>
      <c r="B36" s="18" t="s">
        <v>306</v>
      </c>
      <c r="D36" s="18" t="s">
        <v>481</v>
      </c>
      <c r="E36" s="18" t="s">
        <v>481</v>
      </c>
      <c r="F36" s="18" t="s">
        <v>484</v>
      </c>
      <c r="G36" s="18">
        <v>1.0</v>
      </c>
      <c r="H36" s="18" t="s">
        <v>46</v>
      </c>
    </row>
    <row r="37" ht="22.5" customHeight="1">
      <c r="A37" s="18">
        <v>1539.0</v>
      </c>
      <c r="B37" s="18" t="s">
        <v>306</v>
      </c>
      <c r="D37" s="18" t="s">
        <v>487</v>
      </c>
      <c r="E37" s="18" t="s">
        <v>487</v>
      </c>
      <c r="F37" s="18" t="s">
        <v>488</v>
      </c>
      <c r="G37" s="18">
        <v>1.0</v>
      </c>
      <c r="H37" s="18" t="s">
        <v>46</v>
      </c>
    </row>
    <row r="38" ht="22.5" customHeight="1">
      <c r="A38" s="18">
        <v>1540.0</v>
      </c>
      <c r="B38" s="18" t="s">
        <v>306</v>
      </c>
      <c r="D38" s="18" t="s">
        <v>490</v>
      </c>
      <c r="E38" s="18" t="s">
        <v>490</v>
      </c>
      <c r="F38" s="18" t="s">
        <v>491</v>
      </c>
      <c r="G38" s="18">
        <v>1.0</v>
      </c>
      <c r="H38" s="18" t="s">
        <v>46</v>
      </c>
    </row>
    <row r="39" ht="22.5" customHeight="1">
      <c r="A39" s="18">
        <v>1541.0</v>
      </c>
      <c r="B39" s="18" t="s">
        <v>306</v>
      </c>
      <c r="D39" s="18" t="s">
        <v>494</v>
      </c>
      <c r="E39" s="18" t="s">
        <v>494</v>
      </c>
      <c r="F39" s="18" t="s">
        <v>495</v>
      </c>
      <c r="G39" s="18">
        <v>1.0</v>
      </c>
      <c r="H39" s="18" t="s">
        <v>46</v>
      </c>
    </row>
    <row r="40" ht="22.5" customHeight="1">
      <c r="A40" s="18">
        <v>1551.0</v>
      </c>
      <c r="B40" s="18" t="s">
        <v>306</v>
      </c>
      <c r="D40" s="18" t="s">
        <v>498</v>
      </c>
      <c r="E40" s="18" t="s">
        <v>498</v>
      </c>
      <c r="F40" s="18" t="s">
        <v>499</v>
      </c>
      <c r="G40" s="18">
        <v>1.0</v>
      </c>
      <c r="H40" s="18" t="s">
        <v>46</v>
      </c>
    </row>
    <row r="41" ht="22.5" customHeight="1">
      <c r="A41" s="18">
        <v>1562.0</v>
      </c>
      <c r="B41" s="18" t="s">
        <v>306</v>
      </c>
      <c r="D41" s="18" t="s">
        <v>502</v>
      </c>
      <c r="E41" s="18" t="s">
        <v>503</v>
      </c>
      <c r="F41" s="18" t="s">
        <v>506</v>
      </c>
      <c r="G41" s="18">
        <v>1.0</v>
      </c>
      <c r="H41" s="18" t="s">
        <v>46</v>
      </c>
    </row>
    <row r="42" ht="22.5" customHeight="1">
      <c r="A42" s="18">
        <v>1575.0</v>
      </c>
      <c r="B42" s="18" t="s">
        <v>306</v>
      </c>
      <c r="D42" s="18" t="s">
        <v>507</v>
      </c>
      <c r="E42" s="18" t="s">
        <v>508</v>
      </c>
      <c r="F42" s="18" t="s">
        <v>509</v>
      </c>
      <c r="G42" s="18">
        <v>1.0</v>
      </c>
      <c r="H42" s="18" t="s">
        <v>46</v>
      </c>
    </row>
    <row r="43" ht="22.5" customHeight="1">
      <c r="A43" s="18">
        <v>1734.0</v>
      </c>
      <c r="B43" s="18" t="s">
        <v>306</v>
      </c>
      <c r="D43" s="18" t="s">
        <v>510</v>
      </c>
      <c r="E43" s="18" t="s">
        <v>510</v>
      </c>
      <c r="F43" s="18" t="s">
        <v>511</v>
      </c>
      <c r="G43" s="18">
        <v>1.0</v>
      </c>
      <c r="H43" s="18" t="s">
        <v>46</v>
      </c>
    </row>
    <row r="44" ht="22.5" customHeight="1">
      <c r="A44" s="18">
        <v>1767.0</v>
      </c>
      <c r="B44" s="18" t="s">
        <v>306</v>
      </c>
      <c r="D44" s="18" t="s">
        <v>513</v>
      </c>
      <c r="E44" s="18" t="s">
        <v>513</v>
      </c>
      <c r="F44" s="18" t="s">
        <v>514</v>
      </c>
      <c r="G44" s="18">
        <v>1.0</v>
      </c>
      <c r="H44" s="18" t="s">
        <v>46</v>
      </c>
    </row>
    <row r="45" ht="22.5" customHeight="1">
      <c r="A45" s="18">
        <v>1813.0</v>
      </c>
      <c r="B45" s="18" t="s">
        <v>306</v>
      </c>
      <c r="D45" s="18" t="s">
        <v>517</v>
      </c>
      <c r="E45" s="18" t="s">
        <v>517</v>
      </c>
      <c r="F45" s="18" t="s">
        <v>519</v>
      </c>
      <c r="G45" s="18">
        <v>1.0</v>
      </c>
      <c r="H45" s="18" t="s">
        <v>46</v>
      </c>
    </row>
    <row r="46" ht="22.5" customHeight="1">
      <c r="A46" s="18">
        <v>1814.0</v>
      </c>
      <c r="B46" s="18" t="s">
        <v>306</v>
      </c>
      <c r="D46" s="18" t="s">
        <v>523</v>
      </c>
      <c r="E46" s="18" t="s">
        <v>523</v>
      </c>
      <c r="F46" s="18" t="s">
        <v>525</v>
      </c>
      <c r="G46" s="18">
        <v>1.0</v>
      </c>
      <c r="H46" s="18" t="s">
        <v>46</v>
      </c>
    </row>
    <row r="47" ht="22.5" customHeight="1">
      <c r="A47" s="18">
        <v>1815.0</v>
      </c>
      <c r="B47" s="18" t="s">
        <v>306</v>
      </c>
      <c r="D47" s="18" t="s">
        <v>528</v>
      </c>
      <c r="E47" s="18" t="s">
        <v>528</v>
      </c>
      <c r="F47" s="18" t="s">
        <v>529</v>
      </c>
      <c r="G47" s="18">
        <v>1.0</v>
      </c>
      <c r="H47" s="18" t="s">
        <v>46</v>
      </c>
    </row>
    <row r="48" ht="22.5" customHeight="1">
      <c r="A48" s="18">
        <v>1820.0</v>
      </c>
      <c r="B48" s="18" t="s">
        <v>306</v>
      </c>
      <c r="D48" s="18" t="s">
        <v>532</v>
      </c>
      <c r="E48" s="18" t="s">
        <v>532</v>
      </c>
      <c r="F48" s="18" t="s">
        <v>534</v>
      </c>
      <c r="G48" s="18">
        <v>1.0</v>
      </c>
      <c r="H48" s="18" t="s">
        <v>46</v>
      </c>
    </row>
    <row r="49" ht="22.5" customHeight="1">
      <c r="A49" s="18">
        <v>1821.0</v>
      </c>
      <c r="B49" s="18" t="s">
        <v>306</v>
      </c>
      <c r="D49" s="18" t="s">
        <v>537</v>
      </c>
      <c r="E49" s="18" t="s">
        <v>537</v>
      </c>
      <c r="F49" s="18" t="s">
        <v>539</v>
      </c>
      <c r="G49" s="18">
        <v>1.0</v>
      </c>
      <c r="H49" s="18" t="s">
        <v>46</v>
      </c>
    </row>
    <row r="50" ht="22.5" customHeight="1">
      <c r="A50" s="18">
        <v>1822.0</v>
      </c>
      <c r="B50" s="18" t="s">
        <v>306</v>
      </c>
      <c r="D50" s="18" t="s">
        <v>541</v>
      </c>
      <c r="E50" s="18" t="s">
        <v>541</v>
      </c>
      <c r="F50" s="18" t="s">
        <v>543</v>
      </c>
      <c r="G50" s="18">
        <v>1.0</v>
      </c>
      <c r="H50" s="18" t="s">
        <v>46</v>
      </c>
    </row>
    <row r="51" ht="22.5" customHeight="1">
      <c r="A51" s="18">
        <v>1824.0</v>
      </c>
      <c r="B51" s="18" t="s">
        <v>306</v>
      </c>
      <c r="D51" s="18" t="s">
        <v>545</v>
      </c>
      <c r="E51" s="18" t="s">
        <v>545</v>
      </c>
      <c r="F51" s="18" t="s">
        <v>547</v>
      </c>
      <c r="G51" s="18">
        <v>1.0</v>
      </c>
      <c r="H51" s="18" t="s">
        <v>46</v>
      </c>
    </row>
    <row r="52" ht="22.5" customHeight="1">
      <c r="A52" s="18">
        <v>1826.0</v>
      </c>
      <c r="B52" s="18" t="s">
        <v>306</v>
      </c>
      <c r="D52" s="18" t="s">
        <v>548</v>
      </c>
      <c r="E52" s="18" t="s">
        <v>548</v>
      </c>
      <c r="F52" s="18" t="s">
        <v>549</v>
      </c>
      <c r="G52" s="18">
        <v>1.0</v>
      </c>
      <c r="H52" s="18" t="s">
        <v>46</v>
      </c>
    </row>
    <row r="53" ht="22.5" customHeight="1">
      <c r="A53" s="18">
        <v>1827.0</v>
      </c>
      <c r="B53" s="18" t="s">
        <v>306</v>
      </c>
      <c r="D53" s="18" t="s">
        <v>552</v>
      </c>
      <c r="E53" s="18" t="s">
        <v>552</v>
      </c>
      <c r="F53" s="18" t="s">
        <v>554</v>
      </c>
      <c r="G53" s="18">
        <v>1.0</v>
      </c>
      <c r="H53" s="18" t="s">
        <v>46</v>
      </c>
    </row>
    <row r="54" ht="22.5" customHeight="1">
      <c r="A54" s="18">
        <v>1828.0</v>
      </c>
      <c r="B54" s="18" t="s">
        <v>306</v>
      </c>
      <c r="D54" s="18" t="s">
        <v>556</v>
      </c>
      <c r="E54" s="18" t="s">
        <v>556</v>
      </c>
      <c r="F54" s="18" t="s">
        <v>557</v>
      </c>
      <c r="G54" s="18">
        <v>1.0</v>
      </c>
      <c r="H54" s="18" t="s">
        <v>46</v>
      </c>
    </row>
    <row r="55" ht="22.5" customHeight="1">
      <c r="A55" s="18">
        <v>1829.0</v>
      </c>
      <c r="B55" s="18" t="s">
        <v>306</v>
      </c>
      <c r="D55" s="18" t="s">
        <v>560</v>
      </c>
      <c r="E55" s="18" t="s">
        <v>561</v>
      </c>
      <c r="F55" s="18" t="s">
        <v>563</v>
      </c>
      <c r="G55" s="18">
        <v>1.0</v>
      </c>
      <c r="H55" s="18" t="s">
        <v>46</v>
      </c>
    </row>
    <row r="56" ht="22.5" customHeight="1">
      <c r="A56" s="18">
        <v>1830.0</v>
      </c>
      <c r="B56" s="18" t="s">
        <v>306</v>
      </c>
      <c r="D56" s="18" t="s">
        <v>565</v>
      </c>
      <c r="E56" s="18" t="s">
        <v>565</v>
      </c>
      <c r="F56" s="18" t="s">
        <v>567</v>
      </c>
      <c r="G56" s="18">
        <v>1.0</v>
      </c>
      <c r="H56" s="18" t="s">
        <v>46</v>
      </c>
    </row>
    <row r="57" ht="22.5" customHeight="1">
      <c r="A57" s="18">
        <v>1831.0</v>
      </c>
      <c r="B57" s="18" t="s">
        <v>306</v>
      </c>
      <c r="D57" s="18" t="s">
        <v>569</v>
      </c>
      <c r="E57" s="18" t="s">
        <v>569</v>
      </c>
      <c r="F57" s="18" t="s">
        <v>571</v>
      </c>
      <c r="G57" s="18">
        <v>1.0</v>
      </c>
      <c r="H57" s="18" t="s">
        <v>46</v>
      </c>
    </row>
    <row r="58" ht="22.5" customHeight="1">
      <c r="A58" s="18">
        <v>1832.0</v>
      </c>
      <c r="B58" s="18" t="s">
        <v>306</v>
      </c>
      <c r="D58" s="18" t="s">
        <v>574</v>
      </c>
      <c r="E58" s="18" t="s">
        <v>574</v>
      </c>
      <c r="F58" s="18" t="s">
        <v>575</v>
      </c>
      <c r="G58" s="18">
        <v>1.0</v>
      </c>
      <c r="H58" s="18" t="s">
        <v>46</v>
      </c>
    </row>
    <row r="59" ht="22.5" customHeight="1">
      <c r="A59" s="18">
        <v>1833.0</v>
      </c>
      <c r="B59" s="18" t="s">
        <v>306</v>
      </c>
      <c r="D59" s="18" t="s">
        <v>578</v>
      </c>
      <c r="E59" s="18" t="s">
        <v>578</v>
      </c>
      <c r="F59" s="18" t="s">
        <v>580</v>
      </c>
      <c r="G59" s="18">
        <v>1.0</v>
      </c>
      <c r="H59" s="18" t="s">
        <v>46</v>
      </c>
    </row>
    <row r="60" ht="22.5" customHeight="1">
      <c r="A60" s="18">
        <v>1871.0</v>
      </c>
      <c r="B60" s="18" t="s">
        <v>306</v>
      </c>
      <c r="D60" s="18" t="s">
        <v>583</v>
      </c>
      <c r="E60" s="18" t="s">
        <v>583</v>
      </c>
      <c r="F60" s="18" t="s">
        <v>585</v>
      </c>
      <c r="G60" s="18">
        <v>1.0</v>
      </c>
      <c r="H60" s="18" t="s">
        <v>46</v>
      </c>
    </row>
    <row r="61" ht="22.5" customHeight="1">
      <c r="A61" s="18">
        <v>1877.0</v>
      </c>
      <c r="B61" s="18" t="s">
        <v>306</v>
      </c>
      <c r="D61" s="18" t="s">
        <v>587</v>
      </c>
      <c r="E61" s="18" t="s">
        <v>587</v>
      </c>
      <c r="F61" s="18" t="s">
        <v>589</v>
      </c>
      <c r="G61" s="18">
        <v>1.0</v>
      </c>
      <c r="H61" s="18" t="s">
        <v>46</v>
      </c>
    </row>
    <row r="62" ht="22.5" customHeight="1">
      <c r="A62" s="18">
        <v>1878.0</v>
      </c>
      <c r="B62" s="18" t="s">
        <v>306</v>
      </c>
      <c r="D62" s="18" t="s">
        <v>592</v>
      </c>
      <c r="E62" s="18" t="s">
        <v>592</v>
      </c>
      <c r="F62" s="18" t="s">
        <v>594</v>
      </c>
      <c r="G62" s="18">
        <v>1.0</v>
      </c>
      <c r="H62" s="18" t="s">
        <v>46</v>
      </c>
    </row>
    <row r="63" ht="22.5" customHeight="1">
      <c r="A63" s="18">
        <v>1879.0</v>
      </c>
      <c r="B63" s="18" t="s">
        <v>306</v>
      </c>
      <c r="D63" s="18" t="s">
        <v>596</v>
      </c>
      <c r="E63" s="18" t="s">
        <v>596</v>
      </c>
      <c r="F63" s="18" t="s">
        <v>598</v>
      </c>
      <c r="G63" s="18">
        <v>1.0</v>
      </c>
      <c r="H63" s="18" t="s">
        <v>46</v>
      </c>
    </row>
    <row r="64" ht="22.5" customHeight="1">
      <c r="A64" s="18">
        <v>1880.0</v>
      </c>
      <c r="B64" s="18" t="s">
        <v>306</v>
      </c>
      <c r="D64" s="18" t="s">
        <v>602</v>
      </c>
      <c r="E64" s="18" t="s">
        <v>603</v>
      </c>
      <c r="F64" s="18" t="s">
        <v>604</v>
      </c>
      <c r="G64" s="18">
        <v>1.0</v>
      </c>
      <c r="H64" s="18" t="s">
        <v>46</v>
      </c>
    </row>
    <row r="65" ht="22.5" customHeight="1">
      <c r="A65" s="18">
        <v>1881.0</v>
      </c>
      <c r="B65" s="18" t="s">
        <v>306</v>
      </c>
      <c r="D65" s="18" t="s">
        <v>605</v>
      </c>
      <c r="E65" s="18" t="s">
        <v>605</v>
      </c>
      <c r="F65" s="18" t="s">
        <v>606</v>
      </c>
      <c r="G65" s="18">
        <v>1.0</v>
      </c>
      <c r="H65" s="18" t="s">
        <v>46</v>
      </c>
    </row>
    <row r="66" ht="22.5" customHeight="1">
      <c r="A66" s="18">
        <v>1882.0</v>
      </c>
      <c r="B66" s="18" t="s">
        <v>306</v>
      </c>
      <c r="D66" s="18" t="s">
        <v>609</v>
      </c>
      <c r="E66" s="18" t="s">
        <v>609</v>
      </c>
      <c r="F66" s="18" t="s">
        <v>610</v>
      </c>
      <c r="G66" s="18">
        <v>1.0</v>
      </c>
      <c r="H66" s="18" t="s">
        <v>46</v>
      </c>
    </row>
    <row r="67" ht="22.5" customHeight="1">
      <c r="A67" s="18">
        <v>1890.0</v>
      </c>
      <c r="B67" s="18" t="s">
        <v>306</v>
      </c>
      <c r="D67" s="18" t="s">
        <v>611</v>
      </c>
      <c r="E67" s="18" t="s">
        <v>611</v>
      </c>
      <c r="F67" s="18" t="s">
        <v>612</v>
      </c>
      <c r="G67" s="18">
        <v>1.0</v>
      </c>
      <c r="H67" s="18" t="s">
        <v>46</v>
      </c>
    </row>
    <row r="68" ht="22.5" customHeight="1">
      <c r="A68" s="18">
        <v>1892.0</v>
      </c>
      <c r="B68" s="18" t="s">
        <v>306</v>
      </c>
      <c r="D68" s="18" t="s">
        <v>613</v>
      </c>
      <c r="E68" s="18" t="s">
        <v>613</v>
      </c>
      <c r="F68" s="18" t="s">
        <v>614</v>
      </c>
      <c r="G68" s="18">
        <v>1.0</v>
      </c>
      <c r="H68" s="18" t="s">
        <v>46</v>
      </c>
    </row>
    <row r="69" ht="22.5" customHeight="1">
      <c r="A69" s="18">
        <v>1901.0</v>
      </c>
      <c r="B69" s="18" t="s">
        <v>306</v>
      </c>
      <c r="D69" s="18" t="s">
        <v>615</v>
      </c>
      <c r="E69" s="18" t="s">
        <v>615</v>
      </c>
      <c r="F69" s="18" t="s">
        <v>616</v>
      </c>
      <c r="G69" s="18">
        <v>1.0</v>
      </c>
      <c r="H69" s="18" t="s">
        <v>46</v>
      </c>
    </row>
    <row r="70" ht="22.5" customHeight="1">
      <c r="A70" s="18">
        <v>1902.0</v>
      </c>
      <c r="B70" s="18" t="s">
        <v>306</v>
      </c>
      <c r="D70" s="18" t="s">
        <v>617</v>
      </c>
      <c r="E70" s="18" t="s">
        <v>617</v>
      </c>
      <c r="F70" s="18" t="s">
        <v>618</v>
      </c>
      <c r="G70" s="18">
        <v>1.0</v>
      </c>
      <c r="H70" s="18" t="s">
        <v>46</v>
      </c>
    </row>
    <row r="71" ht="22.5" customHeight="1">
      <c r="A71" s="18">
        <v>1903.0</v>
      </c>
      <c r="B71" s="18" t="s">
        <v>306</v>
      </c>
      <c r="D71" s="18" t="s">
        <v>619</v>
      </c>
      <c r="E71" s="18" t="s">
        <v>619</v>
      </c>
      <c r="F71" s="18" t="s">
        <v>620</v>
      </c>
      <c r="G71" s="18">
        <v>1.0</v>
      </c>
      <c r="H71" s="18" t="s">
        <v>46</v>
      </c>
    </row>
    <row r="72" ht="22.5" customHeight="1">
      <c r="A72" s="18">
        <v>1906.0</v>
      </c>
      <c r="B72" s="18" t="s">
        <v>306</v>
      </c>
      <c r="D72" s="18" t="s">
        <v>621</v>
      </c>
      <c r="E72" s="18" t="s">
        <v>621</v>
      </c>
      <c r="F72" s="18" t="s">
        <v>622</v>
      </c>
      <c r="G72" s="18">
        <v>1.0</v>
      </c>
      <c r="H72" s="18" t="s">
        <v>46</v>
      </c>
    </row>
    <row r="73" ht="22.5" customHeight="1">
      <c r="A73" s="18">
        <v>1907.0</v>
      </c>
      <c r="B73" s="18" t="s">
        <v>306</v>
      </c>
      <c r="D73" s="18" t="s">
        <v>623</v>
      </c>
      <c r="E73" s="18" t="s">
        <v>623</v>
      </c>
      <c r="F73" s="18" t="s">
        <v>624</v>
      </c>
      <c r="G73" s="18">
        <v>1.0</v>
      </c>
      <c r="H73" s="18" t="s">
        <v>46</v>
      </c>
    </row>
    <row r="74" ht="22.5" customHeight="1">
      <c r="A74" s="18">
        <v>1908.0</v>
      </c>
      <c r="B74" s="18" t="s">
        <v>306</v>
      </c>
      <c r="D74" s="18" t="s">
        <v>625</v>
      </c>
      <c r="E74" s="18" t="s">
        <v>625</v>
      </c>
      <c r="F74" s="18" t="s">
        <v>626</v>
      </c>
      <c r="G74" s="18">
        <v>1.0</v>
      </c>
      <c r="H74" s="18" t="s">
        <v>46</v>
      </c>
    </row>
    <row r="75" ht="22.5" customHeight="1">
      <c r="A75" s="18">
        <v>1909.0</v>
      </c>
      <c r="B75" s="18" t="s">
        <v>306</v>
      </c>
      <c r="D75" s="18" t="s">
        <v>627</v>
      </c>
      <c r="E75" s="18" t="s">
        <v>627</v>
      </c>
      <c r="F75" s="18" t="s">
        <v>628</v>
      </c>
      <c r="G75" s="18">
        <v>1.0</v>
      </c>
      <c r="H75" s="18" t="s">
        <v>46</v>
      </c>
    </row>
    <row r="76" ht="22.5" customHeight="1">
      <c r="A76" s="18">
        <v>1910.0</v>
      </c>
      <c r="B76" s="18" t="s">
        <v>306</v>
      </c>
      <c r="D76" s="18" t="s">
        <v>629</v>
      </c>
      <c r="E76" s="18" t="s">
        <v>629</v>
      </c>
      <c r="F76" s="18" t="s">
        <v>630</v>
      </c>
      <c r="G76" s="18">
        <v>1.0</v>
      </c>
      <c r="H76" s="18" t="s">
        <v>46</v>
      </c>
    </row>
    <row r="77" ht="22.5" customHeight="1">
      <c r="A77" s="18">
        <v>1914.0</v>
      </c>
      <c r="B77" s="18" t="s">
        <v>306</v>
      </c>
      <c r="D77" s="18" t="s">
        <v>631</v>
      </c>
      <c r="E77" s="18" t="s">
        <v>631</v>
      </c>
      <c r="F77" s="18" t="s">
        <v>632</v>
      </c>
      <c r="G77" s="18">
        <v>1.0</v>
      </c>
      <c r="H77" s="18" t="s">
        <v>46</v>
      </c>
    </row>
    <row r="78" ht="22.5" customHeight="1">
      <c r="A78" s="18">
        <v>1916.0</v>
      </c>
      <c r="B78" s="18" t="s">
        <v>306</v>
      </c>
      <c r="D78" s="18" t="s">
        <v>633</v>
      </c>
      <c r="E78" s="18" t="s">
        <v>633</v>
      </c>
      <c r="F78" s="18" t="s">
        <v>634</v>
      </c>
      <c r="G78" s="18">
        <v>1.0</v>
      </c>
      <c r="H78" s="18" t="s">
        <v>46</v>
      </c>
    </row>
    <row r="79" ht="22.5" customHeight="1">
      <c r="A79" s="18">
        <v>1919.0</v>
      </c>
      <c r="B79" s="18" t="s">
        <v>306</v>
      </c>
      <c r="D79" s="18" t="s">
        <v>635</v>
      </c>
      <c r="E79" s="18" t="s">
        <v>578</v>
      </c>
      <c r="F79" s="18" t="s">
        <v>636</v>
      </c>
      <c r="G79" s="18">
        <v>1.0</v>
      </c>
      <c r="H79" s="18" t="s">
        <v>46</v>
      </c>
    </row>
    <row r="80" ht="22.5" customHeight="1">
      <c r="A80" s="18">
        <v>1920.0</v>
      </c>
      <c r="B80" s="18" t="s">
        <v>306</v>
      </c>
      <c r="D80" s="18" t="s">
        <v>637</v>
      </c>
      <c r="E80" s="18" t="s">
        <v>638</v>
      </c>
      <c r="F80" s="18" t="s">
        <v>639</v>
      </c>
      <c r="G80" s="18">
        <v>1.0</v>
      </c>
      <c r="H80" s="18" t="s">
        <v>46</v>
      </c>
    </row>
    <row r="81" ht="22.5" customHeight="1">
      <c r="A81" s="18">
        <v>1921.0</v>
      </c>
      <c r="B81" s="18" t="s">
        <v>306</v>
      </c>
      <c r="D81" s="18" t="s">
        <v>640</v>
      </c>
      <c r="E81" s="18" t="s">
        <v>640</v>
      </c>
      <c r="F81" s="18" t="s">
        <v>641</v>
      </c>
      <c r="G81" s="18">
        <v>1.0</v>
      </c>
      <c r="H81" s="18" t="s">
        <v>46</v>
      </c>
    </row>
    <row r="82" ht="22.5" customHeight="1">
      <c r="A82" s="18">
        <v>1937.0</v>
      </c>
      <c r="B82" s="18" t="s">
        <v>306</v>
      </c>
      <c r="D82" s="18" t="s">
        <v>642</v>
      </c>
      <c r="E82" s="18" t="s">
        <v>642</v>
      </c>
      <c r="F82" s="18" t="s">
        <v>643</v>
      </c>
      <c r="G82" s="18">
        <v>1.0</v>
      </c>
      <c r="H82" s="18" t="s">
        <v>46</v>
      </c>
    </row>
    <row r="83" ht="22.5" customHeight="1">
      <c r="A83" s="18">
        <v>1940.0</v>
      </c>
      <c r="B83" s="18" t="s">
        <v>306</v>
      </c>
      <c r="D83" s="18" t="s">
        <v>644</v>
      </c>
      <c r="E83" s="18" t="s">
        <v>644</v>
      </c>
      <c r="F83" s="18" t="s">
        <v>645</v>
      </c>
      <c r="G83" s="18">
        <v>1.0</v>
      </c>
      <c r="H83" s="18" t="s">
        <v>46</v>
      </c>
    </row>
    <row r="84" ht="22.5" customHeight="1">
      <c r="A84" s="18">
        <v>1941.0</v>
      </c>
      <c r="B84" s="18" t="s">
        <v>306</v>
      </c>
      <c r="D84" s="18" t="s">
        <v>646</v>
      </c>
      <c r="E84" s="18" t="s">
        <v>646</v>
      </c>
      <c r="F84" s="18" t="s">
        <v>647</v>
      </c>
      <c r="G84" s="18">
        <v>1.0</v>
      </c>
      <c r="H84" s="18" t="s">
        <v>46</v>
      </c>
    </row>
    <row r="85" ht="22.5" customHeight="1">
      <c r="A85" s="18">
        <v>1945.0</v>
      </c>
      <c r="B85" s="18" t="s">
        <v>306</v>
      </c>
      <c r="D85" s="18" t="s">
        <v>648</v>
      </c>
      <c r="E85" s="18" t="s">
        <v>648</v>
      </c>
      <c r="F85" s="18" t="s">
        <v>649</v>
      </c>
      <c r="G85" s="18">
        <v>1.0</v>
      </c>
      <c r="H85" s="18" t="s">
        <v>46</v>
      </c>
    </row>
    <row r="86" ht="22.5" customHeight="1">
      <c r="A86" s="18">
        <v>1964.0</v>
      </c>
      <c r="B86" s="18" t="s">
        <v>306</v>
      </c>
      <c r="D86" s="18" t="s">
        <v>650</v>
      </c>
      <c r="E86" s="18" t="s">
        <v>650</v>
      </c>
      <c r="F86" s="18" t="s">
        <v>652</v>
      </c>
      <c r="G86" s="18">
        <v>1.0</v>
      </c>
      <c r="H86" s="18" t="s">
        <v>46</v>
      </c>
    </row>
    <row r="87" ht="22.5" customHeight="1">
      <c r="A87" s="18">
        <v>2015.0</v>
      </c>
      <c r="B87" s="18" t="s">
        <v>306</v>
      </c>
      <c r="D87" s="18" t="s">
        <v>653</v>
      </c>
      <c r="E87" s="18" t="s">
        <v>653</v>
      </c>
      <c r="F87" s="18" t="s">
        <v>654</v>
      </c>
      <c r="G87" s="18">
        <v>1.0</v>
      </c>
      <c r="H87" s="18" t="s">
        <v>46</v>
      </c>
    </row>
    <row r="88" ht="22.5" customHeight="1">
      <c r="A88" s="18">
        <v>2018.0</v>
      </c>
      <c r="B88" s="18" t="s">
        <v>306</v>
      </c>
      <c r="D88" s="18" t="s">
        <v>655</v>
      </c>
      <c r="E88" s="18" t="s">
        <v>655</v>
      </c>
      <c r="F88" s="18" t="s">
        <v>656</v>
      </c>
      <c r="G88" s="18">
        <v>1.0</v>
      </c>
      <c r="H88" s="18" t="s">
        <v>46</v>
      </c>
    </row>
    <row r="89" ht="22.5" customHeight="1">
      <c r="A89" s="18">
        <v>2029.0</v>
      </c>
      <c r="B89" s="18" t="s">
        <v>306</v>
      </c>
      <c r="D89" s="18" t="s">
        <v>657</v>
      </c>
      <c r="E89" s="18" t="s">
        <v>657</v>
      </c>
      <c r="F89" s="18" t="s">
        <v>658</v>
      </c>
      <c r="G89" s="18">
        <v>1.0</v>
      </c>
      <c r="H89" s="18" t="s">
        <v>46</v>
      </c>
    </row>
    <row r="90" ht="22.5" customHeight="1">
      <c r="A90" s="18">
        <v>2031.0</v>
      </c>
      <c r="B90" s="18" t="s">
        <v>306</v>
      </c>
      <c r="D90" s="18" t="s">
        <v>659</v>
      </c>
      <c r="E90" s="18" t="s">
        <v>659</v>
      </c>
      <c r="F90" s="18" t="s">
        <v>660</v>
      </c>
      <c r="G90" s="18">
        <v>1.0</v>
      </c>
      <c r="H90" s="18" t="s">
        <v>46</v>
      </c>
    </row>
    <row r="91" ht="22.5" customHeight="1">
      <c r="A91" s="18">
        <v>2032.0</v>
      </c>
      <c r="B91" s="18" t="s">
        <v>306</v>
      </c>
      <c r="D91" s="18" t="s">
        <v>662</v>
      </c>
      <c r="E91" s="18" t="s">
        <v>662</v>
      </c>
      <c r="F91" s="18" t="s">
        <v>663</v>
      </c>
      <c r="G91" s="18">
        <v>1.0</v>
      </c>
      <c r="H91" s="18" t="s">
        <v>46</v>
      </c>
    </row>
    <row r="92" ht="22.5" customHeight="1">
      <c r="A92" s="18">
        <v>2039.0</v>
      </c>
      <c r="B92" s="18" t="s">
        <v>306</v>
      </c>
      <c r="D92" s="18" t="s">
        <v>665</v>
      </c>
      <c r="E92" s="18" t="s">
        <v>665</v>
      </c>
      <c r="F92" s="18" t="s">
        <v>666</v>
      </c>
      <c r="G92" s="18">
        <v>1.0</v>
      </c>
      <c r="H92" s="18" t="s">
        <v>46</v>
      </c>
    </row>
    <row r="93" ht="22.5" customHeight="1">
      <c r="A93" s="18">
        <v>2041.0</v>
      </c>
      <c r="B93" s="18" t="s">
        <v>306</v>
      </c>
      <c r="D93" s="18" t="s">
        <v>668</v>
      </c>
      <c r="E93" s="18" t="s">
        <v>668</v>
      </c>
      <c r="F93" s="18" t="s">
        <v>669</v>
      </c>
      <c r="G93" s="18">
        <v>1.0</v>
      </c>
      <c r="H93" s="18" t="s">
        <v>46</v>
      </c>
    </row>
    <row r="94" ht="22.5" customHeight="1">
      <c r="A94" s="18">
        <v>2043.0</v>
      </c>
      <c r="B94" s="18" t="s">
        <v>306</v>
      </c>
      <c r="C94" s="18" t="s">
        <v>671</v>
      </c>
      <c r="D94" s="18" t="s">
        <v>672</v>
      </c>
      <c r="E94" s="18" t="s">
        <v>672</v>
      </c>
      <c r="F94" s="18" t="s">
        <v>673</v>
      </c>
      <c r="G94" s="18">
        <v>1.0</v>
      </c>
      <c r="H94" s="18" t="s">
        <v>46</v>
      </c>
    </row>
    <row r="95" ht="22.5" customHeight="1">
      <c r="A95" s="18">
        <v>2060.0</v>
      </c>
      <c r="B95" s="18" t="s">
        <v>306</v>
      </c>
      <c r="D95" s="18" t="s">
        <v>675</v>
      </c>
      <c r="E95" s="18" t="s">
        <v>675</v>
      </c>
      <c r="F95" s="18" t="s">
        <v>676</v>
      </c>
      <c r="G95" s="18">
        <v>1.0</v>
      </c>
      <c r="H95" s="18" t="s">
        <v>46</v>
      </c>
    </row>
    <row r="96" ht="22.5" customHeight="1">
      <c r="A96" s="18">
        <v>2062.0</v>
      </c>
      <c r="B96" s="18" t="s">
        <v>306</v>
      </c>
      <c r="D96" s="18" t="s">
        <v>677</v>
      </c>
      <c r="E96" s="18" t="s">
        <v>677</v>
      </c>
      <c r="F96" s="18" t="s">
        <v>678</v>
      </c>
      <c r="G96" s="18">
        <v>1.0</v>
      </c>
      <c r="H96" s="18" t="s">
        <v>46</v>
      </c>
    </row>
    <row r="97" ht="22.5" customHeight="1">
      <c r="A97" s="18">
        <v>2069.0</v>
      </c>
      <c r="B97" s="18" t="s">
        <v>306</v>
      </c>
      <c r="D97" s="18" t="s">
        <v>680</v>
      </c>
      <c r="E97" s="18" t="s">
        <v>680</v>
      </c>
      <c r="F97" s="18" t="s">
        <v>681</v>
      </c>
      <c r="G97" s="18">
        <v>1.0</v>
      </c>
      <c r="H97" s="18" t="s">
        <v>46</v>
      </c>
    </row>
    <row r="98" ht="22.5" customHeight="1">
      <c r="A98" s="18">
        <v>2070.0</v>
      </c>
      <c r="B98" s="18" t="s">
        <v>306</v>
      </c>
      <c r="D98" s="18" t="s">
        <v>683</v>
      </c>
      <c r="E98" s="18" t="s">
        <v>683</v>
      </c>
      <c r="F98" s="18" t="s">
        <v>684</v>
      </c>
      <c r="G98" s="18">
        <v>1.0</v>
      </c>
      <c r="H98" s="18" t="s">
        <v>46</v>
      </c>
    </row>
    <row r="99" ht="22.5" customHeight="1">
      <c r="A99" s="18">
        <v>2071.0</v>
      </c>
      <c r="B99" s="18" t="s">
        <v>306</v>
      </c>
      <c r="D99" s="18" t="s">
        <v>686</v>
      </c>
      <c r="E99" s="18" t="s">
        <v>686</v>
      </c>
      <c r="F99" s="18" t="s">
        <v>687</v>
      </c>
      <c r="G99" s="18">
        <v>1.0</v>
      </c>
      <c r="H99" s="18" t="s">
        <v>46</v>
      </c>
    </row>
    <row r="100" ht="22.5" customHeight="1">
      <c r="A100" s="18">
        <v>2072.0</v>
      </c>
      <c r="B100" s="18" t="s">
        <v>306</v>
      </c>
      <c r="D100" s="18" t="s">
        <v>688</v>
      </c>
      <c r="E100" s="18" t="s">
        <v>688</v>
      </c>
      <c r="F100" s="18" t="s">
        <v>690</v>
      </c>
      <c r="G100" s="18">
        <v>1.0</v>
      </c>
      <c r="H100" s="18" t="s">
        <v>46</v>
      </c>
    </row>
    <row r="101" ht="22.5" customHeight="1">
      <c r="A101" s="18">
        <v>2073.0</v>
      </c>
      <c r="B101" s="18" t="s">
        <v>306</v>
      </c>
      <c r="D101" s="18" t="s">
        <v>691</v>
      </c>
      <c r="E101" s="18" t="s">
        <v>691</v>
      </c>
      <c r="F101" s="18" t="s">
        <v>694</v>
      </c>
      <c r="G101" s="18">
        <v>1.0</v>
      </c>
      <c r="H101" s="18" t="s">
        <v>46</v>
      </c>
    </row>
    <row r="102" ht="22.5" customHeight="1">
      <c r="A102" s="18">
        <v>2079.0</v>
      </c>
      <c r="B102" s="18" t="s">
        <v>306</v>
      </c>
      <c r="D102" s="18" t="s">
        <v>696</v>
      </c>
      <c r="E102" s="18" t="s">
        <v>696</v>
      </c>
      <c r="F102" s="18" t="s">
        <v>697</v>
      </c>
      <c r="G102" s="18">
        <v>1.0</v>
      </c>
      <c r="H102" s="18" t="s">
        <v>46</v>
      </c>
    </row>
    <row r="103" ht="22.5" customHeight="1">
      <c r="A103" s="18">
        <v>2082.0</v>
      </c>
      <c r="B103" s="18" t="s">
        <v>306</v>
      </c>
      <c r="D103" s="18" t="s">
        <v>698</v>
      </c>
      <c r="E103" s="18" t="s">
        <v>698</v>
      </c>
      <c r="F103" s="18" t="s">
        <v>700</v>
      </c>
      <c r="G103" s="18">
        <v>1.0</v>
      </c>
      <c r="H103" s="18" t="s">
        <v>46</v>
      </c>
    </row>
    <row r="104" ht="22.5" customHeight="1">
      <c r="A104" s="18">
        <v>2083.0</v>
      </c>
      <c r="B104" s="18" t="s">
        <v>306</v>
      </c>
      <c r="D104" s="18" t="s">
        <v>701</v>
      </c>
      <c r="E104" s="18" t="s">
        <v>701</v>
      </c>
      <c r="F104" s="18" t="s">
        <v>702</v>
      </c>
      <c r="G104" s="18">
        <v>1.0</v>
      </c>
      <c r="H104" s="18" t="s">
        <v>46</v>
      </c>
    </row>
    <row r="105" ht="22.5" customHeight="1">
      <c r="A105" s="18">
        <v>2088.0</v>
      </c>
      <c r="B105" s="18" t="s">
        <v>306</v>
      </c>
      <c r="D105" s="18" t="s">
        <v>703</v>
      </c>
      <c r="E105" s="18" t="s">
        <v>703</v>
      </c>
      <c r="F105" s="18" t="s">
        <v>704</v>
      </c>
      <c r="G105" s="18">
        <v>1.0</v>
      </c>
      <c r="H105" s="18" t="s">
        <v>46</v>
      </c>
    </row>
    <row r="106" ht="22.5" customHeight="1">
      <c r="A106" s="18">
        <v>2090.0</v>
      </c>
      <c r="B106" s="18" t="s">
        <v>306</v>
      </c>
      <c r="D106" s="18" t="s">
        <v>705</v>
      </c>
      <c r="E106" s="18" t="s">
        <v>705</v>
      </c>
      <c r="F106" s="18" t="s">
        <v>706</v>
      </c>
      <c r="G106" s="18">
        <v>1.0</v>
      </c>
      <c r="H106" s="18" t="s">
        <v>46</v>
      </c>
    </row>
    <row r="107" ht="22.5" customHeight="1">
      <c r="A107" s="18">
        <v>2091.0</v>
      </c>
      <c r="B107" s="18" t="s">
        <v>306</v>
      </c>
      <c r="D107" s="18" t="s">
        <v>707</v>
      </c>
      <c r="E107" s="18" t="s">
        <v>707</v>
      </c>
      <c r="F107" s="18" t="s">
        <v>708</v>
      </c>
      <c r="G107" s="18">
        <v>1.0</v>
      </c>
      <c r="H107" s="18" t="s">
        <v>46</v>
      </c>
    </row>
    <row r="108" ht="22.5" customHeight="1">
      <c r="A108" s="18">
        <v>2094.0</v>
      </c>
      <c r="B108" s="18" t="s">
        <v>306</v>
      </c>
      <c r="D108" s="18" t="s">
        <v>709</v>
      </c>
      <c r="E108" s="18" t="s">
        <v>709</v>
      </c>
      <c r="F108" s="18" t="s">
        <v>710</v>
      </c>
      <c r="G108" s="18">
        <v>1.0</v>
      </c>
      <c r="H108" s="18" t="s">
        <v>46</v>
      </c>
    </row>
    <row r="109" ht="22.5" customHeight="1">
      <c r="A109" s="18">
        <v>2138.0</v>
      </c>
      <c r="B109" s="18" t="s">
        <v>306</v>
      </c>
      <c r="D109" s="18" t="s">
        <v>711</v>
      </c>
      <c r="E109" s="18" t="s">
        <v>711</v>
      </c>
      <c r="F109" s="18" t="s">
        <v>712</v>
      </c>
      <c r="G109" s="18">
        <v>1.0</v>
      </c>
      <c r="H109" s="18" t="s">
        <v>46</v>
      </c>
    </row>
    <row r="110" ht="22.5" customHeight="1">
      <c r="A110" s="18">
        <v>2139.0</v>
      </c>
      <c r="B110" s="18" t="s">
        <v>306</v>
      </c>
      <c r="D110" s="18" t="s">
        <v>713</v>
      </c>
      <c r="E110" s="18" t="s">
        <v>713</v>
      </c>
      <c r="F110" s="18" t="s">
        <v>714</v>
      </c>
      <c r="G110" s="18">
        <v>1.0</v>
      </c>
      <c r="H110" s="18" t="s">
        <v>46</v>
      </c>
    </row>
    <row r="111" ht="22.5" customHeight="1">
      <c r="A111" s="18">
        <v>2140.0</v>
      </c>
      <c r="B111" s="18" t="s">
        <v>306</v>
      </c>
      <c r="D111" s="18" t="s">
        <v>715</v>
      </c>
      <c r="E111" s="18" t="s">
        <v>715</v>
      </c>
      <c r="F111" s="18" t="s">
        <v>716</v>
      </c>
      <c r="G111" s="18">
        <v>1.0</v>
      </c>
      <c r="H111" s="18" t="s">
        <v>46</v>
      </c>
    </row>
    <row r="112" ht="22.5" customHeight="1">
      <c r="A112" s="18">
        <v>2202.0</v>
      </c>
      <c r="B112" s="18" t="s">
        <v>306</v>
      </c>
      <c r="D112" s="18" t="s">
        <v>717</v>
      </c>
      <c r="E112" s="18" t="s">
        <v>717</v>
      </c>
      <c r="F112" s="18" t="s">
        <v>718</v>
      </c>
      <c r="G112" s="18">
        <v>1.0</v>
      </c>
      <c r="H112" s="18" t="s">
        <v>46</v>
      </c>
    </row>
    <row r="113" ht="22.5" customHeight="1">
      <c r="A113" s="18">
        <v>2203.0</v>
      </c>
      <c r="B113" s="18" t="s">
        <v>306</v>
      </c>
      <c r="C113" s="18" t="s">
        <v>407</v>
      </c>
      <c r="D113" s="18" t="s">
        <v>719</v>
      </c>
      <c r="E113" s="18" t="s">
        <v>719</v>
      </c>
      <c r="F113" s="18" t="s">
        <v>720</v>
      </c>
      <c r="G113" s="18">
        <v>1.0</v>
      </c>
      <c r="H113" s="18" t="s">
        <v>46</v>
      </c>
    </row>
    <row r="114" ht="22.5" customHeight="1">
      <c r="A114" s="18">
        <v>2304.0</v>
      </c>
      <c r="B114" s="18" t="s">
        <v>306</v>
      </c>
      <c r="D114" s="18" t="s">
        <v>721</v>
      </c>
      <c r="E114" s="18" t="s">
        <v>721</v>
      </c>
      <c r="F114" s="18" t="s">
        <v>722</v>
      </c>
      <c r="G114" s="18">
        <v>1.0</v>
      </c>
      <c r="H114" s="18" t="s">
        <v>46</v>
      </c>
    </row>
    <row r="115" ht="22.5" customHeight="1">
      <c r="A115" s="18">
        <v>2306.0</v>
      </c>
      <c r="B115" s="18" t="s">
        <v>306</v>
      </c>
      <c r="D115" s="18" t="s">
        <v>724</v>
      </c>
      <c r="E115" s="18" t="s">
        <v>724</v>
      </c>
      <c r="F115" s="18" t="s">
        <v>725</v>
      </c>
      <c r="G115" s="18">
        <v>1.0</v>
      </c>
      <c r="H115" s="18" t="s">
        <v>46</v>
      </c>
    </row>
    <row r="116" ht="22.5" customHeight="1">
      <c r="A116" s="18">
        <v>2307.0</v>
      </c>
      <c r="B116" s="18" t="s">
        <v>306</v>
      </c>
      <c r="D116" s="18" t="s">
        <v>726</v>
      </c>
      <c r="E116" s="18" t="s">
        <v>727</v>
      </c>
      <c r="F116" s="18" t="s">
        <v>728</v>
      </c>
      <c r="G116" s="18">
        <v>1.0</v>
      </c>
      <c r="H116" s="18" t="s">
        <v>46</v>
      </c>
    </row>
    <row r="117" ht="22.5" customHeight="1">
      <c r="A117" s="18">
        <v>2368.0</v>
      </c>
      <c r="B117" s="18" t="s">
        <v>306</v>
      </c>
      <c r="D117" s="18" t="s">
        <v>729</v>
      </c>
      <c r="E117" s="18" t="s">
        <v>729</v>
      </c>
      <c r="F117" s="18" t="s">
        <v>730</v>
      </c>
      <c r="G117" s="18">
        <v>1.0</v>
      </c>
      <c r="H117" s="18" t="s">
        <v>46</v>
      </c>
    </row>
    <row r="118" ht="22.5" customHeight="1">
      <c r="A118" s="18">
        <v>2369.0</v>
      </c>
      <c r="B118" s="18" t="s">
        <v>306</v>
      </c>
      <c r="D118" s="18" t="s">
        <v>731</v>
      </c>
      <c r="E118" s="18" t="s">
        <v>731</v>
      </c>
      <c r="F118" s="18" t="s">
        <v>732</v>
      </c>
      <c r="G118" s="18">
        <v>1.0</v>
      </c>
      <c r="H118" s="18" t="s">
        <v>46</v>
      </c>
    </row>
    <row r="119" ht="22.5" customHeight="1">
      <c r="A119" s="18">
        <v>2386.0</v>
      </c>
      <c r="B119" s="18" t="s">
        <v>306</v>
      </c>
      <c r="D119" s="18" t="s">
        <v>734</v>
      </c>
      <c r="E119" s="18" t="s">
        <v>734</v>
      </c>
      <c r="F119" s="18" t="s">
        <v>735</v>
      </c>
      <c r="G119" s="18">
        <v>1.0</v>
      </c>
      <c r="H119" s="18" t="s">
        <v>46</v>
      </c>
    </row>
    <row r="120" ht="22.5" customHeight="1">
      <c r="A120" s="18">
        <v>2387.0</v>
      </c>
      <c r="B120" s="18" t="s">
        <v>306</v>
      </c>
      <c r="D120" s="18" t="s">
        <v>737</v>
      </c>
      <c r="E120" s="18" t="s">
        <v>737</v>
      </c>
      <c r="F120" s="18" t="s">
        <v>738</v>
      </c>
      <c r="G120" s="18">
        <v>1.0</v>
      </c>
      <c r="H120" s="18" t="s">
        <v>46</v>
      </c>
    </row>
    <row r="121" ht="22.5" customHeight="1">
      <c r="A121" s="18">
        <v>2390.0</v>
      </c>
      <c r="B121" s="18" t="s">
        <v>306</v>
      </c>
      <c r="D121" s="18" t="s">
        <v>739</v>
      </c>
      <c r="E121" s="18" t="s">
        <v>739</v>
      </c>
      <c r="F121" s="18" t="s">
        <v>741</v>
      </c>
      <c r="G121" s="18">
        <v>1.0</v>
      </c>
      <c r="H121" s="18" t="s">
        <v>46</v>
      </c>
    </row>
    <row r="122" ht="22.5" customHeight="1">
      <c r="A122" s="18">
        <v>2398.0</v>
      </c>
      <c r="B122" s="18" t="s">
        <v>306</v>
      </c>
      <c r="D122" s="18" t="s">
        <v>742</v>
      </c>
      <c r="E122" s="18" t="s">
        <v>742</v>
      </c>
      <c r="F122" s="18" t="s">
        <v>743</v>
      </c>
      <c r="G122" s="18">
        <v>1.0</v>
      </c>
      <c r="H122" s="18" t="s">
        <v>46</v>
      </c>
    </row>
    <row r="123" ht="22.5" customHeight="1">
      <c r="A123" s="18">
        <v>2403.0</v>
      </c>
      <c r="B123" s="18" t="s">
        <v>306</v>
      </c>
      <c r="D123" s="18" t="s">
        <v>744</v>
      </c>
      <c r="E123" s="18" t="s">
        <v>744</v>
      </c>
      <c r="F123" s="18" t="s">
        <v>745</v>
      </c>
      <c r="G123" s="18">
        <v>1.0</v>
      </c>
      <c r="H123" s="18" t="s">
        <v>46</v>
      </c>
    </row>
    <row r="124" ht="22.5" customHeight="1">
      <c r="A124" s="18">
        <v>2436.0</v>
      </c>
      <c r="B124" s="18" t="s">
        <v>306</v>
      </c>
      <c r="D124" s="18" t="s">
        <v>747</v>
      </c>
      <c r="E124" s="18" t="s">
        <v>747</v>
      </c>
      <c r="F124" s="18" t="s">
        <v>748</v>
      </c>
      <c r="G124" s="18">
        <v>1.0</v>
      </c>
      <c r="H124" s="18" t="s">
        <v>46</v>
      </c>
    </row>
    <row r="125" ht="22.5" customHeight="1">
      <c r="A125" s="18">
        <v>2477.0</v>
      </c>
      <c r="B125" s="18" t="s">
        <v>306</v>
      </c>
      <c r="D125" s="18" t="s">
        <v>750</v>
      </c>
      <c r="E125" s="18" t="s">
        <v>750</v>
      </c>
      <c r="F125" s="18" t="s">
        <v>751</v>
      </c>
      <c r="G125" s="18">
        <v>1.0</v>
      </c>
      <c r="H125" s="18" t="s">
        <v>46</v>
      </c>
    </row>
    <row r="126" ht="22.5" customHeight="1">
      <c r="A126" s="18">
        <v>2501.0</v>
      </c>
      <c r="B126" s="18" t="s">
        <v>306</v>
      </c>
      <c r="D126" s="18" t="s">
        <v>752</v>
      </c>
      <c r="E126" s="18" t="s">
        <v>752</v>
      </c>
      <c r="F126" s="18" t="s">
        <v>754</v>
      </c>
      <c r="G126" s="18">
        <v>1.0</v>
      </c>
      <c r="H126" s="18" t="s">
        <v>46</v>
      </c>
    </row>
    <row r="127" ht="22.5" customHeight="1">
      <c r="A127" s="18">
        <v>2503.0</v>
      </c>
      <c r="B127" s="18" t="s">
        <v>306</v>
      </c>
      <c r="D127" s="18" t="s">
        <v>756</v>
      </c>
      <c r="E127" s="18" t="s">
        <v>756</v>
      </c>
      <c r="F127" s="18" t="s">
        <v>757</v>
      </c>
      <c r="G127" s="18">
        <v>1.0</v>
      </c>
      <c r="H127" s="18" t="s">
        <v>46</v>
      </c>
    </row>
    <row r="128" ht="22.5" customHeight="1">
      <c r="A128" s="18">
        <v>2504.0</v>
      </c>
      <c r="B128" s="18" t="s">
        <v>306</v>
      </c>
      <c r="D128" s="18" t="s">
        <v>758</v>
      </c>
      <c r="E128" s="18" t="s">
        <v>758</v>
      </c>
      <c r="F128" s="18" t="s">
        <v>759</v>
      </c>
      <c r="G128" s="18">
        <v>1.0</v>
      </c>
      <c r="H128" s="18" t="s">
        <v>46</v>
      </c>
    </row>
    <row r="129" ht="22.5" customHeight="1">
      <c r="A129" s="18">
        <v>2505.0</v>
      </c>
      <c r="B129" s="18" t="s">
        <v>306</v>
      </c>
      <c r="D129" s="18" t="s">
        <v>760</v>
      </c>
      <c r="E129" s="18" t="s">
        <v>760</v>
      </c>
      <c r="F129" s="18" t="s">
        <v>761</v>
      </c>
      <c r="G129" s="18">
        <v>1.0</v>
      </c>
      <c r="H129" s="18" t="s">
        <v>46</v>
      </c>
    </row>
    <row r="130" ht="22.5" customHeight="1">
      <c r="A130" s="18">
        <v>2511.0</v>
      </c>
      <c r="B130" s="18" t="s">
        <v>306</v>
      </c>
      <c r="D130" s="18" t="s">
        <v>762</v>
      </c>
      <c r="E130" s="18" t="s">
        <v>762</v>
      </c>
      <c r="F130" s="18" t="s">
        <v>763</v>
      </c>
      <c r="G130" s="18">
        <v>1.0</v>
      </c>
      <c r="H130" s="18" t="s">
        <v>46</v>
      </c>
    </row>
    <row r="131" ht="22.5" customHeight="1">
      <c r="A131" s="18">
        <v>2513.0</v>
      </c>
      <c r="B131" s="18" t="s">
        <v>306</v>
      </c>
      <c r="D131" s="18" t="s">
        <v>764</v>
      </c>
      <c r="E131" s="18" t="s">
        <v>764</v>
      </c>
      <c r="F131" s="18" t="s">
        <v>765</v>
      </c>
      <c r="G131" s="18">
        <v>1.0</v>
      </c>
      <c r="H131" s="18" t="s">
        <v>46</v>
      </c>
    </row>
    <row r="132" ht="22.5" customHeight="1">
      <c r="A132" s="18">
        <v>2518.0</v>
      </c>
      <c r="B132" s="18" t="s">
        <v>306</v>
      </c>
      <c r="D132" s="18" t="s">
        <v>767</v>
      </c>
      <c r="E132" s="18" t="s">
        <v>767</v>
      </c>
      <c r="F132" s="18" t="s">
        <v>768</v>
      </c>
      <c r="G132" s="18">
        <v>1.0</v>
      </c>
      <c r="H132" s="18" t="s">
        <v>46</v>
      </c>
    </row>
    <row r="133" ht="22.5" customHeight="1">
      <c r="A133" s="18">
        <v>2525.0</v>
      </c>
      <c r="B133" s="18" t="s">
        <v>306</v>
      </c>
      <c r="D133" s="18" t="s">
        <v>769</v>
      </c>
      <c r="E133" s="18" t="s">
        <v>769</v>
      </c>
      <c r="F133" s="18" t="s">
        <v>770</v>
      </c>
      <c r="G133" s="18">
        <v>1.0</v>
      </c>
      <c r="H133" s="18" t="s">
        <v>46</v>
      </c>
    </row>
    <row r="134" ht="22.5" customHeight="1">
      <c r="A134" s="18">
        <v>2532.0</v>
      </c>
      <c r="B134" s="18" t="s">
        <v>306</v>
      </c>
      <c r="D134" s="18" t="s">
        <v>771</v>
      </c>
      <c r="E134" s="18" t="s">
        <v>771</v>
      </c>
      <c r="F134" s="18" t="s">
        <v>772</v>
      </c>
      <c r="G134" s="18">
        <v>1.0</v>
      </c>
      <c r="H134" s="18" t="s">
        <v>46</v>
      </c>
    </row>
    <row r="135" ht="22.5" customHeight="1">
      <c r="A135" s="18">
        <v>2533.0</v>
      </c>
      <c r="B135" s="18" t="s">
        <v>306</v>
      </c>
      <c r="D135" s="18" t="s">
        <v>773</v>
      </c>
      <c r="E135" s="18" t="s">
        <v>773</v>
      </c>
      <c r="F135" s="18" t="s">
        <v>774</v>
      </c>
      <c r="G135" s="18">
        <v>1.0</v>
      </c>
      <c r="H135" s="18" t="s">
        <v>46</v>
      </c>
    </row>
    <row r="136" ht="22.5" customHeight="1">
      <c r="A136" s="18">
        <v>2547.0</v>
      </c>
      <c r="B136" s="18" t="s">
        <v>306</v>
      </c>
      <c r="D136" s="18" t="s">
        <v>775</v>
      </c>
      <c r="E136" s="18" t="s">
        <v>775</v>
      </c>
      <c r="F136" s="18" t="s">
        <v>776</v>
      </c>
      <c r="G136" s="18">
        <v>1.0</v>
      </c>
      <c r="H136" s="18" t="s">
        <v>46</v>
      </c>
    </row>
    <row r="137" ht="22.5" customHeight="1">
      <c r="A137" s="18">
        <v>2551.0</v>
      </c>
      <c r="B137" s="18" t="s">
        <v>306</v>
      </c>
      <c r="D137" s="18" t="s">
        <v>777</v>
      </c>
      <c r="E137" s="18" t="s">
        <v>777</v>
      </c>
      <c r="F137" s="18" t="s">
        <v>778</v>
      </c>
      <c r="G137" s="18">
        <v>1.0</v>
      </c>
      <c r="H137" s="18" t="s">
        <v>46</v>
      </c>
    </row>
    <row r="138" ht="22.5" customHeight="1">
      <c r="A138" s="18">
        <v>2558.0</v>
      </c>
      <c r="B138" s="18" t="s">
        <v>306</v>
      </c>
      <c r="D138" s="18" t="s">
        <v>780</v>
      </c>
      <c r="E138" s="18" t="s">
        <v>780</v>
      </c>
      <c r="F138" s="18" t="s">
        <v>781</v>
      </c>
      <c r="G138" s="18">
        <v>1.0</v>
      </c>
      <c r="H138" s="18" t="s">
        <v>46</v>
      </c>
    </row>
    <row r="139" ht="22.5" customHeight="1">
      <c r="A139" s="18">
        <v>2567.0</v>
      </c>
      <c r="B139" s="18" t="s">
        <v>306</v>
      </c>
      <c r="C139" s="18" t="s">
        <v>782</v>
      </c>
      <c r="D139" s="18" t="s">
        <v>783</v>
      </c>
      <c r="E139" s="18" t="s">
        <v>783</v>
      </c>
      <c r="F139" s="18" t="s">
        <v>784</v>
      </c>
      <c r="G139" s="18">
        <v>1.0</v>
      </c>
      <c r="H139" s="18" t="s">
        <v>46</v>
      </c>
    </row>
    <row r="140" ht="22.5" customHeight="1">
      <c r="A140" s="18">
        <v>2568.0</v>
      </c>
      <c r="B140" s="18" t="s">
        <v>306</v>
      </c>
      <c r="D140" s="18" t="s">
        <v>786</v>
      </c>
      <c r="E140" s="18" t="s">
        <v>786</v>
      </c>
      <c r="F140" s="18" t="s">
        <v>787</v>
      </c>
      <c r="G140" s="18">
        <v>1.0</v>
      </c>
      <c r="H140" s="18" t="s">
        <v>46</v>
      </c>
    </row>
    <row r="141" ht="22.5" customHeight="1">
      <c r="A141" s="18">
        <v>2576.0</v>
      </c>
      <c r="B141" s="18" t="s">
        <v>306</v>
      </c>
      <c r="D141" s="18" t="s">
        <v>788</v>
      </c>
      <c r="E141" s="18" t="s">
        <v>788</v>
      </c>
      <c r="F141" s="18" t="s">
        <v>790</v>
      </c>
      <c r="G141" s="18">
        <v>1.0</v>
      </c>
      <c r="H141" s="18" t="s">
        <v>46</v>
      </c>
    </row>
    <row r="142" ht="22.5" customHeight="1">
      <c r="A142" s="18">
        <v>2577.0</v>
      </c>
      <c r="B142" s="18" t="s">
        <v>306</v>
      </c>
      <c r="D142" s="18" t="s">
        <v>792</v>
      </c>
      <c r="E142" s="18" t="s">
        <v>792</v>
      </c>
      <c r="F142" s="18" t="s">
        <v>793</v>
      </c>
      <c r="G142" s="18">
        <v>1.0</v>
      </c>
      <c r="H142" s="18" t="s">
        <v>46</v>
      </c>
    </row>
    <row r="143" ht="22.5" customHeight="1">
      <c r="A143" s="18">
        <v>2595.0</v>
      </c>
      <c r="B143" s="18" t="s">
        <v>306</v>
      </c>
      <c r="D143" s="18" t="s">
        <v>794</v>
      </c>
      <c r="E143" s="18" t="s">
        <v>794</v>
      </c>
      <c r="F143" s="18" t="s">
        <v>796</v>
      </c>
      <c r="G143" s="18">
        <v>1.0</v>
      </c>
      <c r="H143" s="18" t="s">
        <v>46</v>
      </c>
    </row>
    <row r="144" ht="22.5" customHeight="1">
      <c r="A144" s="18">
        <v>2598.0</v>
      </c>
      <c r="B144" s="18" t="s">
        <v>306</v>
      </c>
      <c r="D144" s="18" t="s">
        <v>797</v>
      </c>
      <c r="E144" s="18" t="s">
        <v>797</v>
      </c>
      <c r="F144" s="18" t="s">
        <v>798</v>
      </c>
      <c r="G144" s="18">
        <v>1.0</v>
      </c>
      <c r="H144" s="18" t="s">
        <v>46</v>
      </c>
    </row>
    <row r="145" ht="22.5" customHeight="1">
      <c r="A145" s="18">
        <v>2622.0</v>
      </c>
      <c r="B145" s="18" t="s">
        <v>306</v>
      </c>
      <c r="D145" s="18" t="s">
        <v>799</v>
      </c>
      <c r="E145" s="18" t="s">
        <v>799</v>
      </c>
      <c r="F145" s="18" t="s">
        <v>800</v>
      </c>
      <c r="G145" s="18">
        <v>1.0</v>
      </c>
      <c r="H145" s="18" t="s">
        <v>46</v>
      </c>
    </row>
    <row r="146" ht="22.5" customHeight="1">
      <c r="A146" s="18">
        <v>2643.0</v>
      </c>
      <c r="B146" s="18" t="s">
        <v>306</v>
      </c>
      <c r="C146" s="18" t="s">
        <v>802</v>
      </c>
      <c r="D146" s="18" t="s">
        <v>803</v>
      </c>
      <c r="E146" s="18" t="s">
        <v>804</v>
      </c>
      <c r="F146" s="18" t="s">
        <v>805</v>
      </c>
      <c r="G146" s="18">
        <v>1.0</v>
      </c>
      <c r="H146" s="18" t="s">
        <v>46</v>
      </c>
    </row>
    <row r="147" ht="22.5" customHeight="1">
      <c r="A147" s="18">
        <v>2645.0</v>
      </c>
      <c r="B147" s="18" t="s">
        <v>306</v>
      </c>
      <c r="D147" s="18" t="s">
        <v>806</v>
      </c>
      <c r="E147" s="18" t="s">
        <v>806</v>
      </c>
      <c r="F147" s="18" t="s">
        <v>807</v>
      </c>
      <c r="G147" s="18">
        <v>1.0</v>
      </c>
      <c r="H147" s="18" t="s">
        <v>46</v>
      </c>
    </row>
    <row r="148" ht="22.5" customHeight="1">
      <c r="A148" s="18">
        <v>2691.0</v>
      </c>
      <c r="B148" s="18" t="s">
        <v>306</v>
      </c>
      <c r="D148" s="18" t="s">
        <v>808</v>
      </c>
      <c r="E148" s="18" t="s">
        <v>808</v>
      </c>
      <c r="F148" s="18" t="s">
        <v>809</v>
      </c>
      <c r="G148" s="18">
        <v>1.0</v>
      </c>
      <c r="H148" s="18" t="s">
        <v>46</v>
      </c>
    </row>
    <row r="149" ht="22.5" customHeight="1">
      <c r="A149" s="18">
        <v>2710.0</v>
      </c>
      <c r="B149" s="18" t="s">
        <v>306</v>
      </c>
      <c r="D149" s="18" t="s">
        <v>810</v>
      </c>
      <c r="E149" s="18" t="s">
        <v>810</v>
      </c>
      <c r="F149" s="18" t="s">
        <v>811</v>
      </c>
      <c r="G149" s="18">
        <v>1.0</v>
      </c>
      <c r="H149" s="18" t="s">
        <v>46</v>
      </c>
    </row>
    <row r="150" ht="22.5" customHeight="1">
      <c r="A150" s="18">
        <v>2711.0</v>
      </c>
      <c r="B150" s="18" t="s">
        <v>306</v>
      </c>
      <c r="D150" s="18" t="s">
        <v>812</v>
      </c>
      <c r="E150" s="18" t="s">
        <v>812</v>
      </c>
      <c r="F150" s="18" t="s">
        <v>813</v>
      </c>
      <c r="G150" s="18">
        <v>1.0</v>
      </c>
      <c r="H150" s="18" t="s">
        <v>46</v>
      </c>
    </row>
    <row r="151" ht="22.5" customHeight="1">
      <c r="A151" s="18">
        <v>2715.0</v>
      </c>
      <c r="B151" s="18" t="s">
        <v>306</v>
      </c>
      <c r="D151" s="18" t="s">
        <v>814</v>
      </c>
      <c r="E151" s="18" t="s">
        <v>814</v>
      </c>
      <c r="F151" s="18" t="s">
        <v>815</v>
      </c>
      <c r="G151" s="18">
        <v>1.0</v>
      </c>
      <c r="H151" s="18" t="s">
        <v>46</v>
      </c>
    </row>
    <row r="152" ht="22.5" customHeight="1">
      <c r="A152" s="18">
        <v>2718.0</v>
      </c>
      <c r="B152" s="18" t="s">
        <v>306</v>
      </c>
      <c r="D152" s="18" t="s">
        <v>816</v>
      </c>
      <c r="E152" s="18" t="s">
        <v>816</v>
      </c>
      <c r="F152" s="18" t="s">
        <v>817</v>
      </c>
      <c r="G152" s="18">
        <v>1.0</v>
      </c>
      <c r="H152" s="18" t="s">
        <v>46</v>
      </c>
    </row>
    <row r="153" ht="22.5" customHeight="1">
      <c r="A153" s="18">
        <v>2764.0</v>
      </c>
      <c r="B153" s="18" t="s">
        <v>306</v>
      </c>
      <c r="D153" s="18" t="s">
        <v>818</v>
      </c>
      <c r="E153" s="18" t="s">
        <v>818</v>
      </c>
      <c r="F153" s="18" t="s">
        <v>819</v>
      </c>
      <c r="G153" s="18">
        <v>1.0</v>
      </c>
      <c r="H153" s="18" t="s">
        <v>46</v>
      </c>
    </row>
    <row r="154" ht="22.5" customHeight="1">
      <c r="A154" s="18">
        <v>2765.0</v>
      </c>
      <c r="B154" s="18" t="s">
        <v>306</v>
      </c>
      <c r="C154" s="18" t="s">
        <v>671</v>
      </c>
      <c r="D154" s="18" t="s">
        <v>820</v>
      </c>
      <c r="E154" s="18" t="s">
        <v>822</v>
      </c>
      <c r="F154" s="18" t="s">
        <v>823</v>
      </c>
      <c r="G154" s="18">
        <v>1.0</v>
      </c>
      <c r="H154" s="18" t="s">
        <v>46</v>
      </c>
    </row>
    <row r="155" ht="22.5" customHeight="1">
      <c r="A155" s="18">
        <v>2766.0</v>
      </c>
      <c r="B155" s="18" t="s">
        <v>306</v>
      </c>
      <c r="D155" s="18" t="s">
        <v>824</v>
      </c>
      <c r="E155" s="18" t="s">
        <v>824</v>
      </c>
      <c r="F155" s="18" t="s">
        <v>825</v>
      </c>
      <c r="G155" s="18">
        <v>1.0</v>
      </c>
      <c r="H155" s="18" t="s">
        <v>46</v>
      </c>
    </row>
    <row r="156" ht="22.5" customHeight="1">
      <c r="A156" s="18">
        <v>2768.0</v>
      </c>
      <c r="B156" s="18" t="s">
        <v>306</v>
      </c>
      <c r="D156" s="18" t="s">
        <v>826</v>
      </c>
      <c r="E156" s="18" t="s">
        <v>826</v>
      </c>
      <c r="F156" s="18" t="s">
        <v>827</v>
      </c>
      <c r="G156" s="18">
        <v>1.0</v>
      </c>
      <c r="H156" s="18" t="s">
        <v>46</v>
      </c>
    </row>
    <row r="157" ht="22.5" customHeight="1">
      <c r="A157" s="18">
        <v>2772.0</v>
      </c>
      <c r="B157" s="18" t="s">
        <v>306</v>
      </c>
      <c r="D157" s="18" t="s">
        <v>828</v>
      </c>
      <c r="E157" s="18" t="s">
        <v>828</v>
      </c>
      <c r="F157" s="18" t="s">
        <v>829</v>
      </c>
      <c r="G157" s="18">
        <v>1.0</v>
      </c>
      <c r="H157" s="18" t="s">
        <v>46</v>
      </c>
    </row>
    <row r="158" ht="22.5" customHeight="1">
      <c r="A158" s="18">
        <v>2777.0</v>
      </c>
      <c r="B158" s="18" t="s">
        <v>306</v>
      </c>
      <c r="D158" s="18" t="s">
        <v>830</v>
      </c>
      <c r="E158" s="18" t="s">
        <v>830</v>
      </c>
      <c r="F158" s="18" t="s">
        <v>831</v>
      </c>
      <c r="G158" s="18">
        <v>1.0</v>
      </c>
      <c r="H158" s="18" t="s">
        <v>46</v>
      </c>
    </row>
    <row r="159" ht="22.5" customHeight="1">
      <c r="A159" s="18">
        <v>2778.0</v>
      </c>
      <c r="B159" s="18" t="s">
        <v>306</v>
      </c>
      <c r="D159" s="18" t="s">
        <v>832</v>
      </c>
      <c r="E159" s="18" t="s">
        <v>832</v>
      </c>
      <c r="F159" s="18" t="s">
        <v>833</v>
      </c>
      <c r="G159" s="18">
        <v>1.0</v>
      </c>
      <c r="H159" s="18" t="s">
        <v>46</v>
      </c>
    </row>
    <row r="160" ht="22.5" customHeight="1">
      <c r="A160" s="18">
        <v>2779.0</v>
      </c>
      <c r="B160" s="18" t="s">
        <v>306</v>
      </c>
      <c r="D160" s="18" t="s">
        <v>834</v>
      </c>
      <c r="E160" s="18" t="s">
        <v>834</v>
      </c>
      <c r="F160" s="18" t="s">
        <v>835</v>
      </c>
      <c r="G160" s="18">
        <v>1.0</v>
      </c>
      <c r="H160" s="18" t="s">
        <v>46</v>
      </c>
    </row>
    <row r="161" ht="22.5" customHeight="1">
      <c r="A161" s="18">
        <v>2785.0</v>
      </c>
      <c r="B161" s="18" t="s">
        <v>306</v>
      </c>
      <c r="D161" s="18" t="s">
        <v>836</v>
      </c>
      <c r="E161" s="18" t="s">
        <v>836</v>
      </c>
      <c r="F161" s="18" t="s">
        <v>837</v>
      </c>
      <c r="G161" s="18">
        <v>1.0</v>
      </c>
      <c r="H161" s="18" t="s">
        <v>46</v>
      </c>
    </row>
    <row r="162" ht="22.5" customHeight="1">
      <c r="A162" s="18">
        <v>2792.0</v>
      </c>
      <c r="B162" s="18" t="s">
        <v>306</v>
      </c>
      <c r="D162" s="18" t="s">
        <v>838</v>
      </c>
      <c r="E162" s="18" t="s">
        <v>838</v>
      </c>
      <c r="F162" s="18" t="s">
        <v>839</v>
      </c>
      <c r="G162" s="18">
        <v>1.0</v>
      </c>
      <c r="H162" s="18" t="s">
        <v>46</v>
      </c>
    </row>
    <row r="163" ht="22.5" customHeight="1">
      <c r="A163" s="18">
        <v>2793.0</v>
      </c>
      <c r="B163" s="18" t="s">
        <v>306</v>
      </c>
      <c r="D163" s="18" t="s">
        <v>841</v>
      </c>
      <c r="E163" s="18" t="s">
        <v>841</v>
      </c>
      <c r="F163" s="18" t="s">
        <v>842</v>
      </c>
      <c r="G163" s="18">
        <v>1.0</v>
      </c>
      <c r="H163" s="18" t="s">
        <v>46</v>
      </c>
    </row>
    <row r="164" ht="22.5" customHeight="1">
      <c r="A164" s="18">
        <v>2794.0</v>
      </c>
      <c r="B164" s="18" t="s">
        <v>306</v>
      </c>
      <c r="D164" s="18" t="s">
        <v>843</v>
      </c>
      <c r="E164" s="18" t="s">
        <v>843</v>
      </c>
      <c r="F164" s="18" t="s">
        <v>844</v>
      </c>
      <c r="G164" s="18">
        <v>1.0</v>
      </c>
      <c r="H164" s="18" t="s">
        <v>46</v>
      </c>
    </row>
    <row r="165" ht="22.5" customHeight="1">
      <c r="A165" s="18">
        <v>2795.0</v>
      </c>
      <c r="B165" s="18" t="s">
        <v>306</v>
      </c>
      <c r="D165" s="18" t="s">
        <v>845</v>
      </c>
      <c r="E165" s="18" t="s">
        <v>845</v>
      </c>
      <c r="F165" s="18" t="s">
        <v>846</v>
      </c>
      <c r="G165" s="18">
        <v>1.0</v>
      </c>
      <c r="H165" s="18" t="s">
        <v>46</v>
      </c>
    </row>
    <row r="166" ht="22.5" customHeight="1">
      <c r="A166" s="18">
        <v>2804.0</v>
      </c>
      <c r="B166" s="18" t="s">
        <v>306</v>
      </c>
      <c r="D166" s="18" t="s">
        <v>847</v>
      </c>
      <c r="E166" s="18" t="s">
        <v>847</v>
      </c>
      <c r="F166" s="18" t="s">
        <v>848</v>
      </c>
      <c r="G166" s="18">
        <v>1.0</v>
      </c>
      <c r="H166" s="18" t="s">
        <v>46</v>
      </c>
    </row>
    <row r="167" ht="22.5" customHeight="1">
      <c r="A167" s="18">
        <v>2805.0</v>
      </c>
      <c r="B167" s="18" t="s">
        <v>306</v>
      </c>
      <c r="D167" s="18" t="s">
        <v>849</v>
      </c>
      <c r="E167" s="18" t="s">
        <v>849</v>
      </c>
      <c r="F167" s="18" t="s">
        <v>850</v>
      </c>
      <c r="G167" s="18">
        <v>1.0</v>
      </c>
      <c r="H167" s="18" t="s">
        <v>46</v>
      </c>
    </row>
    <row r="168" ht="22.5" customHeight="1">
      <c r="A168" s="18">
        <v>2806.0</v>
      </c>
      <c r="B168" s="18" t="s">
        <v>306</v>
      </c>
      <c r="D168" s="18" t="s">
        <v>851</v>
      </c>
      <c r="E168" s="18" t="s">
        <v>851</v>
      </c>
      <c r="F168" s="18" t="s">
        <v>852</v>
      </c>
      <c r="G168" s="18">
        <v>1.0</v>
      </c>
      <c r="H168" s="18" t="s">
        <v>46</v>
      </c>
    </row>
    <row r="169" ht="22.5" customHeight="1">
      <c r="A169" s="18">
        <v>2807.0</v>
      </c>
      <c r="B169" s="18" t="s">
        <v>306</v>
      </c>
      <c r="D169" s="18" t="s">
        <v>853</v>
      </c>
      <c r="E169" s="18" t="s">
        <v>853</v>
      </c>
      <c r="F169" s="18" t="s">
        <v>854</v>
      </c>
      <c r="G169" s="18">
        <v>1.0</v>
      </c>
      <c r="H169" s="18" t="s">
        <v>46</v>
      </c>
    </row>
    <row r="170" ht="22.5" customHeight="1">
      <c r="A170" s="18">
        <v>2808.0</v>
      </c>
      <c r="B170" s="18" t="s">
        <v>306</v>
      </c>
      <c r="D170" s="18" t="s">
        <v>855</v>
      </c>
      <c r="E170" s="18" t="s">
        <v>855</v>
      </c>
      <c r="F170" s="18" t="s">
        <v>856</v>
      </c>
      <c r="G170" s="18">
        <v>1.0</v>
      </c>
      <c r="H170" s="18" t="s">
        <v>46</v>
      </c>
    </row>
    <row r="171" ht="22.5" customHeight="1">
      <c r="A171" s="18">
        <v>2809.0</v>
      </c>
      <c r="B171" s="18" t="s">
        <v>306</v>
      </c>
      <c r="D171" s="18" t="s">
        <v>857</v>
      </c>
      <c r="E171" s="18" t="s">
        <v>857</v>
      </c>
      <c r="F171" s="18" t="s">
        <v>858</v>
      </c>
      <c r="G171" s="18">
        <v>1.0</v>
      </c>
      <c r="H171" s="18" t="s">
        <v>46</v>
      </c>
    </row>
    <row r="172" ht="22.5" customHeight="1">
      <c r="A172" s="18">
        <v>2814.0</v>
      </c>
      <c r="B172" s="18" t="s">
        <v>306</v>
      </c>
      <c r="D172" s="18" t="s">
        <v>859</v>
      </c>
      <c r="E172" s="18" t="s">
        <v>859</v>
      </c>
      <c r="F172" s="18" t="s">
        <v>860</v>
      </c>
      <c r="G172" s="18">
        <v>1.0</v>
      </c>
      <c r="H172" s="18" t="s">
        <v>46</v>
      </c>
    </row>
    <row r="173" ht="22.5" customHeight="1">
      <c r="A173" s="18">
        <v>2820.0</v>
      </c>
      <c r="B173" s="18" t="s">
        <v>306</v>
      </c>
      <c r="D173" s="18" t="s">
        <v>861</v>
      </c>
      <c r="E173" s="18" t="s">
        <v>861</v>
      </c>
      <c r="F173" s="18" t="s">
        <v>862</v>
      </c>
      <c r="G173" s="18">
        <v>1.0</v>
      </c>
      <c r="H173" s="18" t="s">
        <v>46</v>
      </c>
    </row>
    <row r="174" ht="22.5" customHeight="1">
      <c r="A174" s="18">
        <v>2825.0</v>
      </c>
      <c r="B174" s="18" t="s">
        <v>306</v>
      </c>
      <c r="D174" s="18" t="s">
        <v>863</v>
      </c>
      <c r="E174" s="18" t="s">
        <v>863</v>
      </c>
      <c r="F174" s="18" t="s">
        <v>864</v>
      </c>
      <c r="G174" s="18">
        <v>1.0</v>
      </c>
      <c r="H174" s="18" t="s">
        <v>46</v>
      </c>
    </row>
    <row r="175" ht="22.5" customHeight="1">
      <c r="A175" s="18">
        <v>2850.0</v>
      </c>
      <c r="B175" s="18" t="s">
        <v>306</v>
      </c>
      <c r="D175" s="18" t="s">
        <v>865</v>
      </c>
      <c r="E175" s="18" t="s">
        <v>865</v>
      </c>
      <c r="F175" s="18" t="s">
        <v>866</v>
      </c>
      <c r="G175" s="18">
        <v>1.0</v>
      </c>
      <c r="H175" s="18" t="s">
        <v>46</v>
      </c>
    </row>
    <row r="176" ht="22.5" customHeight="1">
      <c r="A176" s="18">
        <v>2853.0</v>
      </c>
      <c r="B176" s="18" t="s">
        <v>306</v>
      </c>
      <c r="D176" s="18" t="s">
        <v>867</v>
      </c>
      <c r="E176" s="18" t="s">
        <v>867</v>
      </c>
      <c r="F176" s="18" t="s">
        <v>868</v>
      </c>
      <c r="G176" s="18">
        <v>1.0</v>
      </c>
      <c r="H176" s="18" t="s">
        <v>46</v>
      </c>
    </row>
    <row r="177" ht="22.5" customHeight="1">
      <c r="A177" s="18">
        <v>2854.0</v>
      </c>
      <c r="B177" s="18" t="s">
        <v>306</v>
      </c>
      <c r="D177" s="18" t="s">
        <v>869</v>
      </c>
      <c r="E177" s="18" t="s">
        <v>869</v>
      </c>
      <c r="F177" s="18" t="s">
        <v>870</v>
      </c>
      <c r="G177" s="18">
        <v>1.0</v>
      </c>
      <c r="H177" s="18" t="s">
        <v>46</v>
      </c>
    </row>
    <row r="178" ht="22.5" customHeight="1">
      <c r="A178" s="18">
        <v>2855.0</v>
      </c>
      <c r="B178" s="18" t="s">
        <v>306</v>
      </c>
      <c r="D178" s="18" t="s">
        <v>871</v>
      </c>
      <c r="E178" s="18" t="s">
        <v>871</v>
      </c>
      <c r="F178" s="18" t="s">
        <v>872</v>
      </c>
      <c r="G178" s="18">
        <v>1.0</v>
      </c>
      <c r="H178" s="18" t="s">
        <v>46</v>
      </c>
    </row>
    <row r="179" ht="22.5" customHeight="1">
      <c r="A179" s="18">
        <v>2865.0</v>
      </c>
      <c r="B179" s="18" t="s">
        <v>306</v>
      </c>
      <c r="D179" s="18" t="s">
        <v>873</v>
      </c>
      <c r="E179" s="18" t="s">
        <v>873</v>
      </c>
      <c r="F179" s="18" t="s">
        <v>874</v>
      </c>
      <c r="G179" s="18">
        <v>1.0</v>
      </c>
      <c r="H179" s="18" t="s">
        <v>46</v>
      </c>
    </row>
    <row r="180" ht="22.5" customHeight="1">
      <c r="A180" s="18">
        <v>2866.0</v>
      </c>
      <c r="B180" s="18" t="s">
        <v>306</v>
      </c>
      <c r="D180" s="18" t="s">
        <v>875</v>
      </c>
      <c r="E180" s="18" t="s">
        <v>875</v>
      </c>
      <c r="F180" s="18" t="s">
        <v>876</v>
      </c>
      <c r="G180" s="18">
        <v>1.0</v>
      </c>
      <c r="H180" s="18" t="s">
        <v>46</v>
      </c>
    </row>
    <row r="181" ht="22.5" customHeight="1">
      <c r="A181" s="18">
        <v>2871.0</v>
      </c>
      <c r="B181" s="18" t="s">
        <v>306</v>
      </c>
      <c r="D181" s="18" t="s">
        <v>877</v>
      </c>
      <c r="E181" s="18" t="s">
        <v>877</v>
      </c>
      <c r="F181" s="18" t="s">
        <v>878</v>
      </c>
      <c r="G181" s="18">
        <v>1.0</v>
      </c>
      <c r="H181" s="18" t="s">
        <v>46</v>
      </c>
    </row>
    <row r="182" ht="22.5" customHeight="1">
      <c r="A182" s="18">
        <v>2880.0</v>
      </c>
      <c r="B182" s="18" t="s">
        <v>306</v>
      </c>
      <c r="D182" s="18" t="s">
        <v>879</v>
      </c>
      <c r="E182" s="18" t="s">
        <v>879</v>
      </c>
      <c r="F182" s="18" t="s">
        <v>880</v>
      </c>
      <c r="G182" s="18">
        <v>1.0</v>
      </c>
      <c r="H182" s="18" t="s">
        <v>46</v>
      </c>
    </row>
    <row r="183" ht="22.5" customHeight="1">
      <c r="A183" s="18">
        <v>1193.0</v>
      </c>
      <c r="B183" s="18" t="s">
        <v>420</v>
      </c>
      <c r="D183" s="18" t="s">
        <v>881</v>
      </c>
      <c r="E183" s="18" t="s">
        <v>881</v>
      </c>
      <c r="F183" s="18" t="s">
        <v>882</v>
      </c>
      <c r="G183" s="18">
        <v>2.0</v>
      </c>
      <c r="H183" s="18" t="s">
        <v>46</v>
      </c>
    </row>
    <row r="184" ht="22.5" customHeight="1">
      <c r="A184" s="18">
        <v>1385.0</v>
      </c>
      <c r="B184" s="18" t="s">
        <v>420</v>
      </c>
      <c r="D184" s="18" t="s">
        <v>883</v>
      </c>
      <c r="E184" s="18" t="s">
        <v>883</v>
      </c>
      <c r="F184" s="18" t="s">
        <v>884</v>
      </c>
      <c r="G184" s="18">
        <v>2.0</v>
      </c>
      <c r="H184" s="18" t="s">
        <v>46</v>
      </c>
    </row>
    <row r="185" ht="22.5" customHeight="1">
      <c r="A185" s="18">
        <v>1396.0</v>
      </c>
      <c r="B185" s="18" t="s">
        <v>420</v>
      </c>
      <c r="D185" s="18" t="s">
        <v>885</v>
      </c>
      <c r="E185" s="18" t="s">
        <v>887</v>
      </c>
      <c r="F185" s="18" t="s">
        <v>888</v>
      </c>
      <c r="G185" s="18">
        <v>2.0</v>
      </c>
      <c r="H185" s="18" t="s">
        <v>46</v>
      </c>
    </row>
    <row r="186" ht="22.5" customHeight="1">
      <c r="A186" s="18">
        <v>1400.0</v>
      </c>
      <c r="B186" s="18" t="s">
        <v>420</v>
      </c>
      <c r="C186" s="18">
        <v>97.81</v>
      </c>
      <c r="D186" s="18" t="s">
        <v>889</v>
      </c>
      <c r="E186" s="18" t="s">
        <v>889</v>
      </c>
      <c r="F186" s="18" t="s">
        <v>890</v>
      </c>
      <c r="G186" s="18">
        <v>2.0</v>
      </c>
      <c r="H186" s="18" t="s">
        <v>46</v>
      </c>
    </row>
    <row r="187" ht="22.5" customHeight="1">
      <c r="A187" s="18">
        <v>1528.0</v>
      </c>
      <c r="B187" s="18" t="s">
        <v>420</v>
      </c>
      <c r="D187" s="18" t="s">
        <v>891</v>
      </c>
      <c r="E187" s="18" t="s">
        <v>891</v>
      </c>
      <c r="F187" s="18" t="s">
        <v>488</v>
      </c>
      <c r="G187" s="18">
        <v>2.0</v>
      </c>
      <c r="H187" s="18" t="s">
        <v>46</v>
      </c>
    </row>
    <row r="188" ht="22.5" customHeight="1">
      <c r="A188" s="18">
        <v>1529.0</v>
      </c>
      <c r="B188" s="18" t="s">
        <v>420</v>
      </c>
      <c r="D188" s="18" t="s">
        <v>892</v>
      </c>
      <c r="E188" s="18" t="s">
        <v>892</v>
      </c>
      <c r="F188" s="18" t="s">
        <v>484</v>
      </c>
      <c r="G188" s="18">
        <v>2.0</v>
      </c>
      <c r="H188" s="18" t="s">
        <v>46</v>
      </c>
    </row>
    <row r="189" ht="22.5" customHeight="1">
      <c r="A189" s="18">
        <v>1548.0</v>
      </c>
      <c r="B189" s="18" t="s">
        <v>420</v>
      </c>
      <c r="D189" s="18" t="s">
        <v>894</v>
      </c>
      <c r="E189" s="18" t="s">
        <v>894</v>
      </c>
      <c r="F189" s="18" t="s">
        <v>491</v>
      </c>
      <c r="G189" s="18">
        <v>2.0</v>
      </c>
      <c r="H189" s="18" t="s">
        <v>46</v>
      </c>
    </row>
    <row r="190" ht="22.5" customHeight="1">
      <c r="A190" s="18">
        <v>1553.0</v>
      </c>
      <c r="B190" s="18" t="s">
        <v>420</v>
      </c>
      <c r="D190" s="18" t="s">
        <v>895</v>
      </c>
      <c r="E190" s="18" t="s">
        <v>895</v>
      </c>
      <c r="F190" s="18" t="s">
        <v>896</v>
      </c>
      <c r="G190" s="18">
        <v>2.0</v>
      </c>
      <c r="H190" s="18" t="s">
        <v>46</v>
      </c>
    </row>
    <row r="191" ht="22.5" customHeight="1">
      <c r="A191" s="18">
        <v>1556.0</v>
      </c>
      <c r="B191" s="18" t="s">
        <v>420</v>
      </c>
      <c r="D191" s="18" t="s">
        <v>897</v>
      </c>
      <c r="E191" s="18" t="s">
        <v>897</v>
      </c>
      <c r="F191" s="18" t="s">
        <v>898</v>
      </c>
      <c r="G191" s="18">
        <v>2.0</v>
      </c>
      <c r="H191" s="18" t="s">
        <v>46</v>
      </c>
    </row>
    <row r="192" ht="22.5" customHeight="1">
      <c r="A192" s="18">
        <v>1563.0</v>
      </c>
      <c r="B192" s="18" t="s">
        <v>420</v>
      </c>
      <c r="D192" s="18" t="s">
        <v>900</v>
      </c>
      <c r="E192" s="18" t="s">
        <v>503</v>
      </c>
      <c r="F192" s="18" t="s">
        <v>506</v>
      </c>
      <c r="G192" s="18">
        <v>2.0</v>
      </c>
      <c r="H192" s="18" t="s">
        <v>46</v>
      </c>
    </row>
    <row r="193" ht="22.5" customHeight="1">
      <c r="A193" s="18">
        <v>1595.0</v>
      </c>
      <c r="B193" s="18" t="s">
        <v>420</v>
      </c>
      <c r="C193" s="18" t="s">
        <v>901</v>
      </c>
      <c r="D193" s="18" t="s">
        <v>902</v>
      </c>
      <c r="E193" s="18" t="s">
        <v>902</v>
      </c>
      <c r="F193" s="18" t="s">
        <v>903</v>
      </c>
      <c r="G193" s="18">
        <v>2.0</v>
      </c>
      <c r="H193" s="18" t="s">
        <v>46</v>
      </c>
    </row>
    <row r="194" ht="22.5" customHeight="1">
      <c r="A194" s="18">
        <v>1599.0</v>
      </c>
      <c r="B194" s="18" t="s">
        <v>420</v>
      </c>
      <c r="C194" s="18" t="s">
        <v>904</v>
      </c>
      <c r="D194" s="18" t="s">
        <v>905</v>
      </c>
      <c r="E194" s="18" t="s">
        <v>906</v>
      </c>
      <c r="F194" s="18" t="s">
        <v>907</v>
      </c>
      <c r="G194" s="18">
        <v>2.0</v>
      </c>
      <c r="H194" s="18" t="s">
        <v>46</v>
      </c>
    </row>
    <row r="195" ht="22.5" customHeight="1">
      <c r="A195" s="18">
        <v>1601.0</v>
      </c>
      <c r="B195" s="18" t="s">
        <v>420</v>
      </c>
      <c r="C195" s="18" t="s">
        <v>908</v>
      </c>
      <c r="D195" s="18" t="s">
        <v>909</v>
      </c>
      <c r="E195" s="18" t="s">
        <v>909</v>
      </c>
      <c r="F195" s="18" t="s">
        <v>910</v>
      </c>
      <c r="G195" s="18">
        <v>2.0</v>
      </c>
      <c r="H195" s="18" t="s">
        <v>46</v>
      </c>
    </row>
    <row r="196" ht="22.5" customHeight="1">
      <c r="A196" s="18">
        <v>1603.0</v>
      </c>
      <c r="B196" s="18" t="s">
        <v>420</v>
      </c>
      <c r="C196" s="18" t="s">
        <v>911</v>
      </c>
      <c r="D196" s="18" t="s">
        <v>912</v>
      </c>
      <c r="E196" s="18" t="s">
        <v>912</v>
      </c>
      <c r="F196" s="18" t="s">
        <v>913</v>
      </c>
      <c r="G196" s="18">
        <v>2.0</v>
      </c>
      <c r="H196" s="18" t="s">
        <v>46</v>
      </c>
    </row>
    <row r="197" ht="22.5" customHeight="1">
      <c r="A197" s="18">
        <v>1604.0</v>
      </c>
      <c r="B197" s="18" t="s">
        <v>420</v>
      </c>
      <c r="C197" s="18" t="s">
        <v>911</v>
      </c>
      <c r="D197" s="18" t="s">
        <v>914</v>
      </c>
      <c r="E197" s="18" t="s">
        <v>914</v>
      </c>
      <c r="F197" s="18" t="s">
        <v>915</v>
      </c>
      <c r="G197" s="18">
        <v>2.0</v>
      </c>
      <c r="H197" s="18" t="s">
        <v>46</v>
      </c>
    </row>
    <row r="198" ht="22.5" customHeight="1">
      <c r="A198" s="18">
        <v>1608.0</v>
      </c>
      <c r="B198" s="18" t="s">
        <v>420</v>
      </c>
      <c r="C198" s="18" t="s">
        <v>916</v>
      </c>
      <c r="D198" s="18" t="s">
        <v>917</v>
      </c>
      <c r="E198" s="18" t="s">
        <v>917</v>
      </c>
      <c r="F198" s="18" t="s">
        <v>918</v>
      </c>
      <c r="G198" s="18">
        <v>2.0</v>
      </c>
      <c r="H198" s="18" t="s">
        <v>46</v>
      </c>
    </row>
    <row r="199" ht="22.5" customHeight="1">
      <c r="A199" s="18">
        <v>1609.0</v>
      </c>
      <c r="B199" s="18" t="s">
        <v>420</v>
      </c>
      <c r="C199" s="18" t="s">
        <v>916</v>
      </c>
      <c r="D199" s="18" t="s">
        <v>919</v>
      </c>
      <c r="E199" s="18" t="s">
        <v>919</v>
      </c>
      <c r="F199" s="18" t="s">
        <v>920</v>
      </c>
      <c r="G199" s="18">
        <v>2.0</v>
      </c>
      <c r="H199" s="18" t="s">
        <v>46</v>
      </c>
    </row>
    <row r="200" ht="22.5" customHeight="1">
      <c r="A200" s="18">
        <v>1611.0</v>
      </c>
      <c r="B200" s="18" t="s">
        <v>420</v>
      </c>
      <c r="C200" s="18" t="s">
        <v>921</v>
      </c>
      <c r="D200" s="18" t="s">
        <v>922</v>
      </c>
      <c r="E200" s="18" t="s">
        <v>922</v>
      </c>
      <c r="F200" s="18" t="s">
        <v>923</v>
      </c>
      <c r="G200" s="18">
        <v>2.0</v>
      </c>
      <c r="H200" s="18" t="s">
        <v>46</v>
      </c>
    </row>
    <row r="201" ht="22.5" customHeight="1">
      <c r="A201" s="18">
        <v>1613.0</v>
      </c>
      <c r="B201" s="18" t="s">
        <v>420</v>
      </c>
      <c r="C201" s="18" t="s">
        <v>924</v>
      </c>
      <c r="D201" s="18" t="s">
        <v>925</v>
      </c>
      <c r="E201" s="18" t="s">
        <v>925</v>
      </c>
      <c r="F201" s="18" t="s">
        <v>926</v>
      </c>
      <c r="G201" s="18">
        <v>2.0</v>
      </c>
      <c r="H201" s="18" t="s">
        <v>46</v>
      </c>
    </row>
    <row r="202" ht="22.5" customHeight="1">
      <c r="A202" s="18">
        <v>1615.0</v>
      </c>
      <c r="B202" s="18" t="s">
        <v>420</v>
      </c>
      <c r="C202" s="18" t="s">
        <v>927</v>
      </c>
      <c r="D202" s="18" t="s">
        <v>928</v>
      </c>
      <c r="E202" s="18" t="s">
        <v>928</v>
      </c>
      <c r="F202" s="18" t="s">
        <v>929</v>
      </c>
      <c r="G202" s="18">
        <v>2.0</v>
      </c>
      <c r="H202" s="18" t="s">
        <v>46</v>
      </c>
    </row>
    <row r="203" ht="22.5" customHeight="1">
      <c r="A203" s="18">
        <v>1617.0</v>
      </c>
      <c r="B203" s="18" t="s">
        <v>420</v>
      </c>
      <c r="C203" s="18" t="s">
        <v>930</v>
      </c>
      <c r="D203" s="18" t="s">
        <v>931</v>
      </c>
      <c r="E203" s="18" t="s">
        <v>931</v>
      </c>
      <c r="F203" s="18" t="s">
        <v>932</v>
      </c>
      <c r="G203" s="18">
        <v>2.0</v>
      </c>
      <c r="H203" s="18" t="s">
        <v>46</v>
      </c>
    </row>
    <row r="204" ht="22.5" customHeight="1">
      <c r="A204" s="18">
        <v>1619.0</v>
      </c>
      <c r="B204" s="18" t="s">
        <v>420</v>
      </c>
      <c r="C204" s="18" t="s">
        <v>933</v>
      </c>
      <c r="D204" s="18" t="s">
        <v>934</v>
      </c>
      <c r="E204" s="18" t="s">
        <v>934</v>
      </c>
      <c r="F204" s="18" t="s">
        <v>935</v>
      </c>
      <c r="G204" s="18">
        <v>2.0</v>
      </c>
      <c r="H204" s="18" t="s">
        <v>46</v>
      </c>
    </row>
    <row r="205" ht="22.5" customHeight="1">
      <c r="A205" s="18">
        <v>1621.0</v>
      </c>
      <c r="B205" s="18" t="s">
        <v>420</v>
      </c>
      <c r="C205" s="18" t="s">
        <v>936</v>
      </c>
      <c r="D205" s="18" t="s">
        <v>937</v>
      </c>
      <c r="E205" s="18" t="s">
        <v>937</v>
      </c>
      <c r="F205" s="18" t="s">
        <v>938</v>
      </c>
      <c r="G205" s="18">
        <v>2.0</v>
      </c>
      <c r="H205" s="18" t="s">
        <v>46</v>
      </c>
    </row>
    <row r="206" ht="22.5" customHeight="1">
      <c r="A206" s="18">
        <v>1630.0</v>
      </c>
      <c r="B206" s="18" t="s">
        <v>420</v>
      </c>
      <c r="C206" s="18" t="s">
        <v>939</v>
      </c>
      <c r="D206" s="18" t="s">
        <v>940</v>
      </c>
      <c r="E206" s="18" t="s">
        <v>940</v>
      </c>
      <c r="F206" s="18" t="s">
        <v>941</v>
      </c>
      <c r="G206" s="18">
        <v>2.0</v>
      </c>
      <c r="H206" s="18" t="s">
        <v>46</v>
      </c>
    </row>
    <row r="207" ht="22.5" customHeight="1">
      <c r="A207" s="18">
        <v>1632.0</v>
      </c>
      <c r="B207" s="18" t="s">
        <v>420</v>
      </c>
      <c r="C207" s="18" t="s">
        <v>942</v>
      </c>
      <c r="D207" s="18" t="s">
        <v>943</v>
      </c>
      <c r="E207" s="18" t="s">
        <v>943</v>
      </c>
      <c r="F207" s="18" t="s">
        <v>944</v>
      </c>
      <c r="G207" s="18">
        <v>2.0</v>
      </c>
      <c r="H207" s="18" t="s">
        <v>46</v>
      </c>
    </row>
    <row r="208" ht="22.5" customHeight="1">
      <c r="A208" s="18">
        <v>1633.0</v>
      </c>
      <c r="B208" s="18" t="s">
        <v>420</v>
      </c>
      <c r="C208" s="18" t="s">
        <v>945</v>
      </c>
      <c r="D208" s="18" t="s">
        <v>946</v>
      </c>
      <c r="E208" s="18" t="s">
        <v>946</v>
      </c>
      <c r="F208" s="18" t="s">
        <v>947</v>
      </c>
      <c r="G208" s="18">
        <v>2.0</v>
      </c>
      <c r="H208" s="18" t="s">
        <v>46</v>
      </c>
    </row>
    <row r="209" ht="22.5" customHeight="1">
      <c r="A209" s="18">
        <v>1635.0</v>
      </c>
      <c r="B209" s="18" t="s">
        <v>420</v>
      </c>
      <c r="C209" s="18" t="s">
        <v>948</v>
      </c>
      <c r="D209" s="18" t="s">
        <v>949</v>
      </c>
      <c r="E209" s="18" t="s">
        <v>949</v>
      </c>
      <c r="F209" s="18" t="s">
        <v>950</v>
      </c>
      <c r="G209" s="18">
        <v>2.0</v>
      </c>
      <c r="H209" s="18" t="s">
        <v>46</v>
      </c>
    </row>
    <row r="210" ht="22.5" customHeight="1">
      <c r="A210" s="18">
        <v>1636.0</v>
      </c>
      <c r="B210" s="18" t="s">
        <v>420</v>
      </c>
      <c r="C210" s="18" t="s">
        <v>948</v>
      </c>
      <c r="D210" s="18" t="s">
        <v>951</v>
      </c>
      <c r="E210" s="18" t="s">
        <v>951</v>
      </c>
      <c r="F210" s="18" t="s">
        <v>952</v>
      </c>
      <c r="G210" s="18">
        <v>2.0</v>
      </c>
      <c r="H210" s="18" t="s">
        <v>46</v>
      </c>
    </row>
    <row r="211" ht="22.5" customHeight="1">
      <c r="A211" s="18">
        <v>1637.0</v>
      </c>
      <c r="B211" s="18" t="s">
        <v>420</v>
      </c>
      <c r="C211" s="18" t="s">
        <v>948</v>
      </c>
      <c r="D211" s="18" t="s">
        <v>953</v>
      </c>
      <c r="E211" s="18" t="s">
        <v>953</v>
      </c>
      <c r="F211" s="18" t="s">
        <v>954</v>
      </c>
      <c r="G211" s="18">
        <v>2.0</v>
      </c>
      <c r="H211" s="18" t="s">
        <v>46</v>
      </c>
    </row>
    <row r="212" ht="22.5" customHeight="1">
      <c r="A212" s="18">
        <v>1638.0</v>
      </c>
      <c r="B212" s="18" t="s">
        <v>420</v>
      </c>
      <c r="C212" s="18" t="s">
        <v>948</v>
      </c>
      <c r="D212" s="18" t="s">
        <v>955</v>
      </c>
      <c r="E212" s="18" t="s">
        <v>955</v>
      </c>
      <c r="F212" s="18" t="s">
        <v>956</v>
      </c>
      <c r="G212" s="18">
        <v>2.0</v>
      </c>
      <c r="H212" s="18" t="s">
        <v>46</v>
      </c>
    </row>
    <row r="213" ht="22.5" customHeight="1">
      <c r="A213" s="18">
        <v>1639.0</v>
      </c>
      <c r="B213" s="18" t="s">
        <v>420</v>
      </c>
      <c r="C213" s="18" t="s">
        <v>957</v>
      </c>
      <c r="D213" s="18" t="s">
        <v>958</v>
      </c>
      <c r="E213" s="18" t="s">
        <v>958</v>
      </c>
      <c r="F213" s="18" t="s">
        <v>959</v>
      </c>
      <c r="G213" s="18">
        <v>2.0</v>
      </c>
      <c r="H213" s="18" t="s">
        <v>46</v>
      </c>
    </row>
    <row r="214" ht="22.5" customHeight="1">
      <c r="A214" s="18">
        <v>1640.0</v>
      </c>
      <c r="B214" s="18" t="s">
        <v>420</v>
      </c>
      <c r="C214" s="18" t="s">
        <v>957</v>
      </c>
      <c r="D214" s="18" t="s">
        <v>960</v>
      </c>
      <c r="E214" s="18" t="s">
        <v>960</v>
      </c>
      <c r="F214" s="18" t="s">
        <v>961</v>
      </c>
      <c r="G214" s="18">
        <v>2.0</v>
      </c>
      <c r="H214" s="18" t="s">
        <v>46</v>
      </c>
    </row>
    <row r="215" ht="22.5" customHeight="1">
      <c r="A215" s="18">
        <v>1641.0</v>
      </c>
      <c r="B215" s="18" t="s">
        <v>420</v>
      </c>
      <c r="C215" s="18" t="s">
        <v>957</v>
      </c>
      <c r="D215" s="18" t="s">
        <v>962</v>
      </c>
      <c r="E215" s="18" t="s">
        <v>962</v>
      </c>
      <c r="F215" s="18" t="s">
        <v>963</v>
      </c>
      <c r="G215" s="18">
        <v>2.0</v>
      </c>
      <c r="H215" s="18" t="s">
        <v>46</v>
      </c>
    </row>
    <row r="216" ht="22.5" customHeight="1">
      <c r="A216" s="18">
        <v>1642.0</v>
      </c>
      <c r="B216" s="18" t="s">
        <v>420</v>
      </c>
      <c r="C216" s="18" t="s">
        <v>957</v>
      </c>
      <c r="D216" s="18" t="s">
        <v>964</v>
      </c>
      <c r="E216" s="18" t="s">
        <v>964</v>
      </c>
      <c r="F216" s="18" t="s">
        <v>965</v>
      </c>
      <c r="G216" s="18">
        <v>2.0</v>
      </c>
      <c r="H216" s="18" t="s">
        <v>46</v>
      </c>
    </row>
    <row r="217" ht="22.5" customHeight="1">
      <c r="A217" s="18">
        <v>1643.0</v>
      </c>
      <c r="B217" s="18" t="s">
        <v>420</v>
      </c>
      <c r="C217" s="18" t="s">
        <v>966</v>
      </c>
      <c r="D217" s="18" t="s">
        <v>967</v>
      </c>
      <c r="E217" s="18" t="s">
        <v>967</v>
      </c>
      <c r="F217" s="18" t="s">
        <v>968</v>
      </c>
      <c r="G217" s="18">
        <v>2.0</v>
      </c>
      <c r="H217" s="18" t="s">
        <v>46</v>
      </c>
    </row>
    <row r="218" ht="22.5" customHeight="1">
      <c r="A218" s="18">
        <v>1644.0</v>
      </c>
      <c r="B218" s="18" t="s">
        <v>420</v>
      </c>
      <c r="C218" s="18" t="s">
        <v>966</v>
      </c>
      <c r="D218" s="18" t="s">
        <v>969</v>
      </c>
      <c r="E218" s="18" t="s">
        <v>969</v>
      </c>
      <c r="F218" s="18" t="s">
        <v>970</v>
      </c>
      <c r="G218" s="18">
        <v>2.0</v>
      </c>
      <c r="H218" s="18" t="s">
        <v>46</v>
      </c>
    </row>
    <row r="219" ht="22.5" customHeight="1">
      <c r="A219" s="18">
        <v>1645.0</v>
      </c>
      <c r="B219" s="18" t="s">
        <v>420</v>
      </c>
      <c r="C219" s="18" t="s">
        <v>971</v>
      </c>
      <c r="D219" s="18" t="s">
        <v>972</v>
      </c>
      <c r="E219" s="18" t="s">
        <v>972</v>
      </c>
      <c r="F219" s="18" t="s">
        <v>973</v>
      </c>
      <c r="G219" s="18">
        <v>2.0</v>
      </c>
      <c r="H219" s="18" t="s">
        <v>46</v>
      </c>
    </row>
    <row r="220" ht="22.5" customHeight="1">
      <c r="A220" s="18">
        <v>1646.0</v>
      </c>
      <c r="B220" s="18" t="s">
        <v>420</v>
      </c>
      <c r="C220" s="18" t="s">
        <v>971</v>
      </c>
      <c r="D220" s="18" t="s">
        <v>974</v>
      </c>
      <c r="E220" s="18" t="s">
        <v>974</v>
      </c>
      <c r="F220" s="18" t="s">
        <v>975</v>
      </c>
      <c r="G220" s="18">
        <v>2.0</v>
      </c>
      <c r="H220" s="18" t="s">
        <v>46</v>
      </c>
    </row>
    <row r="221" ht="22.5" customHeight="1">
      <c r="A221" s="18">
        <v>1649.0</v>
      </c>
      <c r="B221" s="18" t="s">
        <v>420</v>
      </c>
      <c r="C221" s="18" t="s">
        <v>976</v>
      </c>
      <c r="D221" s="18" t="s">
        <v>977</v>
      </c>
      <c r="E221" s="18" t="s">
        <v>977</v>
      </c>
      <c r="F221" s="18" t="s">
        <v>978</v>
      </c>
      <c r="G221" s="18">
        <v>2.0</v>
      </c>
      <c r="H221" s="18" t="s">
        <v>46</v>
      </c>
    </row>
    <row r="222" ht="22.5" customHeight="1">
      <c r="A222" s="18">
        <v>1651.0</v>
      </c>
      <c r="B222" s="18" t="s">
        <v>420</v>
      </c>
      <c r="C222" s="18" t="s">
        <v>979</v>
      </c>
      <c r="D222" s="18" t="s">
        <v>980</v>
      </c>
      <c r="E222" s="18" t="s">
        <v>980</v>
      </c>
      <c r="F222" s="18" t="s">
        <v>981</v>
      </c>
      <c r="G222" s="18">
        <v>2.0</v>
      </c>
      <c r="H222" s="18" t="s">
        <v>46</v>
      </c>
    </row>
    <row r="223" ht="22.5" customHeight="1">
      <c r="A223" s="18">
        <v>1652.0</v>
      </c>
      <c r="B223" s="18" t="s">
        <v>420</v>
      </c>
      <c r="C223" s="18" t="s">
        <v>979</v>
      </c>
      <c r="D223" s="18" t="s">
        <v>982</v>
      </c>
      <c r="E223" s="18" t="s">
        <v>982</v>
      </c>
      <c r="F223" s="18" t="s">
        <v>983</v>
      </c>
      <c r="G223" s="18">
        <v>2.0</v>
      </c>
      <c r="H223" s="18" t="s">
        <v>46</v>
      </c>
    </row>
    <row r="224" ht="22.5" customHeight="1">
      <c r="A224" s="18">
        <v>1654.0</v>
      </c>
      <c r="B224" s="18" t="s">
        <v>420</v>
      </c>
      <c r="D224" s="18" t="s">
        <v>984</v>
      </c>
      <c r="E224" s="18" t="s">
        <v>984</v>
      </c>
      <c r="F224" s="18" t="s">
        <v>985</v>
      </c>
      <c r="G224" s="18">
        <v>2.0</v>
      </c>
      <c r="H224" s="18" t="s">
        <v>46</v>
      </c>
    </row>
    <row r="225" ht="22.5" customHeight="1">
      <c r="A225" s="18">
        <v>1674.0</v>
      </c>
      <c r="B225" s="18" t="s">
        <v>420</v>
      </c>
      <c r="D225" s="18" t="s">
        <v>987</v>
      </c>
      <c r="E225" s="18" t="s">
        <v>987</v>
      </c>
      <c r="F225" s="18" t="s">
        <v>988</v>
      </c>
      <c r="G225" s="18">
        <v>2.0</v>
      </c>
      <c r="H225" s="18" t="s">
        <v>46</v>
      </c>
    </row>
    <row r="226" ht="22.5" customHeight="1">
      <c r="A226" s="18">
        <v>1675.0</v>
      </c>
      <c r="B226" s="18" t="s">
        <v>420</v>
      </c>
      <c r="D226" s="18" t="s">
        <v>989</v>
      </c>
      <c r="E226" s="18" t="s">
        <v>989</v>
      </c>
      <c r="F226" s="18" t="s">
        <v>990</v>
      </c>
      <c r="G226" s="18">
        <v>2.0</v>
      </c>
      <c r="H226" s="18" t="s">
        <v>46</v>
      </c>
    </row>
    <row r="227" ht="22.5" customHeight="1">
      <c r="A227" s="18">
        <v>1680.0</v>
      </c>
      <c r="B227" s="18" t="s">
        <v>420</v>
      </c>
      <c r="D227" s="18" t="s">
        <v>991</v>
      </c>
      <c r="E227" s="18" t="s">
        <v>991</v>
      </c>
      <c r="F227" s="18" t="s">
        <v>992</v>
      </c>
      <c r="G227" s="18">
        <v>2.0</v>
      </c>
      <c r="H227" s="18" t="s">
        <v>46</v>
      </c>
    </row>
    <row r="228" ht="22.5" customHeight="1">
      <c r="A228" s="18">
        <v>1684.0</v>
      </c>
      <c r="B228" s="18" t="s">
        <v>420</v>
      </c>
      <c r="C228" s="18" t="s">
        <v>924</v>
      </c>
      <c r="D228" s="18" t="s">
        <v>993</v>
      </c>
      <c r="E228" s="18" t="s">
        <v>993</v>
      </c>
      <c r="F228" s="18" t="s">
        <v>994</v>
      </c>
      <c r="G228" s="18">
        <v>2.0</v>
      </c>
      <c r="H228" s="18" t="s">
        <v>46</v>
      </c>
    </row>
    <row r="229" ht="22.5" customHeight="1">
      <c r="A229" s="18">
        <v>1686.0</v>
      </c>
      <c r="B229" s="18" t="s">
        <v>420</v>
      </c>
      <c r="D229" s="18" t="s">
        <v>995</v>
      </c>
      <c r="E229" s="18" t="s">
        <v>995</v>
      </c>
      <c r="F229" s="18" t="s">
        <v>996</v>
      </c>
      <c r="G229" s="18">
        <v>2.0</v>
      </c>
      <c r="H229" s="18" t="s">
        <v>46</v>
      </c>
    </row>
    <row r="230" ht="22.5" customHeight="1">
      <c r="A230" s="18">
        <v>1687.0</v>
      </c>
      <c r="B230" s="18" t="s">
        <v>420</v>
      </c>
      <c r="C230" s="18" t="s">
        <v>930</v>
      </c>
      <c r="D230" s="18" t="s">
        <v>997</v>
      </c>
      <c r="E230" s="18" t="s">
        <v>997</v>
      </c>
      <c r="F230" s="18" t="s">
        <v>999</v>
      </c>
      <c r="G230" s="18">
        <v>2.0</v>
      </c>
      <c r="H230" s="18" t="s">
        <v>46</v>
      </c>
    </row>
    <row r="231" ht="22.5" customHeight="1">
      <c r="A231" s="18">
        <v>1692.0</v>
      </c>
      <c r="B231" s="18" t="s">
        <v>420</v>
      </c>
      <c r="D231" s="18" t="s">
        <v>1000</v>
      </c>
      <c r="E231" s="18" t="s">
        <v>1000</v>
      </c>
      <c r="F231" s="18" t="s">
        <v>1001</v>
      </c>
      <c r="G231" s="18">
        <v>2.0</v>
      </c>
      <c r="H231" s="18" t="s">
        <v>46</v>
      </c>
    </row>
    <row r="232" ht="22.5" customHeight="1">
      <c r="A232" s="18">
        <v>1697.0</v>
      </c>
      <c r="B232" s="18" t="s">
        <v>420</v>
      </c>
      <c r="C232" s="18" t="s">
        <v>1002</v>
      </c>
      <c r="D232" s="18" t="s">
        <v>1003</v>
      </c>
      <c r="E232" s="18" t="s">
        <v>1003</v>
      </c>
      <c r="F232" s="18" t="s">
        <v>1004</v>
      </c>
      <c r="G232" s="18">
        <v>2.0</v>
      </c>
      <c r="H232" s="18" t="s">
        <v>46</v>
      </c>
    </row>
    <row r="233" ht="22.5" customHeight="1">
      <c r="A233" s="18">
        <v>1736.0</v>
      </c>
      <c r="B233" s="18" t="s">
        <v>420</v>
      </c>
      <c r="D233" s="18" t="s">
        <v>1005</v>
      </c>
      <c r="E233" s="18" t="s">
        <v>1005</v>
      </c>
      <c r="F233" s="18" t="s">
        <v>1006</v>
      </c>
      <c r="G233" s="18">
        <v>2.0</v>
      </c>
      <c r="H233" s="18" t="s">
        <v>46</v>
      </c>
    </row>
    <row r="234" ht="22.5" customHeight="1">
      <c r="A234" s="18">
        <v>1743.0</v>
      </c>
      <c r="B234" s="18" t="s">
        <v>420</v>
      </c>
      <c r="D234" s="18" t="s">
        <v>1007</v>
      </c>
      <c r="E234" s="18" t="s">
        <v>1007</v>
      </c>
      <c r="F234" s="18" t="s">
        <v>1008</v>
      </c>
      <c r="G234" s="18">
        <v>2.0</v>
      </c>
      <c r="H234" s="18" t="s">
        <v>46</v>
      </c>
    </row>
    <row r="235" ht="22.5" customHeight="1">
      <c r="A235" s="18">
        <v>1750.0</v>
      </c>
      <c r="B235" s="18" t="s">
        <v>420</v>
      </c>
      <c r="D235" s="18" t="s">
        <v>1009</v>
      </c>
      <c r="E235" s="18" t="s">
        <v>1009</v>
      </c>
      <c r="F235" s="18" t="s">
        <v>1010</v>
      </c>
      <c r="G235" s="18">
        <v>2.0</v>
      </c>
      <c r="H235" s="18" t="s">
        <v>46</v>
      </c>
    </row>
    <row r="236" ht="22.5" customHeight="1">
      <c r="A236" s="18">
        <v>1754.0</v>
      </c>
      <c r="B236" s="18" t="s">
        <v>420</v>
      </c>
      <c r="D236" s="18" t="s">
        <v>1011</v>
      </c>
      <c r="E236" s="18" t="s">
        <v>1012</v>
      </c>
      <c r="F236" s="18" t="s">
        <v>1013</v>
      </c>
      <c r="G236" s="18">
        <v>2.0</v>
      </c>
      <c r="H236" s="18" t="s">
        <v>46</v>
      </c>
    </row>
    <row r="237" ht="22.5" customHeight="1">
      <c r="A237" s="18">
        <v>1768.0</v>
      </c>
      <c r="B237" s="18" t="s">
        <v>420</v>
      </c>
      <c r="C237" s="18" t="s">
        <v>957</v>
      </c>
      <c r="D237" s="18" t="s">
        <v>1014</v>
      </c>
      <c r="E237" s="18" t="s">
        <v>1015</v>
      </c>
      <c r="F237" s="18" t="s">
        <v>1016</v>
      </c>
      <c r="G237" s="18">
        <v>2.0</v>
      </c>
      <c r="H237" s="18" t="s">
        <v>46</v>
      </c>
    </row>
    <row r="238" ht="22.5" customHeight="1">
      <c r="A238" s="18">
        <v>1785.0</v>
      </c>
      <c r="B238" s="18" t="s">
        <v>420</v>
      </c>
      <c r="C238" s="18" t="s">
        <v>966</v>
      </c>
      <c r="D238" s="18" t="s">
        <v>1017</v>
      </c>
      <c r="E238" s="18" t="s">
        <v>1017</v>
      </c>
      <c r="F238" s="18" t="s">
        <v>1018</v>
      </c>
      <c r="G238" s="18">
        <v>2.0</v>
      </c>
      <c r="H238" s="18" t="s">
        <v>46</v>
      </c>
    </row>
    <row r="239" ht="22.5" customHeight="1">
      <c r="A239" s="18">
        <v>1786.0</v>
      </c>
      <c r="B239" s="18" t="s">
        <v>420</v>
      </c>
      <c r="C239" s="18" t="s">
        <v>966</v>
      </c>
      <c r="D239" s="18" t="s">
        <v>1019</v>
      </c>
      <c r="E239" s="18" t="s">
        <v>1019</v>
      </c>
      <c r="F239" s="18" t="s">
        <v>1020</v>
      </c>
      <c r="G239" s="18">
        <v>2.0</v>
      </c>
      <c r="H239" s="18" t="s">
        <v>46</v>
      </c>
    </row>
    <row r="240" ht="22.5" customHeight="1">
      <c r="A240" s="18">
        <v>1787.0</v>
      </c>
      <c r="B240" s="18" t="s">
        <v>420</v>
      </c>
      <c r="C240" s="18" t="s">
        <v>966</v>
      </c>
      <c r="D240" s="18" t="s">
        <v>1021</v>
      </c>
      <c r="E240" s="18" t="s">
        <v>1021</v>
      </c>
      <c r="F240" s="18" t="s">
        <v>1022</v>
      </c>
      <c r="G240" s="18">
        <v>2.0</v>
      </c>
      <c r="H240" s="18" t="s">
        <v>46</v>
      </c>
    </row>
    <row r="241" ht="22.5" customHeight="1">
      <c r="A241" s="18">
        <v>1788.0</v>
      </c>
      <c r="B241" s="18" t="s">
        <v>420</v>
      </c>
      <c r="C241" s="18" t="s">
        <v>966</v>
      </c>
      <c r="D241" s="18" t="s">
        <v>1023</v>
      </c>
      <c r="E241" s="18" t="s">
        <v>1023</v>
      </c>
      <c r="F241" s="18" t="s">
        <v>1024</v>
      </c>
      <c r="G241" s="18">
        <v>2.0</v>
      </c>
      <c r="H241" s="18" t="s">
        <v>46</v>
      </c>
    </row>
    <row r="242" ht="22.5" customHeight="1">
      <c r="A242" s="18">
        <v>1789.0</v>
      </c>
      <c r="B242" s="18" t="s">
        <v>420</v>
      </c>
      <c r="C242" s="18" t="s">
        <v>966</v>
      </c>
      <c r="D242" s="18" t="s">
        <v>1025</v>
      </c>
      <c r="E242" s="18" t="s">
        <v>1025</v>
      </c>
      <c r="F242" s="18" t="s">
        <v>1026</v>
      </c>
      <c r="G242" s="18">
        <v>2.0</v>
      </c>
      <c r="H242" s="18" t="s">
        <v>46</v>
      </c>
    </row>
    <row r="243" ht="22.5" customHeight="1">
      <c r="A243" s="18">
        <v>1790.0</v>
      </c>
      <c r="B243" s="18" t="s">
        <v>420</v>
      </c>
      <c r="C243" s="18" t="s">
        <v>966</v>
      </c>
      <c r="D243" s="18" t="s">
        <v>1027</v>
      </c>
      <c r="E243" s="18" t="s">
        <v>1027</v>
      </c>
      <c r="F243" s="18" t="s">
        <v>1028</v>
      </c>
      <c r="G243" s="18">
        <v>2.0</v>
      </c>
      <c r="H243" s="18" t="s">
        <v>46</v>
      </c>
    </row>
    <row r="244" ht="22.5" customHeight="1">
      <c r="A244" s="18">
        <v>1791.0</v>
      </c>
      <c r="B244" s="18" t="s">
        <v>420</v>
      </c>
      <c r="C244" s="18" t="s">
        <v>966</v>
      </c>
      <c r="D244" s="18" t="s">
        <v>1029</v>
      </c>
      <c r="E244" s="18" t="s">
        <v>1029</v>
      </c>
      <c r="F244" s="18" t="s">
        <v>1030</v>
      </c>
      <c r="G244" s="18">
        <v>2.0</v>
      </c>
      <c r="H244" s="18" t="s">
        <v>46</v>
      </c>
    </row>
    <row r="245" ht="22.5" customHeight="1">
      <c r="A245" s="18">
        <v>1792.0</v>
      </c>
      <c r="B245" s="18" t="s">
        <v>420</v>
      </c>
      <c r="C245" s="18" t="s">
        <v>966</v>
      </c>
      <c r="D245" s="18" t="s">
        <v>1031</v>
      </c>
      <c r="E245" s="18" t="s">
        <v>1031</v>
      </c>
      <c r="F245" s="18" t="s">
        <v>1032</v>
      </c>
      <c r="G245" s="18">
        <v>2.0</v>
      </c>
      <c r="H245" s="18" t="s">
        <v>46</v>
      </c>
    </row>
    <row r="246" ht="22.5" customHeight="1">
      <c r="A246" s="18">
        <v>1793.0</v>
      </c>
      <c r="B246" s="18" t="s">
        <v>420</v>
      </c>
      <c r="C246" s="18" t="s">
        <v>966</v>
      </c>
      <c r="D246" s="18" t="s">
        <v>1033</v>
      </c>
      <c r="E246" s="18" t="s">
        <v>1033</v>
      </c>
      <c r="F246" s="18" t="s">
        <v>1034</v>
      </c>
      <c r="G246" s="18">
        <v>2.0</v>
      </c>
      <c r="H246" s="18" t="s">
        <v>46</v>
      </c>
    </row>
    <row r="247" ht="22.5" customHeight="1">
      <c r="A247" s="18">
        <v>1794.0</v>
      </c>
      <c r="B247" s="18" t="s">
        <v>420</v>
      </c>
      <c r="C247" s="18" t="s">
        <v>966</v>
      </c>
      <c r="D247" s="18" t="s">
        <v>1035</v>
      </c>
      <c r="E247" s="18" t="s">
        <v>1035</v>
      </c>
      <c r="F247" s="18" t="s">
        <v>1036</v>
      </c>
      <c r="G247" s="18">
        <v>2.0</v>
      </c>
      <c r="H247" s="18" t="s">
        <v>46</v>
      </c>
    </row>
    <row r="248" ht="22.5" customHeight="1">
      <c r="A248" s="18">
        <v>1795.0</v>
      </c>
      <c r="B248" s="18" t="s">
        <v>420</v>
      </c>
      <c r="C248" s="18" t="s">
        <v>966</v>
      </c>
      <c r="D248" s="18" t="s">
        <v>1037</v>
      </c>
      <c r="E248" s="18" t="s">
        <v>1037</v>
      </c>
      <c r="F248" s="18" t="s">
        <v>1038</v>
      </c>
      <c r="G248" s="18">
        <v>2.0</v>
      </c>
      <c r="H248" s="18" t="s">
        <v>46</v>
      </c>
    </row>
    <row r="249" ht="22.5" customHeight="1">
      <c r="A249" s="18">
        <v>1796.0</v>
      </c>
      <c r="B249" s="18" t="s">
        <v>420</v>
      </c>
      <c r="C249" s="18" t="s">
        <v>966</v>
      </c>
      <c r="D249" s="18" t="s">
        <v>1039</v>
      </c>
      <c r="E249" s="18" t="s">
        <v>1039</v>
      </c>
      <c r="F249" s="18" t="s">
        <v>1040</v>
      </c>
      <c r="G249" s="18">
        <v>2.0</v>
      </c>
      <c r="H249" s="18" t="s">
        <v>46</v>
      </c>
    </row>
    <row r="250" ht="22.5" customHeight="1">
      <c r="A250" s="18">
        <v>1797.0</v>
      </c>
      <c r="B250" s="18" t="s">
        <v>420</v>
      </c>
      <c r="C250" s="18" t="s">
        <v>966</v>
      </c>
      <c r="D250" s="18" t="s">
        <v>1041</v>
      </c>
      <c r="E250" s="18" t="s">
        <v>1041</v>
      </c>
      <c r="F250" s="18" t="s">
        <v>1042</v>
      </c>
      <c r="G250" s="18">
        <v>2.0</v>
      </c>
      <c r="H250" s="18" t="s">
        <v>46</v>
      </c>
    </row>
    <row r="251" ht="22.5" customHeight="1">
      <c r="A251" s="18">
        <v>1798.0</v>
      </c>
      <c r="B251" s="18" t="s">
        <v>420</v>
      </c>
      <c r="C251" s="18" t="s">
        <v>966</v>
      </c>
      <c r="D251" s="18" t="s">
        <v>1043</v>
      </c>
      <c r="E251" s="18" t="s">
        <v>1043</v>
      </c>
      <c r="F251" s="18" t="s">
        <v>1044</v>
      </c>
      <c r="G251" s="18">
        <v>2.0</v>
      </c>
      <c r="H251" s="18" t="s">
        <v>46</v>
      </c>
    </row>
    <row r="252" ht="22.5" customHeight="1">
      <c r="A252" s="18">
        <v>1800.0</v>
      </c>
      <c r="B252" s="18" t="s">
        <v>420</v>
      </c>
      <c r="C252" s="18" t="s">
        <v>966</v>
      </c>
      <c r="D252" s="18" t="s">
        <v>1045</v>
      </c>
      <c r="E252" s="18" t="s">
        <v>1045</v>
      </c>
      <c r="F252" s="18" t="s">
        <v>1046</v>
      </c>
      <c r="G252" s="18">
        <v>2.0</v>
      </c>
      <c r="H252" s="18" t="s">
        <v>46</v>
      </c>
    </row>
    <row r="253" ht="22.5" customHeight="1">
      <c r="A253" s="18">
        <v>1801.0</v>
      </c>
      <c r="B253" s="18" t="s">
        <v>420</v>
      </c>
      <c r="C253" s="18" t="s">
        <v>966</v>
      </c>
      <c r="D253" s="18" t="s">
        <v>1047</v>
      </c>
      <c r="E253" s="18" t="s">
        <v>1047</v>
      </c>
      <c r="F253" s="18" t="s">
        <v>1048</v>
      </c>
      <c r="G253" s="18">
        <v>2.0</v>
      </c>
      <c r="H253" s="18" t="s">
        <v>46</v>
      </c>
    </row>
    <row r="254" ht="22.5" customHeight="1">
      <c r="A254" s="18">
        <v>1802.0</v>
      </c>
      <c r="B254" s="18" t="s">
        <v>420</v>
      </c>
      <c r="C254" s="18" t="s">
        <v>966</v>
      </c>
      <c r="D254" s="18" t="s">
        <v>1049</v>
      </c>
      <c r="E254" s="18" t="s">
        <v>1049</v>
      </c>
      <c r="F254" s="18" t="s">
        <v>1050</v>
      </c>
      <c r="G254" s="18">
        <v>2.0</v>
      </c>
      <c r="H254" s="18" t="s">
        <v>46</v>
      </c>
    </row>
    <row r="255" ht="22.5" customHeight="1">
      <c r="A255" s="18">
        <v>1803.0</v>
      </c>
      <c r="B255" s="18" t="s">
        <v>420</v>
      </c>
      <c r="C255" s="18" t="s">
        <v>966</v>
      </c>
      <c r="D255" s="18" t="s">
        <v>1051</v>
      </c>
      <c r="E255" s="18" t="s">
        <v>1051</v>
      </c>
      <c r="F255" s="18" t="s">
        <v>1052</v>
      </c>
      <c r="G255" s="18">
        <v>2.0</v>
      </c>
      <c r="H255" s="18" t="s">
        <v>46</v>
      </c>
    </row>
    <row r="256" ht="22.5" customHeight="1">
      <c r="A256" s="18">
        <v>1804.0</v>
      </c>
      <c r="B256" s="18" t="s">
        <v>420</v>
      </c>
      <c r="C256" s="18" t="s">
        <v>966</v>
      </c>
      <c r="D256" s="18" t="s">
        <v>1054</v>
      </c>
      <c r="E256" s="18" t="s">
        <v>1054</v>
      </c>
      <c r="F256" s="18" t="s">
        <v>1055</v>
      </c>
      <c r="G256" s="18">
        <v>2.0</v>
      </c>
      <c r="H256" s="18" t="s">
        <v>46</v>
      </c>
    </row>
    <row r="257" ht="22.5" customHeight="1">
      <c r="A257" s="18">
        <v>1805.0</v>
      </c>
      <c r="B257" s="18" t="s">
        <v>420</v>
      </c>
      <c r="C257" s="18" t="s">
        <v>966</v>
      </c>
      <c r="D257" s="18" t="s">
        <v>1056</v>
      </c>
      <c r="E257" s="18" t="s">
        <v>1056</v>
      </c>
      <c r="F257" s="18" t="s">
        <v>1057</v>
      </c>
      <c r="G257" s="18">
        <v>2.0</v>
      </c>
      <c r="H257" s="18" t="s">
        <v>46</v>
      </c>
    </row>
    <row r="258" ht="22.5" customHeight="1">
      <c r="A258" s="18">
        <v>1806.0</v>
      </c>
      <c r="B258" s="18" t="s">
        <v>420</v>
      </c>
      <c r="C258" s="18" t="s">
        <v>966</v>
      </c>
      <c r="D258" s="18" t="s">
        <v>1058</v>
      </c>
      <c r="E258" s="18" t="s">
        <v>1058</v>
      </c>
      <c r="F258" s="18" t="s">
        <v>1059</v>
      </c>
      <c r="G258" s="18">
        <v>2.0</v>
      </c>
      <c r="H258" s="18" t="s">
        <v>46</v>
      </c>
    </row>
    <row r="259" ht="22.5" customHeight="1">
      <c r="A259" s="18">
        <v>1807.0</v>
      </c>
      <c r="B259" s="18" t="s">
        <v>420</v>
      </c>
      <c r="C259" s="18" t="s">
        <v>966</v>
      </c>
      <c r="D259" s="18" t="s">
        <v>1060</v>
      </c>
      <c r="E259" s="18" t="s">
        <v>1060</v>
      </c>
      <c r="F259" s="18" t="s">
        <v>1061</v>
      </c>
      <c r="G259" s="18">
        <v>2.0</v>
      </c>
      <c r="H259" s="18" t="s">
        <v>46</v>
      </c>
    </row>
    <row r="260" ht="22.5" customHeight="1">
      <c r="A260" s="18">
        <v>1810.0</v>
      </c>
      <c r="B260" s="18" t="s">
        <v>420</v>
      </c>
      <c r="D260" s="18" t="s">
        <v>1062</v>
      </c>
      <c r="E260" s="18" t="s">
        <v>1062</v>
      </c>
      <c r="F260" s="18" t="s">
        <v>1063</v>
      </c>
      <c r="G260" s="18">
        <v>2.0</v>
      </c>
      <c r="H260" s="18" t="s">
        <v>46</v>
      </c>
    </row>
    <row r="261" ht="22.5" customHeight="1">
      <c r="A261" s="18">
        <v>1816.0</v>
      </c>
      <c r="B261" s="18" t="s">
        <v>420</v>
      </c>
      <c r="C261" s="18" t="s">
        <v>911</v>
      </c>
      <c r="D261" s="18" t="s">
        <v>1064</v>
      </c>
      <c r="E261" s="18" t="s">
        <v>1064</v>
      </c>
      <c r="F261" s="18" t="s">
        <v>1065</v>
      </c>
      <c r="G261" s="18">
        <v>2.0</v>
      </c>
      <c r="H261" s="18" t="s">
        <v>46</v>
      </c>
    </row>
    <row r="262" ht="22.5" customHeight="1">
      <c r="A262" s="18">
        <v>1817.0</v>
      </c>
      <c r="B262" s="18" t="s">
        <v>420</v>
      </c>
      <c r="C262" s="18" t="s">
        <v>911</v>
      </c>
      <c r="D262" s="18" t="s">
        <v>1066</v>
      </c>
      <c r="E262" s="18" t="s">
        <v>1066</v>
      </c>
      <c r="F262" s="18" t="s">
        <v>1067</v>
      </c>
      <c r="G262" s="18">
        <v>2.0</v>
      </c>
      <c r="H262" s="18" t="s">
        <v>46</v>
      </c>
    </row>
    <row r="263" ht="22.5" customHeight="1">
      <c r="A263" s="18">
        <v>1818.0</v>
      </c>
      <c r="B263" s="18" t="s">
        <v>420</v>
      </c>
      <c r="C263" s="18" t="s">
        <v>911</v>
      </c>
      <c r="D263" s="18" t="s">
        <v>1068</v>
      </c>
      <c r="E263" s="18" t="s">
        <v>1068</v>
      </c>
      <c r="F263" s="18" t="s">
        <v>1069</v>
      </c>
      <c r="G263" s="18">
        <v>2.0</v>
      </c>
      <c r="H263" s="18" t="s">
        <v>46</v>
      </c>
    </row>
    <row r="264" ht="22.5" customHeight="1">
      <c r="A264" s="18">
        <v>1819.0</v>
      </c>
      <c r="B264" s="18" t="s">
        <v>420</v>
      </c>
      <c r="C264" s="18" t="s">
        <v>911</v>
      </c>
      <c r="D264" s="18" t="s">
        <v>1070</v>
      </c>
      <c r="E264" s="18" t="s">
        <v>1070</v>
      </c>
      <c r="F264" s="18" t="s">
        <v>1071</v>
      </c>
      <c r="G264" s="18">
        <v>2.0</v>
      </c>
      <c r="H264" s="18" t="s">
        <v>46</v>
      </c>
    </row>
    <row r="265" ht="22.5" customHeight="1">
      <c r="A265" s="18">
        <v>1834.0</v>
      </c>
      <c r="B265" s="18" t="s">
        <v>420</v>
      </c>
      <c r="C265" s="18" t="s">
        <v>945</v>
      </c>
      <c r="D265" s="18" t="s">
        <v>1072</v>
      </c>
      <c r="E265" s="18" t="s">
        <v>1073</v>
      </c>
      <c r="F265" s="18" t="s">
        <v>1074</v>
      </c>
      <c r="G265" s="18">
        <v>2.0</v>
      </c>
      <c r="H265" s="18" t="s">
        <v>46</v>
      </c>
    </row>
    <row r="266" ht="22.5" customHeight="1">
      <c r="A266" s="18">
        <v>1837.0</v>
      </c>
      <c r="B266" s="18" t="s">
        <v>420</v>
      </c>
      <c r="C266" s="18" t="s">
        <v>1075</v>
      </c>
      <c r="D266" s="18" t="s">
        <v>1076</v>
      </c>
      <c r="E266" s="18" t="s">
        <v>1077</v>
      </c>
      <c r="F266" s="18" t="s">
        <v>1078</v>
      </c>
      <c r="G266" s="18">
        <v>2.0</v>
      </c>
      <c r="H266" s="18" t="s">
        <v>46</v>
      </c>
    </row>
    <row r="267" ht="22.5" customHeight="1">
      <c r="A267" s="18">
        <v>1838.0</v>
      </c>
      <c r="B267" s="18" t="s">
        <v>420</v>
      </c>
      <c r="C267" s="18" t="s">
        <v>1079</v>
      </c>
      <c r="D267" s="18" t="s">
        <v>1080</v>
      </c>
      <c r="E267" s="18" t="s">
        <v>1080</v>
      </c>
      <c r="F267" s="18" t="s">
        <v>1081</v>
      </c>
      <c r="G267" s="18">
        <v>2.0</v>
      </c>
      <c r="H267" s="18" t="s">
        <v>46</v>
      </c>
    </row>
    <row r="268" ht="22.5" customHeight="1">
      <c r="A268" s="18">
        <v>1839.0</v>
      </c>
      <c r="B268" s="18" t="s">
        <v>420</v>
      </c>
      <c r="C268" s="18" t="s">
        <v>1082</v>
      </c>
      <c r="D268" s="18" t="s">
        <v>1083</v>
      </c>
      <c r="E268" s="18" t="s">
        <v>1083</v>
      </c>
      <c r="F268" s="18" t="s">
        <v>1084</v>
      </c>
      <c r="G268" s="18">
        <v>2.0</v>
      </c>
      <c r="H268" s="18" t="s">
        <v>46</v>
      </c>
    </row>
    <row r="269" ht="22.5" customHeight="1">
      <c r="A269" s="18">
        <v>1840.0</v>
      </c>
      <c r="B269" s="18" t="s">
        <v>420</v>
      </c>
      <c r="C269" s="18" t="s">
        <v>1082</v>
      </c>
      <c r="D269" s="18" t="s">
        <v>1085</v>
      </c>
      <c r="E269" s="18" t="s">
        <v>1085</v>
      </c>
      <c r="F269" s="18" t="s">
        <v>1086</v>
      </c>
      <c r="G269" s="18">
        <v>2.0</v>
      </c>
      <c r="H269" s="18" t="s">
        <v>46</v>
      </c>
    </row>
    <row r="270" ht="22.5" customHeight="1">
      <c r="A270" s="18">
        <v>1841.0</v>
      </c>
      <c r="B270" s="18" t="s">
        <v>420</v>
      </c>
      <c r="C270" s="18" t="s">
        <v>1082</v>
      </c>
      <c r="D270" s="18" t="s">
        <v>1087</v>
      </c>
      <c r="E270" s="18" t="s">
        <v>1088</v>
      </c>
      <c r="F270" s="18" t="s">
        <v>1089</v>
      </c>
      <c r="G270" s="18">
        <v>2.0</v>
      </c>
      <c r="H270" s="18" t="s">
        <v>46</v>
      </c>
    </row>
    <row r="271" ht="22.5" customHeight="1">
      <c r="A271" s="18">
        <v>1843.0</v>
      </c>
      <c r="B271" s="18" t="s">
        <v>420</v>
      </c>
      <c r="C271" s="18" t="s">
        <v>1090</v>
      </c>
      <c r="D271" s="18" t="s">
        <v>1091</v>
      </c>
      <c r="E271" s="18" t="s">
        <v>1092</v>
      </c>
      <c r="F271" s="18" t="s">
        <v>1093</v>
      </c>
      <c r="G271" s="18">
        <v>2.0</v>
      </c>
      <c r="H271" s="18" t="s">
        <v>46</v>
      </c>
    </row>
    <row r="272" ht="22.5" customHeight="1">
      <c r="A272" s="18">
        <v>1848.0</v>
      </c>
      <c r="B272" s="18" t="s">
        <v>420</v>
      </c>
      <c r="C272" s="18" t="s">
        <v>1094</v>
      </c>
      <c r="D272" s="18" t="s">
        <v>1095</v>
      </c>
      <c r="E272" s="18" t="s">
        <v>1095</v>
      </c>
      <c r="F272" s="18" t="s">
        <v>1096</v>
      </c>
      <c r="G272" s="18">
        <v>2.0</v>
      </c>
      <c r="H272" s="18" t="s">
        <v>46</v>
      </c>
    </row>
    <row r="273" ht="22.5" customHeight="1">
      <c r="A273" s="18">
        <v>1866.0</v>
      </c>
      <c r="B273" s="18" t="s">
        <v>420</v>
      </c>
      <c r="D273" s="18" t="s">
        <v>1097</v>
      </c>
      <c r="E273" s="18" t="s">
        <v>1097</v>
      </c>
      <c r="F273" s="18" t="s">
        <v>1098</v>
      </c>
      <c r="G273" s="18">
        <v>2.0</v>
      </c>
      <c r="H273" s="18" t="s">
        <v>46</v>
      </c>
    </row>
    <row r="274" ht="22.5" customHeight="1">
      <c r="A274" s="18">
        <v>1868.0</v>
      </c>
      <c r="B274" s="18" t="s">
        <v>420</v>
      </c>
      <c r="D274" s="18" t="s">
        <v>1099</v>
      </c>
      <c r="E274" s="18" t="s">
        <v>1100</v>
      </c>
      <c r="F274" s="18" t="s">
        <v>1101</v>
      </c>
      <c r="G274" s="18">
        <v>2.0</v>
      </c>
      <c r="H274" s="18" t="s">
        <v>46</v>
      </c>
    </row>
    <row r="275" ht="22.5" customHeight="1">
      <c r="A275" s="18">
        <v>1869.0</v>
      </c>
      <c r="B275" s="18" t="s">
        <v>420</v>
      </c>
      <c r="C275" s="18" t="s">
        <v>1079</v>
      </c>
      <c r="D275" s="18" t="s">
        <v>1102</v>
      </c>
      <c r="E275" s="18" t="s">
        <v>1102</v>
      </c>
      <c r="F275" s="18" t="s">
        <v>1103</v>
      </c>
      <c r="G275" s="18">
        <v>2.0</v>
      </c>
      <c r="H275" s="18" t="s">
        <v>46</v>
      </c>
    </row>
    <row r="276" ht="22.5" customHeight="1">
      <c r="A276" s="18">
        <v>1885.0</v>
      </c>
      <c r="B276" s="18" t="s">
        <v>420</v>
      </c>
      <c r="D276" s="18" t="s">
        <v>1104</v>
      </c>
      <c r="E276" s="18" t="s">
        <v>1104</v>
      </c>
      <c r="F276" s="18" t="s">
        <v>1105</v>
      </c>
      <c r="G276" s="18">
        <v>2.0</v>
      </c>
      <c r="H276" s="18" t="s">
        <v>46</v>
      </c>
    </row>
    <row r="277" ht="22.5" customHeight="1">
      <c r="A277" s="18">
        <v>1887.0</v>
      </c>
      <c r="B277" s="18" t="s">
        <v>420</v>
      </c>
      <c r="D277" s="18" t="s">
        <v>1106</v>
      </c>
      <c r="E277" s="18" t="s">
        <v>1106</v>
      </c>
      <c r="F277" s="18" t="s">
        <v>1107</v>
      </c>
      <c r="G277" s="18">
        <v>2.0</v>
      </c>
      <c r="H277" s="18" t="s">
        <v>46</v>
      </c>
    </row>
    <row r="278" ht="22.5" customHeight="1">
      <c r="A278" s="18">
        <v>1888.0</v>
      </c>
      <c r="B278" s="18" t="s">
        <v>420</v>
      </c>
      <c r="C278" s="18" t="s">
        <v>1108</v>
      </c>
      <c r="D278" s="18" t="s">
        <v>1109</v>
      </c>
      <c r="E278" s="18" t="s">
        <v>1109</v>
      </c>
      <c r="F278" s="18" t="s">
        <v>1110</v>
      </c>
      <c r="G278" s="18">
        <v>2.0</v>
      </c>
      <c r="H278" s="18" t="s">
        <v>46</v>
      </c>
    </row>
    <row r="279" ht="22.5" customHeight="1">
      <c r="A279" s="18">
        <v>1893.0</v>
      </c>
      <c r="B279" s="18" t="s">
        <v>420</v>
      </c>
      <c r="D279" s="18" t="s">
        <v>1111</v>
      </c>
      <c r="E279" s="18" t="s">
        <v>1111</v>
      </c>
      <c r="F279" s="18" t="s">
        <v>1112</v>
      </c>
      <c r="G279" s="18">
        <v>2.0</v>
      </c>
      <c r="H279" s="18" t="s">
        <v>46</v>
      </c>
    </row>
    <row r="280" ht="22.5" customHeight="1">
      <c r="A280" s="18">
        <v>1915.0</v>
      </c>
      <c r="B280" s="18" t="s">
        <v>420</v>
      </c>
      <c r="D280" s="18" t="s">
        <v>1113</v>
      </c>
      <c r="E280" s="18" t="s">
        <v>1113</v>
      </c>
      <c r="F280" s="18" t="s">
        <v>1114</v>
      </c>
      <c r="G280" s="18">
        <v>2.0</v>
      </c>
      <c r="H280" s="18" t="s">
        <v>46</v>
      </c>
    </row>
    <row r="281" ht="22.5" customHeight="1">
      <c r="A281" s="18">
        <v>1917.0</v>
      </c>
      <c r="B281" s="18" t="s">
        <v>420</v>
      </c>
      <c r="D281" s="18" t="s">
        <v>1115</v>
      </c>
      <c r="E281" s="18" t="s">
        <v>1115</v>
      </c>
      <c r="F281" s="18" t="s">
        <v>1116</v>
      </c>
      <c r="G281" s="18">
        <v>2.0</v>
      </c>
      <c r="H281" s="18" t="s">
        <v>46</v>
      </c>
    </row>
    <row r="282" ht="22.5" customHeight="1">
      <c r="A282" s="18">
        <v>1923.0</v>
      </c>
      <c r="B282" s="18" t="s">
        <v>420</v>
      </c>
      <c r="D282" s="18" t="s">
        <v>1117</v>
      </c>
      <c r="E282" s="18" t="s">
        <v>1117</v>
      </c>
      <c r="F282" s="18" t="s">
        <v>1118</v>
      </c>
      <c r="G282" s="18">
        <v>2.0</v>
      </c>
      <c r="H282" s="18" t="s">
        <v>46</v>
      </c>
    </row>
    <row r="283" ht="22.5" customHeight="1">
      <c r="A283" s="18">
        <v>1924.0</v>
      </c>
      <c r="B283" s="18" t="s">
        <v>420</v>
      </c>
      <c r="D283" s="18" t="s">
        <v>1119</v>
      </c>
      <c r="E283" s="18" t="s">
        <v>1119</v>
      </c>
      <c r="F283" s="18" t="s">
        <v>1120</v>
      </c>
      <c r="G283" s="18">
        <v>2.0</v>
      </c>
      <c r="H283" s="18" t="s">
        <v>46</v>
      </c>
    </row>
    <row r="284" ht="22.5" customHeight="1">
      <c r="A284" s="18">
        <v>1925.0</v>
      </c>
      <c r="B284" s="18" t="s">
        <v>420</v>
      </c>
      <c r="D284" s="18" t="s">
        <v>1121</v>
      </c>
      <c r="E284" s="18" t="s">
        <v>1121</v>
      </c>
      <c r="F284" s="18" t="s">
        <v>1122</v>
      </c>
      <c r="G284" s="18">
        <v>2.0</v>
      </c>
      <c r="H284" s="18" t="s">
        <v>46</v>
      </c>
    </row>
    <row r="285" ht="22.5" customHeight="1">
      <c r="A285" s="18">
        <v>1928.0</v>
      </c>
      <c r="B285" s="18" t="s">
        <v>420</v>
      </c>
      <c r="D285" s="18" t="s">
        <v>1123</v>
      </c>
      <c r="E285" s="18" t="s">
        <v>1123</v>
      </c>
      <c r="F285" s="18" t="s">
        <v>1124</v>
      </c>
      <c r="G285" s="18">
        <v>2.0</v>
      </c>
      <c r="H285" s="18" t="s">
        <v>46</v>
      </c>
    </row>
    <row r="286" ht="22.5" customHeight="1">
      <c r="A286" s="18">
        <v>1929.0</v>
      </c>
      <c r="B286" s="18" t="s">
        <v>420</v>
      </c>
      <c r="D286" s="18" t="s">
        <v>1125</v>
      </c>
      <c r="E286" s="18" t="s">
        <v>1125</v>
      </c>
      <c r="F286" s="18" t="s">
        <v>1126</v>
      </c>
      <c r="G286" s="18">
        <v>2.0</v>
      </c>
      <c r="H286" s="18" t="s">
        <v>46</v>
      </c>
    </row>
    <row r="287" ht="22.5" customHeight="1">
      <c r="A287" s="18">
        <v>1931.0</v>
      </c>
      <c r="B287" s="18" t="s">
        <v>420</v>
      </c>
      <c r="D287" s="18" t="s">
        <v>1127</v>
      </c>
      <c r="E287" s="18" t="s">
        <v>1127</v>
      </c>
      <c r="F287" s="18" t="s">
        <v>1128</v>
      </c>
      <c r="G287" s="18">
        <v>2.0</v>
      </c>
      <c r="H287" s="18" t="s">
        <v>46</v>
      </c>
    </row>
    <row r="288" ht="22.5" customHeight="1">
      <c r="A288" s="18">
        <v>1939.0</v>
      </c>
      <c r="B288" s="18" t="s">
        <v>420</v>
      </c>
      <c r="D288" s="18" t="s">
        <v>1129</v>
      </c>
      <c r="E288" s="18" t="s">
        <v>1129</v>
      </c>
      <c r="F288" s="18" t="s">
        <v>1130</v>
      </c>
      <c r="G288" s="18">
        <v>2.0</v>
      </c>
      <c r="H288" s="18" t="s">
        <v>46</v>
      </c>
    </row>
    <row r="289" ht="22.5" customHeight="1">
      <c r="A289" s="18">
        <v>1942.0</v>
      </c>
      <c r="B289" s="18" t="s">
        <v>420</v>
      </c>
      <c r="D289" s="18" t="s">
        <v>1131</v>
      </c>
      <c r="E289" s="18" t="s">
        <v>1131</v>
      </c>
      <c r="F289" s="18" t="s">
        <v>647</v>
      </c>
      <c r="G289" s="18">
        <v>2.0</v>
      </c>
      <c r="H289" s="18" t="s">
        <v>46</v>
      </c>
    </row>
    <row r="290" ht="22.5" customHeight="1">
      <c r="A290" s="18">
        <v>1946.0</v>
      </c>
      <c r="B290" s="18" t="s">
        <v>420</v>
      </c>
      <c r="D290" s="18" t="s">
        <v>1132</v>
      </c>
      <c r="E290" s="18" t="s">
        <v>1132</v>
      </c>
      <c r="F290" s="18" t="s">
        <v>649</v>
      </c>
      <c r="G290" s="18">
        <v>2.0</v>
      </c>
      <c r="H290" s="18" t="s">
        <v>46</v>
      </c>
    </row>
    <row r="291" ht="22.5" customHeight="1">
      <c r="A291" s="18">
        <v>1950.0</v>
      </c>
      <c r="B291" s="18" t="s">
        <v>420</v>
      </c>
      <c r="D291" s="18" t="s">
        <v>1133</v>
      </c>
      <c r="E291" s="18" t="s">
        <v>1133</v>
      </c>
      <c r="F291" s="18" t="s">
        <v>1134</v>
      </c>
      <c r="G291" s="18">
        <v>2.0</v>
      </c>
      <c r="H291" s="18" t="s">
        <v>46</v>
      </c>
    </row>
    <row r="292" ht="22.5" customHeight="1">
      <c r="A292" s="18">
        <v>1951.0</v>
      </c>
      <c r="B292" s="18" t="s">
        <v>420</v>
      </c>
      <c r="D292" s="18" t="s">
        <v>1135</v>
      </c>
      <c r="E292" s="18" t="s">
        <v>1135</v>
      </c>
      <c r="F292" s="18" t="s">
        <v>1136</v>
      </c>
      <c r="G292" s="18">
        <v>2.0</v>
      </c>
      <c r="H292" s="18" t="s">
        <v>46</v>
      </c>
    </row>
    <row r="293" ht="22.5" customHeight="1">
      <c r="A293" s="18">
        <v>1952.0</v>
      </c>
      <c r="B293" s="18" t="s">
        <v>420</v>
      </c>
      <c r="D293" s="18" t="s">
        <v>1137</v>
      </c>
      <c r="E293" s="18" t="s">
        <v>1137</v>
      </c>
      <c r="F293" s="18" t="s">
        <v>1138</v>
      </c>
      <c r="G293" s="18">
        <v>2.0</v>
      </c>
      <c r="H293" s="18" t="s">
        <v>46</v>
      </c>
    </row>
    <row r="294" ht="22.5" customHeight="1">
      <c r="A294" s="18">
        <v>1994.0</v>
      </c>
      <c r="B294" s="18" t="s">
        <v>420</v>
      </c>
      <c r="C294" s="18" t="s">
        <v>1139</v>
      </c>
      <c r="D294" s="18" t="s">
        <v>1140</v>
      </c>
      <c r="E294" s="18" t="s">
        <v>1141</v>
      </c>
      <c r="F294" s="18" t="s">
        <v>1142</v>
      </c>
      <c r="G294" s="18">
        <v>2.0</v>
      </c>
      <c r="H294" s="18" t="s">
        <v>46</v>
      </c>
    </row>
    <row r="295" ht="22.5" customHeight="1">
      <c r="A295" s="18">
        <v>2004.0</v>
      </c>
      <c r="B295" s="18" t="s">
        <v>420</v>
      </c>
      <c r="C295" s="18" t="s">
        <v>1143</v>
      </c>
      <c r="D295" s="18" t="s">
        <v>1144</v>
      </c>
      <c r="E295" s="18" t="s">
        <v>1145</v>
      </c>
      <c r="F295" s="18" t="s">
        <v>1146</v>
      </c>
      <c r="G295" s="18">
        <v>2.0</v>
      </c>
      <c r="H295" s="18" t="s">
        <v>46</v>
      </c>
    </row>
    <row r="296" ht="22.5" customHeight="1">
      <c r="A296" s="18">
        <v>2005.0</v>
      </c>
      <c r="B296" s="18" t="s">
        <v>420</v>
      </c>
      <c r="C296" s="18" t="s">
        <v>1108</v>
      </c>
      <c r="D296" s="18" t="s">
        <v>1147</v>
      </c>
      <c r="E296" s="18" t="s">
        <v>1147</v>
      </c>
      <c r="F296" s="18" t="s">
        <v>1148</v>
      </c>
      <c r="G296" s="18">
        <v>2.0</v>
      </c>
      <c r="H296" s="18" t="s">
        <v>46</v>
      </c>
    </row>
    <row r="297" ht="22.5" customHeight="1">
      <c r="A297" s="18">
        <v>2008.0</v>
      </c>
      <c r="B297" s="18" t="s">
        <v>420</v>
      </c>
      <c r="D297" s="18" t="s">
        <v>1149</v>
      </c>
      <c r="E297" s="18" t="s">
        <v>1149</v>
      </c>
      <c r="F297" s="18" t="s">
        <v>1150</v>
      </c>
      <c r="G297" s="18">
        <v>2.0</v>
      </c>
      <c r="H297" s="18" t="s">
        <v>46</v>
      </c>
    </row>
    <row r="298" ht="22.5" customHeight="1">
      <c r="A298" s="18">
        <v>2009.0</v>
      </c>
      <c r="B298" s="18" t="s">
        <v>420</v>
      </c>
      <c r="D298" s="18" t="s">
        <v>1151</v>
      </c>
      <c r="E298" s="18" t="s">
        <v>1151</v>
      </c>
      <c r="F298" s="18" t="s">
        <v>1152</v>
      </c>
      <c r="G298" s="18">
        <v>2.0</v>
      </c>
      <c r="H298" s="18" t="s">
        <v>46</v>
      </c>
    </row>
    <row r="299" ht="22.5" customHeight="1">
      <c r="A299" s="18">
        <v>2010.0</v>
      </c>
      <c r="B299" s="18" t="s">
        <v>420</v>
      </c>
      <c r="D299" s="18" t="s">
        <v>1153</v>
      </c>
      <c r="E299" s="18" t="s">
        <v>1153</v>
      </c>
      <c r="F299" s="18" t="s">
        <v>1154</v>
      </c>
      <c r="G299" s="18">
        <v>2.0</v>
      </c>
      <c r="H299" s="18" t="s">
        <v>46</v>
      </c>
    </row>
    <row r="300" ht="22.5" customHeight="1">
      <c r="A300" s="18">
        <v>2011.0</v>
      </c>
      <c r="B300" s="18" t="s">
        <v>420</v>
      </c>
      <c r="D300" s="18" t="s">
        <v>1155</v>
      </c>
      <c r="E300" s="18" t="s">
        <v>1155</v>
      </c>
      <c r="F300" s="18" t="s">
        <v>1156</v>
      </c>
      <c r="G300" s="18">
        <v>2.0</v>
      </c>
      <c r="H300" s="18" t="s">
        <v>46</v>
      </c>
    </row>
    <row r="301" ht="22.5" customHeight="1">
      <c r="A301" s="18">
        <v>2012.0</v>
      </c>
      <c r="B301" s="18" t="s">
        <v>420</v>
      </c>
      <c r="C301" s="18" t="s">
        <v>1157</v>
      </c>
      <c r="D301" s="18" t="s">
        <v>1158</v>
      </c>
      <c r="E301" s="18" t="s">
        <v>1158</v>
      </c>
      <c r="F301" s="18" t="s">
        <v>1159</v>
      </c>
      <c r="G301" s="18">
        <v>2.0</v>
      </c>
      <c r="H301" s="18" t="s">
        <v>46</v>
      </c>
    </row>
    <row r="302" ht="22.5" customHeight="1">
      <c r="A302" s="18">
        <v>2013.0</v>
      </c>
      <c r="B302" s="18" t="s">
        <v>420</v>
      </c>
      <c r="D302" s="18" t="s">
        <v>1160</v>
      </c>
      <c r="E302" s="18" t="s">
        <v>1160</v>
      </c>
      <c r="F302" s="18" t="s">
        <v>1161</v>
      </c>
      <c r="G302" s="18">
        <v>2.0</v>
      </c>
      <c r="H302" s="18" t="s">
        <v>46</v>
      </c>
    </row>
    <row r="303" ht="22.5" customHeight="1">
      <c r="A303" s="18">
        <v>2022.0</v>
      </c>
      <c r="B303" s="18" t="s">
        <v>420</v>
      </c>
      <c r="D303" s="18" t="s">
        <v>1162</v>
      </c>
      <c r="E303" s="18" t="s">
        <v>1162</v>
      </c>
      <c r="F303" s="18" t="s">
        <v>1163</v>
      </c>
      <c r="G303" s="18">
        <v>2.0</v>
      </c>
      <c r="H303" s="18" t="s">
        <v>46</v>
      </c>
    </row>
    <row r="304" ht="22.5" customHeight="1">
      <c r="A304" s="18">
        <v>2027.0</v>
      </c>
      <c r="B304" s="18" t="s">
        <v>420</v>
      </c>
      <c r="D304" s="18" t="s">
        <v>1164</v>
      </c>
      <c r="E304" s="18" t="s">
        <v>1164</v>
      </c>
      <c r="F304" s="18" t="s">
        <v>1165</v>
      </c>
      <c r="G304" s="18">
        <v>2.0</v>
      </c>
      <c r="H304" s="18" t="s">
        <v>46</v>
      </c>
    </row>
    <row r="305" ht="22.5" customHeight="1">
      <c r="A305" s="18">
        <v>2028.0</v>
      </c>
      <c r="B305" s="18" t="s">
        <v>420</v>
      </c>
      <c r="D305" s="18" t="s">
        <v>1166</v>
      </c>
      <c r="E305" s="18" t="s">
        <v>1166</v>
      </c>
      <c r="F305" s="18" t="s">
        <v>1167</v>
      </c>
      <c r="G305" s="18">
        <v>2.0</v>
      </c>
      <c r="H305" s="18" t="s">
        <v>46</v>
      </c>
    </row>
    <row r="306" ht="22.5" customHeight="1">
      <c r="A306" s="18">
        <v>2044.0</v>
      </c>
      <c r="B306" s="18" t="s">
        <v>420</v>
      </c>
      <c r="C306" s="18" t="s">
        <v>671</v>
      </c>
      <c r="D306" s="18" t="s">
        <v>1168</v>
      </c>
      <c r="E306" s="18" t="s">
        <v>1168</v>
      </c>
      <c r="F306" s="18" t="s">
        <v>673</v>
      </c>
      <c r="G306" s="18">
        <v>2.0</v>
      </c>
      <c r="H306" s="18" t="s">
        <v>46</v>
      </c>
    </row>
    <row r="307" ht="22.5" customHeight="1">
      <c r="A307" s="18">
        <v>2056.0</v>
      </c>
      <c r="B307" s="18" t="s">
        <v>420</v>
      </c>
      <c r="D307" s="18" t="s">
        <v>1169</v>
      </c>
      <c r="E307" s="18" t="s">
        <v>1169</v>
      </c>
      <c r="F307" s="18" t="s">
        <v>656</v>
      </c>
      <c r="G307" s="18">
        <v>2.0</v>
      </c>
      <c r="H307" s="18" t="s">
        <v>46</v>
      </c>
    </row>
    <row r="308" ht="22.5" customHeight="1">
      <c r="A308" s="18">
        <v>2102.0</v>
      </c>
      <c r="B308" s="18" t="s">
        <v>420</v>
      </c>
      <c r="D308" s="18" t="s">
        <v>1170</v>
      </c>
      <c r="E308" s="18" t="s">
        <v>1170</v>
      </c>
      <c r="F308" s="18" t="s">
        <v>1171</v>
      </c>
      <c r="G308" s="18">
        <v>2.0</v>
      </c>
      <c r="H308" s="18" t="s">
        <v>46</v>
      </c>
    </row>
    <row r="309" ht="22.5" customHeight="1">
      <c r="A309" s="18">
        <v>2135.0</v>
      </c>
      <c r="B309" s="18" t="s">
        <v>420</v>
      </c>
      <c r="D309" s="18" t="s">
        <v>1172</v>
      </c>
      <c r="E309" s="18" t="s">
        <v>1172</v>
      </c>
      <c r="F309" s="18" t="s">
        <v>1173</v>
      </c>
      <c r="G309" s="18">
        <v>2.0</v>
      </c>
      <c r="H309" s="18" t="s">
        <v>46</v>
      </c>
    </row>
    <row r="310" ht="22.5" customHeight="1">
      <c r="A310" s="18">
        <v>2171.0</v>
      </c>
      <c r="B310" s="18" t="s">
        <v>420</v>
      </c>
      <c r="C310" s="18" t="s">
        <v>1174</v>
      </c>
      <c r="D310" s="18" t="s">
        <v>1175</v>
      </c>
      <c r="E310" s="18" t="s">
        <v>1175</v>
      </c>
      <c r="F310" s="18" t="s">
        <v>1176</v>
      </c>
      <c r="G310" s="18">
        <v>2.0</v>
      </c>
      <c r="H310" s="18" t="s">
        <v>46</v>
      </c>
    </row>
    <row r="311" ht="22.5" customHeight="1">
      <c r="A311" s="18">
        <v>2172.0</v>
      </c>
      <c r="B311" s="18" t="s">
        <v>420</v>
      </c>
      <c r="C311" s="18" t="s">
        <v>1177</v>
      </c>
      <c r="D311" s="18" t="s">
        <v>1178</v>
      </c>
      <c r="E311" s="18" t="s">
        <v>1178</v>
      </c>
      <c r="F311" s="18" t="s">
        <v>1179</v>
      </c>
      <c r="G311" s="18">
        <v>2.0</v>
      </c>
      <c r="H311" s="18" t="s">
        <v>46</v>
      </c>
    </row>
    <row r="312" ht="22.5" customHeight="1">
      <c r="A312" s="18">
        <v>2189.0</v>
      </c>
      <c r="B312" s="18" t="s">
        <v>420</v>
      </c>
      <c r="D312" s="18" t="s">
        <v>1180</v>
      </c>
      <c r="E312" s="18" t="s">
        <v>1180</v>
      </c>
      <c r="F312" s="18" t="s">
        <v>1181</v>
      </c>
      <c r="G312" s="18">
        <v>2.0</v>
      </c>
      <c r="H312" s="18" t="s">
        <v>46</v>
      </c>
    </row>
    <row r="313" ht="22.5" customHeight="1">
      <c r="A313" s="18">
        <v>2197.0</v>
      </c>
      <c r="B313" s="18" t="s">
        <v>420</v>
      </c>
      <c r="D313" s="18" t="s">
        <v>1182</v>
      </c>
      <c r="E313" s="18" t="s">
        <v>1182</v>
      </c>
      <c r="F313" s="18" t="s">
        <v>743</v>
      </c>
      <c r="G313" s="18">
        <v>2.0</v>
      </c>
      <c r="H313" s="18" t="s">
        <v>46</v>
      </c>
    </row>
    <row r="314" ht="22.5" customHeight="1">
      <c r="A314" s="18">
        <v>2296.0</v>
      </c>
      <c r="B314" s="18" t="s">
        <v>420</v>
      </c>
      <c r="C314" s="18" t="s">
        <v>1183</v>
      </c>
      <c r="D314" s="18" t="s">
        <v>1184</v>
      </c>
      <c r="E314" s="18" t="s">
        <v>1184</v>
      </c>
      <c r="F314" s="18" t="s">
        <v>1185</v>
      </c>
      <c r="G314" s="18">
        <v>2.0</v>
      </c>
      <c r="H314" s="18" t="s">
        <v>46</v>
      </c>
    </row>
    <row r="315" ht="22.5" customHeight="1">
      <c r="A315" s="18">
        <v>2297.0</v>
      </c>
      <c r="B315" s="18" t="s">
        <v>420</v>
      </c>
      <c r="C315" s="18" t="s">
        <v>1183</v>
      </c>
      <c r="D315" s="18" t="s">
        <v>1186</v>
      </c>
      <c r="E315" s="18" t="s">
        <v>1186</v>
      </c>
      <c r="F315" s="18" t="s">
        <v>1187</v>
      </c>
      <c r="G315" s="18">
        <v>2.0</v>
      </c>
      <c r="H315" s="18" t="s">
        <v>46</v>
      </c>
    </row>
    <row r="316" ht="22.5" customHeight="1">
      <c r="A316" s="18">
        <v>2299.0</v>
      </c>
      <c r="B316" s="18" t="s">
        <v>420</v>
      </c>
      <c r="C316" s="18" t="s">
        <v>1189</v>
      </c>
      <c r="D316" s="18" t="s">
        <v>1190</v>
      </c>
      <c r="E316" s="18" t="s">
        <v>1191</v>
      </c>
      <c r="F316" s="18" t="s">
        <v>1192</v>
      </c>
      <c r="G316" s="18">
        <v>2.0</v>
      </c>
      <c r="H316" s="18" t="s">
        <v>46</v>
      </c>
    </row>
    <row r="317" ht="22.5" customHeight="1">
      <c r="A317" s="18">
        <v>2356.0</v>
      </c>
      <c r="B317" s="18" t="s">
        <v>420</v>
      </c>
      <c r="C317" s="18" t="s">
        <v>1079</v>
      </c>
      <c r="D317" s="18" t="s">
        <v>1193</v>
      </c>
      <c r="E317" s="18" t="s">
        <v>1193</v>
      </c>
      <c r="F317" s="18" t="s">
        <v>1194</v>
      </c>
      <c r="G317" s="18">
        <v>2.0</v>
      </c>
      <c r="H317" s="18" t="s">
        <v>46</v>
      </c>
    </row>
    <row r="318" ht="22.5" customHeight="1">
      <c r="A318" s="18">
        <v>2357.0</v>
      </c>
      <c r="B318" s="18" t="s">
        <v>420</v>
      </c>
      <c r="C318" s="18" t="s">
        <v>1139</v>
      </c>
      <c r="D318" s="18" t="s">
        <v>1195</v>
      </c>
      <c r="E318" s="18" t="s">
        <v>1195</v>
      </c>
      <c r="F318" s="18" t="s">
        <v>1196</v>
      </c>
      <c r="G318" s="18">
        <v>2.0</v>
      </c>
      <c r="H318" s="18" t="s">
        <v>46</v>
      </c>
    </row>
    <row r="319" ht="22.5" customHeight="1">
      <c r="A319" s="18">
        <v>2358.0</v>
      </c>
      <c r="B319" s="18" t="s">
        <v>420</v>
      </c>
      <c r="C319" s="18" t="s">
        <v>1079</v>
      </c>
      <c r="D319" s="18" t="s">
        <v>1197</v>
      </c>
      <c r="E319" s="18" t="s">
        <v>1198</v>
      </c>
      <c r="F319" s="18" t="s">
        <v>1199</v>
      </c>
      <c r="G319" s="18">
        <v>2.0</v>
      </c>
      <c r="H319" s="18" t="s">
        <v>46</v>
      </c>
    </row>
    <row r="320" ht="22.5" customHeight="1">
      <c r="A320" s="18">
        <v>2359.0</v>
      </c>
      <c r="B320" s="18" t="s">
        <v>420</v>
      </c>
      <c r="C320" s="18" t="s">
        <v>1108</v>
      </c>
      <c r="D320" s="18" t="s">
        <v>1200</v>
      </c>
      <c r="E320" s="18" t="s">
        <v>1201</v>
      </c>
      <c r="F320" s="18" t="s">
        <v>1202</v>
      </c>
      <c r="G320" s="18">
        <v>2.0</v>
      </c>
      <c r="H320" s="18" t="s">
        <v>46</v>
      </c>
    </row>
    <row r="321" ht="22.5" customHeight="1">
      <c r="A321" s="18">
        <v>2363.0</v>
      </c>
      <c r="B321" s="18" t="s">
        <v>420</v>
      </c>
      <c r="C321" s="18" t="s">
        <v>1108</v>
      </c>
      <c r="D321" s="18" t="s">
        <v>1203</v>
      </c>
      <c r="E321" s="18" t="s">
        <v>1203</v>
      </c>
      <c r="F321" s="18" t="s">
        <v>1204</v>
      </c>
      <c r="G321" s="18">
        <v>2.0</v>
      </c>
      <c r="H321" s="18" t="s">
        <v>46</v>
      </c>
    </row>
    <row r="322" ht="22.5" customHeight="1">
      <c r="A322" s="18">
        <v>2366.0</v>
      </c>
      <c r="B322" s="18" t="s">
        <v>420</v>
      </c>
      <c r="D322" s="18" t="s">
        <v>1205</v>
      </c>
      <c r="E322" s="18" t="s">
        <v>1205</v>
      </c>
      <c r="F322" s="18" t="s">
        <v>732</v>
      </c>
      <c r="G322" s="18">
        <v>2.0</v>
      </c>
      <c r="H322" s="18" t="s">
        <v>46</v>
      </c>
    </row>
    <row r="323" ht="22.5" customHeight="1">
      <c r="A323" s="18">
        <v>2367.0</v>
      </c>
      <c r="B323" s="18" t="s">
        <v>420</v>
      </c>
      <c r="D323" s="18" t="s">
        <v>1206</v>
      </c>
      <c r="E323" s="18" t="s">
        <v>1206</v>
      </c>
      <c r="F323" s="18" t="s">
        <v>730</v>
      </c>
      <c r="G323" s="18">
        <v>2.0</v>
      </c>
      <c r="H323" s="18" t="s">
        <v>46</v>
      </c>
    </row>
    <row r="324" ht="22.5" customHeight="1">
      <c r="A324" s="18">
        <v>2380.0</v>
      </c>
      <c r="B324" s="18" t="s">
        <v>420</v>
      </c>
      <c r="C324" s="18" t="s">
        <v>911</v>
      </c>
      <c r="D324" s="18" t="s">
        <v>1207</v>
      </c>
      <c r="E324" s="18" t="s">
        <v>1207</v>
      </c>
      <c r="F324" s="18" t="s">
        <v>1208</v>
      </c>
      <c r="G324" s="18">
        <v>2.0</v>
      </c>
      <c r="H324" s="18" t="s">
        <v>46</v>
      </c>
    </row>
    <row r="325" ht="22.5" customHeight="1">
      <c r="A325" s="18">
        <v>2381.0</v>
      </c>
      <c r="B325" s="18" t="s">
        <v>420</v>
      </c>
      <c r="C325" s="18" t="s">
        <v>911</v>
      </c>
      <c r="D325" s="18" t="s">
        <v>1209</v>
      </c>
      <c r="E325" s="18" t="s">
        <v>1209</v>
      </c>
      <c r="F325" s="18" t="s">
        <v>1210</v>
      </c>
      <c r="G325" s="18">
        <v>2.0</v>
      </c>
      <c r="H325" s="18" t="s">
        <v>46</v>
      </c>
    </row>
    <row r="326" ht="22.5" customHeight="1">
      <c r="A326" s="18">
        <v>2400.0</v>
      </c>
      <c r="B326" s="18" t="s">
        <v>420</v>
      </c>
      <c r="C326" s="18" t="s">
        <v>971</v>
      </c>
      <c r="D326" s="18" t="s">
        <v>1211</v>
      </c>
      <c r="E326" s="18" t="s">
        <v>1212</v>
      </c>
      <c r="F326" s="18" t="s">
        <v>1213</v>
      </c>
      <c r="G326" s="18">
        <v>2.0</v>
      </c>
      <c r="H326" s="18" t="s">
        <v>46</v>
      </c>
    </row>
    <row r="327" ht="22.5" customHeight="1">
      <c r="A327" s="18">
        <v>2401.0</v>
      </c>
      <c r="B327" s="18" t="s">
        <v>420</v>
      </c>
      <c r="C327" s="18" t="s">
        <v>971</v>
      </c>
      <c r="D327" s="18" t="s">
        <v>1214</v>
      </c>
      <c r="E327" s="18" t="s">
        <v>1214</v>
      </c>
      <c r="F327" s="18" t="s">
        <v>1215</v>
      </c>
      <c r="G327" s="18">
        <v>2.0</v>
      </c>
      <c r="H327" s="18" t="s">
        <v>46</v>
      </c>
    </row>
    <row r="328" ht="22.5" customHeight="1">
      <c r="A328" s="18">
        <v>2405.0</v>
      </c>
      <c r="B328" s="18" t="s">
        <v>420</v>
      </c>
      <c r="D328" s="18" t="s">
        <v>1216</v>
      </c>
      <c r="E328" s="18" t="s">
        <v>1216</v>
      </c>
      <c r="F328" s="18" t="s">
        <v>1217</v>
      </c>
      <c r="G328" s="18">
        <v>2.0</v>
      </c>
      <c r="H328" s="18" t="s">
        <v>46</v>
      </c>
    </row>
    <row r="329" ht="22.5" customHeight="1">
      <c r="A329" s="18">
        <v>2416.0</v>
      </c>
      <c r="B329" s="18" t="s">
        <v>420</v>
      </c>
      <c r="C329" s="18" t="s">
        <v>921</v>
      </c>
      <c r="D329" s="18" t="s">
        <v>1218</v>
      </c>
      <c r="E329" s="18" t="s">
        <v>1218</v>
      </c>
      <c r="F329" s="18" t="s">
        <v>1219</v>
      </c>
      <c r="G329" s="18">
        <v>2.0</v>
      </c>
      <c r="H329" s="18" t="s">
        <v>46</v>
      </c>
    </row>
    <row r="330" ht="22.5" customHeight="1">
      <c r="A330" s="18">
        <v>2417.0</v>
      </c>
      <c r="B330" s="18" t="s">
        <v>420</v>
      </c>
      <c r="C330" s="18" t="s">
        <v>927</v>
      </c>
      <c r="D330" s="18" t="s">
        <v>1220</v>
      </c>
      <c r="E330" s="18" t="s">
        <v>1220</v>
      </c>
      <c r="F330" s="18" t="s">
        <v>1221</v>
      </c>
      <c r="G330" s="18">
        <v>2.0</v>
      </c>
      <c r="H330" s="18" t="s">
        <v>46</v>
      </c>
    </row>
    <row r="331" ht="22.5" customHeight="1">
      <c r="A331" s="18">
        <v>2418.0</v>
      </c>
      <c r="B331" s="18" t="s">
        <v>420</v>
      </c>
      <c r="D331" s="18" t="s">
        <v>1222</v>
      </c>
      <c r="E331" s="18" t="s">
        <v>1222</v>
      </c>
      <c r="F331" s="18" t="s">
        <v>1223</v>
      </c>
      <c r="G331" s="18">
        <v>2.0</v>
      </c>
      <c r="H331" s="18" t="s">
        <v>46</v>
      </c>
    </row>
    <row r="332" ht="22.5" customHeight="1">
      <c r="A332" s="18">
        <v>2427.0</v>
      </c>
      <c r="B332" s="18" t="s">
        <v>420</v>
      </c>
      <c r="D332" s="18" t="s">
        <v>1224</v>
      </c>
      <c r="E332" s="18" t="s">
        <v>1224</v>
      </c>
      <c r="F332" s="18" t="s">
        <v>1225</v>
      </c>
      <c r="G332" s="18">
        <v>2.0</v>
      </c>
      <c r="H332" s="18" t="s">
        <v>46</v>
      </c>
    </row>
    <row r="333" ht="22.5" customHeight="1">
      <c r="A333" s="18">
        <v>2428.0</v>
      </c>
      <c r="B333" s="18" t="s">
        <v>420</v>
      </c>
      <c r="D333" s="18" t="s">
        <v>1226</v>
      </c>
      <c r="E333" s="18" t="s">
        <v>1226</v>
      </c>
      <c r="F333" s="18" t="s">
        <v>1227</v>
      </c>
      <c r="G333" s="18">
        <v>2.0</v>
      </c>
      <c r="H333" s="18" t="s">
        <v>46</v>
      </c>
    </row>
    <row r="334" ht="22.5" customHeight="1">
      <c r="A334" s="18">
        <v>2437.0</v>
      </c>
      <c r="B334" s="18" t="s">
        <v>420</v>
      </c>
      <c r="D334" s="18" t="s">
        <v>1228</v>
      </c>
      <c r="E334" s="18" t="s">
        <v>1228</v>
      </c>
      <c r="F334" s="18" t="s">
        <v>1229</v>
      </c>
      <c r="G334" s="18">
        <v>2.0</v>
      </c>
      <c r="H334" s="18" t="s">
        <v>46</v>
      </c>
    </row>
    <row r="335" ht="22.5" customHeight="1">
      <c r="A335" s="18">
        <v>2438.0</v>
      </c>
      <c r="B335" s="18" t="s">
        <v>420</v>
      </c>
      <c r="D335" s="18" t="s">
        <v>1230</v>
      </c>
      <c r="E335" s="18" t="s">
        <v>1230</v>
      </c>
      <c r="F335" s="18" t="s">
        <v>1231</v>
      </c>
      <c r="G335" s="18">
        <v>2.0</v>
      </c>
      <c r="H335" s="18" t="s">
        <v>46</v>
      </c>
    </row>
    <row r="336" ht="22.5" customHeight="1">
      <c r="A336" s="18">
        <v>2439.0</v>
      </c>
      <c r="B336" s="18" t="s">
        <v>420</v>
      </c>
      <c r="D336" s="18" t="s">
        <v>1232</v>
      </c>
      <c r="E336" s="18" t="s">
        <v>1232</v>
      </c>
      <c r="F336" s="18" t="s">
        <v>1233</v>
      </c>
      <c r="G336" s="18">
        <v>2.0</v>
      </c>
      <c r="H336" s="18" t="s">
        <v>46</v>
      </c>
    </row>
    <row r="337" ht="22.5" customHeight="1">
      <c r="A337" s="18">
        <v>2440.0</v>
      </c>
      <c r="B337" s="18" t="s">
        <v>420</v>
      </c>
      <c r="D337" s="18" t="s">
        <v>1234</v>
      </c>
      <c r="E337" s="18" t="s">
        <v>1234</v>
      </c>
      <c r="F337" s="18" t="s">
        <v>1235</v>
      </c>
      <c r="G337" s="18">
        <v>2.0</v>
      </c>
      <c r="H337" s="18" t="s">
        <v>46</v>
      </c>
    </row>
    <row r="338" ht="22.5" customHeight="1">
      <c r="A338" s="18">
        <v>2441.0</v>
      </c>
      <c r="B338" s="18" t="s">
        <v>420</v>
      </c>
      <c r="D338" s="18" t="s">
        <v>1236</v>
      </c>
      <c r="E338" s="18" t="s">
        <v>1236</v>
      </c>
      <c r="F338" s="18" t="s">
        <v>1237</v>
      </c>
      <c r="G338" s="18">
        <v>2.0</v>
      </c>
      <c r="H338" s="18" t="s">
        <v>46</v>
      </c>
    </row>
    <row r="339" ht="22.5" customHeight="1">
      <c r="A339" s="18">
        <v>2442.0</v>
      </c>
      <c r="B339" s="18" t="s">
        <v>420</v>
      </c>
      <c r="D339" s="18" t="s">
        <v>1238</v>
      </c>
      <c r="E339" s="18" t="s">
        <v>1238</v>
      </c>
      <c r="F339" s="18" t="s">
        <v>1239</v>
      </c>
      <c r="G339" s="18">
        <v>2.0</v>
      </c>
      <c r="H339" s="18" t="s">
        <v>46</v>
      </c>
    </row>
    <row r="340" ht="22.5" customHeight="1">
      <c r="A340" s="18">
        <v>2443.0</v>
      </c>
      <c r="B340" s="18" t="s">
        <v>420</v>
      </c>
      <c r="D340" s="18" t="s">
        <v>1240</v>
      </c>
      <c r="E340" s="18" t="s">
        <v>1240</v>
      </c>
      <c r="F340" s="18" t="s">
        <v>1241</v>
      </c>
      <c r="G340" s="18">
        <v>2.0</v>
      </c>
      <c r="H340" s="18" t="s">
        <v>46</v>
      </c>
    </row>
    <row r="341" ht="22.5" customHeight="1">
      <c r="A341" s="18">
        <v>2444.0</v>
      </c>
      <c r="B341" s="18" t="s">
        <v>420</v>
      </c>
      <c r="D341" s="18" t="s">
        <v>1242</v>
      </c>
      <c r="E341" s="18" t="s">
        <v>1242</v>
      </c>
      <c r="F341" s="18" t="s">
        <v>1243</v>
      </c>
      <c r="G341" s="18">
        <v>2.0</v>
      </c>
      <c r="H341" s="18" t="s">
        <v>46</v>
      </c>
    </row>
    <row r="342" ht="22.5" customHeight="1">
      <c r="A342" s="18">
        <v>2445.0</v>
      </c>
      <c r="B342" s="18" t="s">
        <v>420</v>
      </c>
      <c r="D342" s="18" t="s">
        <v>1244</v>
      </c>
      <c r="E342" s="18" t="s">
        <v>1244</v>
      </c>
      <c r="F342" s="18" t="s">
        <v>1245</v>
      </c>
      <c r="G342" s="18">
        <v>2.0</v>
      </c>
      <c r="H342" s="18" t="s">
        <v>46</v>
      </c>
    </row>
    <row r="343" ht="22.5" customHeight="1">
      <c r="A343" s="18">
        <v>2446.0</v>
      </c>
      <c r="B343" s="18" t="s">
        <v>420</v>
      </c>
      <c r="D343" s="18" t="s">
        <v>1246</v>
      </c>
      <c r="E343" s="18" t="s">
        <v>1246</v>
      </c>
      <c r="F343" s="18" t="s">
        <v>1247</v>
      </c>
      <c r="G343" s="18">
        <v>2.0</v>
      </c>
      <c r="H343" s="18" t="s">
        <v>46</v>
      </c>
    </row>
    <row r="344" ht="22.5" customHeight="1">
      <c r="A344" s="18">
        <v>2449.0</v>
      </c>
      <c r="B344" s="18" t="s">
        <v>420</v>
      </c>
      <c r="D344" s="18" t="s">
        <v>1248</v>
      </c>
      <c r="E344" s="18" t="s">
        <v>1248</v>
      </c>
      <c r="F344" s="18" t="s">
        <v>1249</v>
      </c>
      <c r="G344" s="18">
        <v>2.0</v>
      </c>
      <c r="H344" s="18" t="s">
        <v>46</v>
      </c>
    </row>
    <row r="345" ht="22.5" customHeight="1">
      <c r="A345" s="18">
        <v>2450.0</v>
      </c>
      <c r="B345" s="18" t="s">
        <v>420</v>
      </c>
      <c r="C345" s="18" t="s">
        <v>930</v>
      </c>
      <c r="D345" s="18" t="s">
        <v>1250</v>
      </c>
      <c r="E345" s="18" t="s">
        <v>1250</v>
      </c>
      <c r="F345" s="18" t="s">
        <v>1251</v>
      </c>
      <c r="G345" s="18">
        <v>2.0</v>
      </c>
      <c r="H345" s="18" t="s">
        <v>46</v>
      </c>
    </row>
    <row r="346" ht="22.5" customHeight="1">
      <c r="A346" s="18">
        <v>2451.0</v>
      </c>
      <c r="B346" s="18" t="s">
        <v>420</v>
      </c>
      <c r="C346" s="18" t="s">
        <v>930</v>
      </c>
      <c r="D346" s="18" t="s">
        <v>1252</v>
      </c>
      <c r="E346" s="18" t="s">
        <v>1252</v>
      </c>
      <c r="F346" s="18" t="s">
        <v>1253</v>
      </c>
      <c r="G346" s="18">
        <v>2.0</v>
      </c>
      <c r="H346" s="18" t="s">
        <v>46</v>
      </c>
    </row>
    <row r="347" ht="22.5" customHeight="1">
      <c r="A347" s="18">
        <v>2452.0</v>
      </c>
      <c r="B347" s="18" t="s">
        <v>420</v>
      </c>
      <c r="C347" s="18" t="s">
        <v>930</v>
      </c>
      <c r="D347" s="18" t="s">
        <v>1254</v>
      </c>
      <c r="E347" s="18" t="s">
        <v>1254</v>
      </c>
      <c r="F347" s="18" t="s">
        <v>1255</v>
      </c>
      <c r="G347" s="18">
        <v>2.0</v>
      </c>
      <c r="H347" s="18" t="s">
        <v>46</v>
      </c>
    </row>
    <row r="348" ht="22.5" customHeight="1">
      <c r="A348" s="18">
        <v>2454.0</v>
      </c>
      <c r="B348" s="18" t="s">
        <v>420</v>
      </c>
      <c r="D348" s="18" t="s">
        <v>1256</v>
      </c>
      <c r="E348" s="18" t="s">
        <v>1256</v>
      </c>
      <c r="F348" s="18" t="s">
        <v>748</v>
      </c>
      <c r="G348" s="18">
        <v>2.0</v>
      </c>
      <c r="H348" s="18" t="s">
        <v>46</v>
      </c>
    </row>
    <row r="349" ht="22.5" customHeight="1">
      <c r="A349" s="18">
        <v>2466.0</v>
      </c>
      <c r="B349" s="18" t="s">
        <v>420</v>
      </c>
      <c r="C349" s="18" t="s">
        <v>1257</v>
      </c>
      <c r="D349" s="18" t="s">
        <v>1258</v>
      </c>
      <c r="E349" s="18" t="s">
        <v>1258</v>
      </c>
      <c r="F349" s="18" t="s">
        <v>1259</v>
      </c>
      <c r="G349" s="18">
        <v>2.0</v>
      </c>
      <c r="H349" s="18" t="s">
        <v>46</v>
      </c>
    </row>
    <row r="350" ht="22.5" customHeight="1">
      <c r="A350" s="18">
        <v>2467.0</v>
      </c>
      <c r="B350" s="18" t="s">
        <v>420</v>
      </c>
      <c r="C350" s="18" t="s">
        <v>1257</v>
      </c>
      <c r="D350" s="18" t="s">
        <v>1260</v>
      </c>
      <c r="E350" s="18" t="s">
        <v>1260</v>
      </c>
      <c r="F350" s="18" t="s">
        <v>1261</v>
      </c>
      <c r="G350" s="18">
        <v>2.0</v>
      </c>
      <c r="H350" s="18" t="s">
        <v>46</v>
      </c>
    </row>
    <row r="351" ht="22.5" customHeight="1">
      <c r="A351" s="18">
        <v>2468.0</v>
      </c>
      <c r="B351" s="18" t="s">
        <v>420</v>
      </c>
      <c r="C351" s="18" t="s">
        <v>1262</v>
      </c>
      <c r="D351" s="18" t="s">
        <v>1263</v>
      </c>
      <c r="E351" s="18" t="s">
        <v>1263</v>
      </c>
      <c r="F351" s="18" t="s">
        <v>1264</v>
      </c>
      <c r="G351" s="18">
        <v>2.0</v>
      </c>
      <c r="H351" s="18" t="s">
        <v>46</v>
      </c>
    </row>
    <row r="352" ht="22.5" customHeight="1">
      <c r="A352" s="18">
        <v>2469.0</v>
      </c>
      <c r="B352" s="18" t="s">
        <v>420</v>
      </c>
      <c r="C352" s="18" t="s">
        <v>1265</v>
      </c>
      <c r="D352" s="18" t="s">
        <v>1266</v>
      </c>
      <c r="E352" s="18" t="s">
        <v>1266</v>
      </c>
      <c r="F352" s="18" t="s">
        <v>1267</v>
      </c>
      <c r="G352" s="18">
        <v>2.0</v>
      </c>
      <c r="H352" s="18" t="s">
        <v>46</v>
      </c>
    </row>
    <row r="353" ht="22.5" customHeight="1">
      <c r="A353" s="18">
        <v>2506.0</v>
      </c>
      <c r="B353" s="18" t="s">
        <v>420</v>
      </c>
      <c r="D353" s="18" t="s">
        <v>1268</v>
      </c>
      <c r="E353" s="18" t="s">
        <v>1268</v>
      </c>
      <c r="F353" s="18" t="s">
        <v>1269</v>
      </c>
      <c r="G353" s="18">
        <v>2.0</v>
      </c>
      <c r="H353" s="18" t="s">
        <v>46</v>
      </c>
    </row>
    <row r="354" ht="22.5" customHeight="1">
      <c r="A354" s="18">
        <v>2514.0</v>
      </c>
      <c r="B354" s="18" t="s">
        <v>420</v>
      </c>
      <c r="C354" s="18" t="s">
        <v>957</v>
      </c>
      <c r="D354" s="18" t="s">
        <v>1270</v>
      </c>
      <c r="E354" s="18" t="s">
        <v>1270</v>
      </c>
      <c r="F354" s="18" t="s">
        <v>1271</v>
      </c>
      <c r="G354" s="18">
        <v>2.0</v>
      </c>
      <c r="H354" s="18" t="s">
        <v>46</v>
      </c>
    </row>
    <row r="355" ht="22.5" customHeight="1">
      <c r="A355" s="18">
        <v>2515.0</v>
      </c>
      <c r="B355" s="18" t="s">
        <v>420</v>
      </c>
      <c r="C355" s="18" t="s">
        <v>957</v>
      </c>
      <c r="D355" s="18" t="s">
        <v>1272</v>
      </c>
      <c r="E355" s="18" t="s">
        <v>1272</v>
      </c>
      <c r="F355" s="18" t="s">
        <v>1273</v>
      </c>
      <c r="G355" s="18">
        <v>2.0</v>
      </c>
      <c r="H355" s="18" t="s">
        <v>46</v>
      </c>
    </row>
    <row r="356" ht="22.5" customHeight="1">
      <c r="A356" s="18">
        <v>2517.0</v>
      </c>
      <c r="B356" s="18" t="s">
        <v>420</v>
      </c>
      <c r="D356" s="18" t="s">
        <v>1274</v>
      </c>
      <c r="E356" s="18" t="s">
        <v>1274</v>
      </c>
      <c r="F356" s="18" t="s">
        <v>1275</v>
      </c>
      <c r="G356" s="18">
        <v>2.0</v>
      </c>
      <c r="H356" s="18" t="s">
        <v>46</v>
      </c>
    </row>
    <row r="357" ht="22.5" customHeight="1">
      <c r="A357" s="18">
        <v>2545.0</v>
      </c>
      <c r="B357" s="18" t="s">
        <v>420</v>
      </c>
      <c r="C357" s="18" t="s">
        <v>921</v>
      </c>
      <c r="D357" s="18" t="s">
        <v>1276</v>
      </c>
      <c r="E357" s="18" t="s">
        <v>1277</v>
      </c>
      <c r="F357" s="18" t="s">
        <v>1278</v>
      </c>
      <c r="G357" s="18">
        <v>2.0</v>
      </c>
      <c r="H357" s="18" t="s">
        <v>46</v>
      </c>
    </row>
    <row r="358" ht="22.5" customHeight="1">
      <c r="A358" s="18">
        <v>2549.0</v>
      </c>
      <c r="B358" s="18" t="s">
        <v>420</v>
      </c>
      <c r="D358" s="18" t="s">
        <v>1279</v>
      </c>
      <c r="E358" s="18" t="s">
        <v>1279</v>
      </c>
      <c r="F358" s="18" t="s">
        <v>1280</v>
      </c>
      <c r="G358" s="18">
        <v>2.0</v>
      </c>
      <c r="H358" s="18" t="s">
        <v>46</v>
      </c>
    </row>
    <row r="359" ht="22.5" customHeight="1">
      <c r="A359" s="18">
        <v>2552.0</v>
      </c>
      <c r="B359" s="18" t="s">
        <v>420</v>
      </c>
      <c r="D359" s="18" t="s">
        <v>1281</v>
      </c>
      <c r="E359" s="18" t="s">
        <v>1281</v>
      </c>
      <c r="F359" s="18" t="s">
        <v>778</v>
      </c>
      <c r="G359" s="18">
        <v>2.0</v>
      </c>
      <c r="H359" s="18" t="s">
        <v>46</v>
      </c>
    </row>
    <row r="360" ht="22.5" customHeight="1">
      <c r="A360" s="18">
        <v>2554.0</v>
      </c>
      <c r="B360" s="18" t="s">
        <v>420</v>
      </c>
      <c r="D360" s="18" t="s">
        <v>1282</v>
      </c>
      <c r="E360" s="18" t="s">
        <v>1282</v>
      </c>
      <c r="F360" s="18" t="s">
        <v>1283</v>
      </c>
      <c r="G360" s="18">
        <v>2.0</v>
      </c>
      <c r="H360" s="18" t="s">
        <v>46</v>
      </c>
    </row>
    <row r="361" ht="22.5" customHeight="1">
      <c r="A361" s="18">
        <v>2555.0</v>
      </c>
      <c r="B361" s="18" t="s">
        <v>420</v>
      </c>
      <c r="C361" s="18" t="s">
        <v>1002</v>
      </c>
      <c r="D361" s="18" t="s">
        <v>1284</v>
      </c>
      <c r="E361" s="18" t="s">
        <v>1284</v>
      </c>
      <c r="F361" s="18" t="s">
        <v>1285</v>
      </c>
      <c r="G361" s="18">
        <v>2.0</v>
      </c>
      <c r="H361" s="18" t="s">
        <v>46</v>
      </c>
    </row>
    <row r="362" ht="22.5" customHeight="1">
      <c r="A362" s="18">
        <v>2561.0</v>
      </c>
      <c r="B362" s="18" t="s">
        <v>420</v>
      </c>
      <c r="D362" s="18" t="s">
        <v>1286</v>
      </c>
      <c r="E362" s="18" t="s">
        <v>1286</v>
      </c>
      <c r="F362" s="18" t="s">
        <v>1287</v>
      </c>
      <c r="G362" s="18">
        <v>2.0</v>
      </c>
      <c r="H362" s="18" t="s">
        <v>46</v>
      </c>
    </row>
    <row r="363" ht="22.5" customHeight="1">
      <c r="A363" s="18">
        <v>2566.0</v>
      </c>
      <c r="B363" s="18" t="s">
        <v>420</v>
      </c>
      <c r="C363" s="18" t="s">
        <v>901</v>
      </c>
      <c r="D363" s="18" t="s">
        <v>1288</v>
      </c>
      <c r="E363" s="18" t="s">
        <v>1288</v>
      </c>
      <c r="F363" s="18" t="s">
        <v>1289</v>
      </c>
      <c r="G363" s="18">
        <v>2.0</v>
      </c>
      <c r="H363" s="18" t="s">
        <v>46</v>
      </c>
    </row>
    <row r="364" ht="22.5" customHeight="1">
      <c r="A364" s="18">
        <v>2572.0</v>
      </c>
      <c r="B364" s="18" t="s">
        <v>420</v>
      </c>
      <c r="D364" s="18" t="s">
        <v>1290</v>
      </c>
      <c r="E364" s="18" t="s">
        <v>1291</v>
      </c>
      <c r="F364" s="18" t="s">
        <v>793</v>
      </c>
      <c r="G364" s="18">
        <v>2.0</v>
      </c>
      <c r="H364" s="18" t="s">
        <v>46</v>
      </c>
    </row>
    <row r="365" ht="22.5" customHeight="1">
      <c r="A365" s="18">
        <v>2599.0</v>
      </c>
      <c r="B365" s="18" t="s">
        <v>420</v>
      </c>
      <c r="C365" s="18" t="s">
        <v>1292</v>
      </c>
      <c r="D365" s="18" t="s">
        <v>1293</v>
      </c>
      <c r="E365" s="18" t="s">
        <v>1294</v>
      </c>
      <c r="F365" s="18" t="s">
        <v>1295</v>
      </c>
      <c r="G365" s="18">
        <v>2.0</v>
      </c>
      <c r="H365" s="18" t="s">
        <v>46</v>
      </c>
    </row>
    <row r="366" ht="22.5" customHeight="1">
      <c r="A366" s="18">
        <v>2600.0</v>
      </c>
      <c r="B366" s="18" t="s">
        <v>420</v>
      </c>
      <c r="C366" s="18" t="s">
        <v>976</v>
      </c>
      <c r="D366" s="18" t="s">
        <v>1296</v>
      </c>
      <c r="E366" s="18" t="s">
        <v>1296</v>
      </c>
      <c r="F366" s="18" t="s">
        <v>1297</v>
      </c>
      <c r="G366" s="18">
        <v>2.0</v>
      </c>
      <c r="H366" s="18" t="s">
        <v>46</v>
      </c>
    </row>
    <row r="367" ht="22.5" customHeight="1">
      <c r="A367" s="18">
        <v>2601.0</v>
      </c>
      <c r="B367" s="18" t="s">
        <v>420</v>
      </c>
      <c r="C367" s="18" t="s">
        <v>1183</v>
      </c>
      <c r="D367" s="18" t="s">
        <v>1298</v>
      </c>
      <c r="E367" s="18" t="s">
        <v>1298</v>
      </c>
      <c r="F367" s="18" t="s">
        <v>1299</v>
      </c>
      <c r="G367" s="18">
        <v>2.0</v>
      </c>
      <c r="H367" s="18" t="s">
        <v>46</v>
      </c>
    </row>
    <row r="368" ht="22.5" customHeight="1">
      <c r="A368" s="18">
        <v>2602.0</v>
      </c>
      <c r="B368" s="18" t="s">
        <v>420</v>
      </c>
      <c r="C368" s="18" t="s">
        <v>1183</v>
      </c>
      <c r="D368" s="18" t="s">
        <v>1300</v>
      </c>
      <c r="E368" s="18" t="s">
        <v>1300</v>
      </c>
      <c r="F368" s="18" t="s">
        <v>1301</v>
      </c>
      <c r="G368" s="18">
        <v>2.0</v>
      </c>
      <c r="H368" s="18" t="s">
        <v>46</v>
      </c>
    </row>
    <row r="369" ht="22.5" customHeight="1">
      <c r="A369" s="18">
        <v>2603.0</v>
      </c>
      <c r="B369" s="18" t="s">
        <v>420</v>
      </c>
      <c r="C369" s="18" t="s">
        <v>1183</v>
      </c>
      <c r="D369" s="18" t="s">
        <v>1302</v>
      </c>
      <c r="E369" s="18" t="s">
        <v>1302</v>
      </c>
      <c r="F369" s="18" t="s">
        <v>1303</v>
      </c>
      <c r="G369" s="18">
        <v>2.0</v>
      </c>
      <c r="H369" s="18" t="s">
        <v>46</v>
      </c>
    </row>
    <row r="370" ht="22.5" customHeight="1">
      <c r="A370" s="18">
        <v>2605.0</v>
      </c>
      <c r="B370" s="18" t="s">
        <v>420</v>
      </c>
      <c r="C370" s="18" t="s">
        <v>1304</v>
      </c>
      <c r="D370" s="18" t="s">
        <v>1305</v>
      </c>
      <c r="E370" s="18" t="s">
        <v>1306</v>
      </c>
      <c r="F370" s="18" t="s">
        <v>1307</v>
      </c>
      <c r="G370" s="18">
        <v>2.0</v>
      </c>
      <c r="H370" s="18" t="s">
        <v>46</v>
      </c>
    </row>
    <row r="371" ht="22.5" customHeight="1">
      <c r="A371" s="18">
        <v>2607.0</v>
      </c>
      <c r="B371" s="18" t="s">
        <v>420</v>
      </c>
      <c r="D371" s="18" t="s">
        <v>1308</v>
      </c>
      <c r="E371" s="18" t="s">
        <v>1308</v>
      </c>
      <c r="F371" s="18" t="s">
        <v>1309</v>
      </c>
      <c r="G371" s="18">
        <v>2.0</v>
      </c>
      <c r="H371" s="18" t="s">
        <v>46</v>
      </c>
    </row>
    <row r="372" ht="22.5" customHeight="1">
      <c r="A372" s="18">
        <v>2610.0</v>
      </c>
      <c r="B372" s="18" t="s">
        <v>420</v>
      </c>
      <c r="C372" s="18" t="s">
        <v>966</v>
      </c>
      <c r="D372" s="18" t="s">
        <v>1310</v>
      </c>
      <c r="E372" s="18" t="s">
        <v>1310</v>
      </c>
      <c r="F372" s="18" t="s">
        <v>1311</v>
      </c>
      <c r="G372" s="18">
        <v>2.0</v>
      </c>
      <c r="H372" s="18" t="s">
        <v>46</v>
      </c>
    </row>
    <row r="373" ht="22.5" customHeight="1">
      <c r="A373" s="18">
        <v>2612.0</v>
      </c>
      <c r="B373" s="18" t="s">
        <v>420</v>
      </c>
      <c r="C373" s="18" t="s">
        <v>979</v>
      </c>
      <c r="D373" s="18" t="s">
        <v>1312</v>
      </c>
      <c r="E373" s="18" t="s">
        <v>1312</v>
      </c>
      <c r="F373" s="18" t="s">
        <v>1313</v>
      </c>
      <c r="G373" s="18">
        <v>2.0</v>
      </c>
      <c r="H373" s="18" t="s">
        <v>46</v>
      </c>
    </row>
    <row r="374" ht="22.5" customHeight="1">
      <c r="A374" s="18">
        <v>2617.0</v>
      </c>
      <c r="B374" s="18" t="s">
        <v>420</v>
      </c>
      <c r="C374" s="18" t="s">
        <v>927</v>
      </c>
      <c r="D374" s="18" t="s">
        <v>1314</v>
      </c>
      <c r="E374" s="18" t="s">
        <v>1314</v>
      </c>
      <c r="F374" s="18" t="s">
        <v>1315</v>
      </c>
      <c r="G374" s="18">
        <v>2.0</v>
      </c>
      <c r="H374" s="18" t="s">
        <v>46</v>
      </c>
    </row>
    <row r="375" ht="22.5" customHeight="1">
      <c r="A375" s="18">
        <v>2618.0</v>
      </c>
      <c r="B375" s="18" t="s">
        <v>420</v>
      </c>
      <c r="C375" s="18" t="s">
        <v>1316</v>
      </c>
      <c r="D375" s="18" t="s">
        <v>1317</v>
      </c>
      <c r="E375" s="18" t="s">
        <v>1317</v>
      </c>
      <c r="F375" s="18" t="s">
        <v>1318</v>
      </c>
      <c r="G375" s="18">
        <v>2.0</v>
      </c>
      <c r="H375" s="18" t="s">
        <v>46</v>
      </c>
    </row>
    <row r="376" ht="22.5" customHeight="1">
      <c r="A376" s="18">
        <v>2621.0</v>
      </c>
      <c r="B376" s="18" t="s">
        <v>420</v>
      </c>
      <c r="D376" s="18" t="s">
        <v>1319</v>
      </c>
      <c r="E376" s="18" t="s">
        <v>1319</v>
      </c>
      <c r="F376" s="18" t="s">
        <v>1320</v>
      </c>
      <c r="G376" s="18">
        <v>2.0</v>
      </c>
      <c r="H376" s="18" t="s">
        <v>46</v>
      </c>
    </row>
    <row r="377" ht="22.5" customHeight="1">
      <c r="A377" s="18">
        <v>2638.0</v>
      </c>
      <c r="B377" s="18" t="s">
        <v>420</v>
      </c>
      <c r="D377" s="18" t="s">
        <v>1321</v>
      </c>
      <c r="E377" s="18" t="s">
        <v>1321</v>
      </c>
      <c r="F377" s="18" t="s">
        <v>1322</v>
      </c>
      <c r="G377" s="18">
        <v>2.0</v>
      </c>
      <c r="H377" s="18" t="s">
        <v>46</v>
      </c>
    </row>
    <row r="378" ht="22.5" customHeight="1">
      <c r="A378" s="18">
        <v>2640.0</v>
      </c>
      <c r="B378" s="18" t="s">
        <v>420</v>
      </c>
      <c r="C378" s="18" t="s">
        <v>966</v>
      </c>
      <c r="D378" s="18" t="s">
        <v>1323</v>
      </c>
      <c r="E378" s="18" t="s">
        <v>1323</v>
      </c>
      <c r="F378" s="18" t="s">
        <v>1324</v>
      </c>
      <c r="G378" s="18">
        <v>2.0</v>
      </c>
      <c r="H378" s="18" t="s">
        <v>46</v>
      </c>
    </row>
    <row r="379" ht="22.5" customHeight="1">
      <c r="A379" s="18">
        <v>2642.0</v>
      </c>
      <c r="B379" s="18" t="s">
        <v>420</v>
      </c>
      <c r="C379" s="18" t="s">
        <v>1108</v>
      </c>
      <c r="D379" s="18" t="s">
        <v>1325</v>
      </c>
      <c r="E379" s="18" t="s">
        <v>1325</v>
      </c>
      <c r="F379" s="18" t="s">
        <v>1326</v>
      </c>
      <c r="G379" s="18">
        <v>2.0</v>
      </c>
      <c r="H379" s="18" t="s">
        <v>46</v>
      </c>
    </row>
    <row r="380" ht="22.5" customHeight="1">
      <c r="A380" s="18">
        <v>2646.0</v>
      </c>
      <c r="B380" s="18" t="s">
        <v>420</v>
      </c>
      <c r="D380" s="18" t="s">
        <v>1327</v>
      </c>
      <c r="E380" s="18" t="s">
        <v>1327</v>
      </c>
      <c r="F380" s="18" t="s">
        <v>1328</v>
      </c>
      <c r="G380" s="18">
        <v>2.0</v>
      </c>
      <c r="H380" s="18" t="s">
        <v>46</v>
      </c>
    </row>
    <row r="381" ht="22.5" customHeight="1">
      <c r="A381" s="18">
        <v>2651.0</v>
      </c>
      <c r="B381" s="18" t="s">
        <v>420</v>
      </c>
      <c r="C381" s="18" t="s">
        <v>1002</v>
      </c>
      <c r="D381" s="18" t="s">
        <v>1329</v>
      </c>
      <c r="E381" s="18" t="s">
        <v>1329</v>
      </c>
      <c r="F381" s="18" t="s">
        <v>1330</v>
      </c>
      <c r="G381" s="18">
        <v>2.0</v>
      </c>
      <c r="H381" s="18" t="s">
        <v>46</v>
      </c>
    </row>
    <row r="382" ht="22.5" customHeight="1">
      <c r="A382" s="18">
        <v>2652.0</v>
      </c>
      <c r="B382" s="18" t="s">
        <v>420</v>
      </c>
      <c r="C382" s="18" t="s">
        <v>1002</v>
      </c>
      <c r="D382" s="18" t="s">
        <v>1331</v>
      </c>
      <c r="E382" s="18" t="s">
        <v>1331</v>
      </c>
      <c r="F382" s="18" t="s">
        <v>1332</v>
      </c>
      <c r="G382" s="18">
        <v>2.0</v>
      </c>
      <c r="H382" s="18" t="s">
        <v>46</v>
      </c>
    </row>
    <row r="383" ht="22.5" customHeight="1">
      <c r="A383" s="18">
        <v>2655.0</v>
      </c>
      <c r="B383" s="18" t="s">
        <v>420</v>
      </c>
      <c r="C383" s="18" t="s">
        <v>1079</v>
      </c>
      <c r="D383" s="18" t="s">
        <v>1333</v>
      </c>
      <c r="E383" s="18" t="s">
        <v>1333</v>
      </c>
      <c r="F383" s="18" t="s">
        <v>1334</v>
      </c>
      <c r="G383" s="18">
        <v>2.0</v>
      </c>
      <c r="H383" s="18" t="s">
        <v>46</v>
      </c>
    </row>
    <row r="384" ht="22.5" customHeight="1">
      <c r="A384" s="18">
        <v>2656.0</v>
      </c>
      <c r="B384" s="18" t="s">
        <v>420</v>
      </c>
      <c r="C384" s="18" t="s">
        <v>1002</v>
      </c>
      <c r="D384" s="18" t="s">
        <v>1335</v>
      </c>
      <c r="E384" s="18" t="s">
        <v>1335</v>
      </c>
      <c r="F384" s="18" t="s">
        <v>1336</v>
      </c>
      <c r="G384" s="18">
        <v>2.0</v>
      </c>
      <c r="H384" s="18" t="s">
        <v>46</v>
      </c>
    </row>
    <row r="385" ht="22.5" customHeight="1">
      <c r="A385" s="18">
        <v>2657.0</v>
      </c>
      <c r="B385" s="18" t="s">
        <v>420</v>
      </c>
      <c r="C385" s="18" t="s">
        <v>1079</v>
      </c>
      <c r="D385" s="18" t="s">
        <v>1337</v>
      </c>
      <c r="E385" s="18" t="s">
        <v>1338</v>
      </c>
      <c r="F385" s="18" t="s">
        <v>1339</v>
      </c>
      <c r="G385" s="18">
        <v>2.0</v>
      </c>
      <c r="H385" s="18" t="s">
        <v>46</v>
      </c>
    </row>
    <row r="386" ht="22.5" customHeight="1">
      <c r="A386" s="18">
        <v>2658.0</v>
      </c>
      <c r="B386" s="18" t="s">
        <v>420</v>
      </c>
      <c r="C386" s="18" t="s">
        <v>1002</v>
      </c>
      <c r="D386" s="18" t="s">
        <v>1340</v>
      </c>
      <c r="E386" s="18" t="s">
        <v>1341</v>
      </c>
      <c r="F386" s="18" t="s">
        <v>1342</v>
      </c>
      <c r="G386" s="18">
        <v>2.0</v>
      </c>
      <c r="H386" s="18" t="s">
        <v>46</v>
      </c>
    </row>
    <row r="387" ht="22.5" customHeight="1">
      <c r="A387" s="18">
        <v>2659.0</v>
      </c>
      <c r="B387" s="18" t="s">
        <v>420</v>
      </c>
      <c r="C387" s="18" t="s">
        <v>1079</v>
      </c>
      <c r="D387" s="18" t="s">
        <v>1343</v>
      </c>
      <c r="E387" s="18" t="s">
        <v>1344</v>
      </c>
      <c r="F387" s="18" t="s">
        <v>1345</v>
      </c>
      <c r="G387" s="18">
        <v>2.0</v>
      </c>
      <c r="H387" s="18" t="s">
        <v>46</v>
      </c>
    </row>
    <row r="388" ht="22.5" customHeight="1">
      <c r="A388" s="18">
        <v>2660.0</v>
      </c>
      <c r="B388" s="18" t="s">
        <v>420</v>
      </c>
      <c r="C388" s="18" t="s">
        <v>1079</v>
      </c>
      <c r="D388" s="18" t="s">
        <v>1346</v>
      </c>
      <c r="E388" s="18" t="s">
        <v>1344</v>
      </c>
      <c r="F388" s="18" t="s">
        <v>1347</v>
      </c>
      <c r="G388" s="18">
        <v>2.0</v>
      </c>
      <c r="H388" s="18" t="s">
        <v>46</v>
      </c>
    </row>
    <row r="389" ht="22.5" customHeight="1">
      <c r="A389" s="18">
        <v>2661.0</v>
      </c>
      <c r="B389" s="18" t="s">
        <v>420</v>
      </c>
      <c r="C389" s="18" t="s">
        <v>1002</v>
      </c>
      <c r="D389" s="18" t="s">
        <v>1348</v>
      </c>
      <c r="E389" s="18" t="s">
        <v>1348</v>
      </c>
      <c r="F389" s="18" t="s">
        <v>1349</v>
      </c>
      <c r="G389" s="18">
        <v>2.0</v>
      </c>
      <c r="H389" s="18" t="s">
        <v>46</v>
      </c>
    </row>
    <row r="390" ht="22.5" customHeight="1">
      <c r="A390" s="18">
        <v>2663.0</v>
      </c>
      <c r="B390" s="18" t="s">
        <v>420</v>
      </c>
      <c r="C390" s="18" t="s">
        <v>1002</v>
      </c>
      <c r="D390" s="18" t="s">
        <v>1350</v>
      </c>
      <c r="E390" s="18" t="s">
        <v>1351</v>
      </c>
      <c r="F390" s="18" t="s">
        <v>1352</v>
      </c>
      <c r="G390" s="18">
        <v>2.0</v>
      </c>
      <c r="H390" s="18" t="s">
        <v>46</v>
      </c>
    </row>
    <row r="391" ht="22.5" customHeight="1">
      <c r="A391" s="18">
        <v>2664.0</v>
      </c>
      <c r="B391" s="18" t="s">
        <v>420</v>
      </c>
      <c r="C391" s="18" t="s">
        <v>1082</v>
      </c>
      <c r="D391" s="18" t="s">
        <v>1353</v>
      </c>
      <c r="E391" s="18" t="s">
        <v>1353</v>
      </c>
      <c r="F391" s="18" t="s">
        <v>1354</v>
      </c>
      <c r="G391" s="18">
        <v>2.0</v>
      </c>
      <c r="H391" s="18" t="s">
        <v>46</v>
      </c>
    </row>
    <row r="392" ht="22.5" customHeight="1">
      <c r="A392" s="18">
        <v>2665.0</v>
      </c>
      <c r="B392" s="18" t="s">
        <v>420</v>
      </c>
      <c r="C392" s="18" t="s">
        <v>1082</v>
      </c>
      <c r="D392" s="18" t="s">
        <v>1355</v>
      </c>
      <c r="E392" s="18" t="s">
        <v>1355</v>
      </c>
      <c r="F392" s="18" t="s">
        <v>1356</v>
      </c>
      <c r="G392" s="18">
        <v>2.0</v>
      </c>
      <c r="H392" s="18" t="s">
        <v>46</v>
      </c>
    </row>
    <row r="393" ht="22.5" customHeight="1">
      <c r="A393" s="18">
        <v>2666.0</v>
      </c>
      <c r="B393" s="18" t="s">
        <v>420</v>
      </c>
      <c r="C393" s="18" t="s">
        <v>1139</v>
      </c>
      <c r="D393" s="18" t="s">
        <v>1357</v>
      </c>
      <c r="E393" s="18" t="s">
        <v>1357</v>
      </c>
      <c r="F393" s="18" t="s">
        <v>1358</v>
      </c>
      <c r="G393" s="18">
        <v>2.0</v>
      </c>
      <c r="H393" s="18" t="s">
        <v>46</v>
      </c>
    </row>
    <row r="394" ht="22.5" customHeight="1">
      <c r="A394" s="18">
        <v>2667.0</v>
      </c>
      <c r="B394" s="18" t="s">
        <v>420</v>
      </c>
      <c r="C394" s="18" t="s">
        <v>1139</v>
      </c>
      <c r="D394" s="18" t="s">
        <v>1359</v>
      </c>
      <c r="E394" s="18" t="s">
        <v>1360</v>
      </c>
      <c r="F394" s="18" t="s">
        <v>1361</v>
      </c>
      <c r="G394" s="18">
        <v>2.0</v>
      </c>
      <c r="H394" s="18" t="s">
        <v>46</v>
      </c>
    </row>
    <row r="395" ht="22.5" customHeight="1">
      <c r="A395" s="18">
        <v>2668.0</v>
      </c>
      <c r="B395" s="18" t="s">
        <v>420</v>
      </c>
      <c r="C395" s="18" t="s">
        <v>1108</v>
      </c>
      <c r="D395" s="18" t="s">
        <v>1362</v>
      </c>
      <c r="E395" s="18" t="s">
        <v>1362</v>
      </c>
      <c r="F395" s="18" t="s">
        <v>1363</v>
      </c>
      <c r="G395" s="18">
        <v>2.0</v>
      </c>
      <c r="H395" s="18" t="s">
        <v>46</v>
      </c>
    </row>
    <row r="396" ht="22.5" customHeight="1">
      <c r="A396" s="18">
        <v>2669.0</v>
      </c>
      <c r="B396" s="18" t="s">
        <v>420</v>
      </c>
      <c r="C396" s="18" t="s">
        <v>1108</v>
      </c>
      <c r="D396" s="18" t="s">
        <v>1364</v>
      </c>
      <c r="E396" s="18" t="s">
        <v>1365</v>
      </c>
      <c r="F396" s="18" t="s">
        <v>1366</v>
      </c>
      <c r="G396" s="18">
        <v>2.0</v>
      </c>
      <c r="H396" s="18" t="s">
        <v>46</v>
      </c>
    </row>
    <row r="397" ht="22.5" customHeight="1">
      <c r="A397" s="18">
        <v>2670.0</v>
      </c>
      <c r="B397" s="18" t="s">
        <v>420</v>
      </c>
      <c r="C397" s="18" t="s">
        <v>1108</v>
      </c>
      <c r="D397" s="18" t="s">
        <v>1367</v>
      </c>
      <c r="E397" s="18" t="s">
        <v>1367</v>
      </c>
      <c r="F397" s="18" t="s">
        <v>1368</v>
      </c>
      <c r="G397" s="18">
        <v>2.0</v>
      </c>
      <c r="H397" s="18" t="s">
        <v>46</v>
      </c>
    </row>
    <row r="398" ht="22.5" customHeight="1">
      <c r="A398" s="18">
        <v>2671.0</v>
      </c>
      <c r="B398" s="18" t="s">
        <v>420</v>
      </c>
      <c r="C398" s="18" t="s">
        <v>1108</v>
      </c>
      <c r="D398" s="18" t="s">
        <v>1369</v>
      </c>
      <c r="E398" s="18" t="s">
        <v>1369</v>
      </c>
      <c r="F398" s="18" t="s">
        <v>1370</v>
      </c>
      <c r="G398" s="18">
        <v>2.0</v>
      </c>
      <c r="H398" s="18" t="s">
        <v>46</v>
      </c>
    </row>
    <row r="399" ht="22.5" customHeight="1">
      <c r="A399" s="18">
        <v>2672.0</v>
      </c>
      <c r="B399" s="18" t="s">
        <v>420</v>
      </c>
      <c r="C399" s="18" t="s">
        <v>1108</v>
      </c>
      <c r="D399" s="18" t="s">
        <v>1371</v>
      </c>
      <c r="E399" s="18" t="s">
        <v>1372</v>
      </c>
      <c r="F399" s="18" t="s">
        <v>1373</v>
      </c>
      <c r="G399" s="18">
        <v>2.0</v>
      </c>
      <c r="H399" s="18" t="s">
        <v>46</v>
      </c>
    </row>
    <row r="400" ht="22.5" customHeight="1">
      <c r="A400" s="18">
        <v>2673.0</v>
      </c>
      <c r="B400" s="18" t="s">
        <v>420</v>
      </c>
      <c r="D400" s="18" t="s">
        <v>1374</v>
      </c>
      <c r="E400" s="18" t="s">
        <v>1374</v>
      </c>
      <c r="F400" s="18" t="s">
        <v>1375</v>
      </c>
      <c r="G400" s="18">
        <v>2.0</v>
      </c>
      <c r="H400" s="18" t="s">
        <v>46</v>
      </c>
    </row>
    <row r="401" ht="22.5" customHeight="1">
      <c r="A401" s="18">
        <v>2674.0</v>
      </c>
      <c r="B401" s="18" t="s">
        <v>420</v>
      </c>
      <c r="D401" s="18" t="s">
        <v>1376</v>
      </c>
      <c r="E401" s="18" t="s">
        <v>1376</v>
      </c>
      <c r="F401" s="18" t="s">
        <v>1377</v>
      </c>
      <c r="G401" s="18">
        <v>2.0</v>
      </c>
      <c r="H401" s="18" t="s">
        <v>46</v>
      </c>
    </row>
    <row r="402" ht="22.5" customHeight="1">
      <c r="A402" s="18">
        <v>2692.0</v>
      </c>
      <c r="B402" s="18" t="s">
        <v>420</v>
      </c>
      <c r="D402" s="18" t="s">
        <v>1378</v>
      </c>
      <c r="E402" s="18" t="s">
        <v>1378</v>
      </c>
      <c r="F402" s="18" t="s">
        <v>1379</v>
      </c>
      <c r="G402" s="18">
        <v>2.0</v>
      </c>
      <c r="H402" s="18" t="s">
        <v>46</v>
      </c>
    </row>
    <row r="403" ht="22.5" customHeight="1">
      <c r="A403" s="18">
        <v>2693.0</v>
      </c>
      <c r="B403" s="18" t="s">
        <v>420</v>
      </c>
      <c r="D403" s="18" t="s">
        <v>1380</v>
      </c>
      <c r="E403" s="18" t="s">
        <v>1380</v>
      </c>
      <c r="F403" s="18" t="s">
        <v>1381</v>
      </c>
      <c r="G403" s="18">
        <v>2.0</v>
      </c>
      <c r="H403" s="18" t="s">
        <v>46</v>
      </c>
    </row>
    <row r="404" ht="22.5" customHeight="1">
      <c r="A404" s="18">
        <v>2694.0</v>
      </c>
      <c r="B404" s="18" t="s">
        <v>420</v>
      </c>
      <c r="D404" s="18" t="s">
        <v>1382</v>
      </c>
      <c r="E404" s="18" t="s">
        <v>1382</v>
      </c>
      <c r="F404" s="18" t="s">
        <v>1383</v>
      </c>
      <c r="G404" s="18">
        <v>2.0</v>
      </c>
      <c r="H404" s="18" t="s">
        <v>46</v>
      </c>
    </row>
    <row r="405" ht="22.5" customHeight="1">
      <c r="A405" s="18">
        <v>2695.0</v>
      </c>
      <c r="B405" s="18" t="s">
        <v>420</v>
      </c>
      <c r="D405" s="18" t="s">
        <v>1384</v>
      </c>
      <c r="E405" s="18" t="s">
        <v>1384</v>
      </c>
      <c r="F405" s="18" t="s">
        <v>1385</v>
      </c>
      <c r="G405" s="18">
        <v>2.0</v>
      </c>
      <c r="H405" s="18" t="s">
        <v>46</v>
      </c>
    </row>
    <row r="406" ht="22.5" customHeight="1">
      <c r="A406" s="18">
        <v>2696.0</v>
      </c>
      <c r="B406" s="18" t="s">
        <v>420</v>
      </c>
      <c r="C406" s="18" t="s">
        <v>976</v>
      </c>
      <c r="D406" s="18" t="s">
        <v>1386</v>
      </c>
      <c r="E406" s="18" t="s">
        <v>1386</v>
      </c>
      <c r="F406" s="18" t="s">
        <v>1387</v>
      </c>
      <c r="G406" s="18">
        <v>2.0</v>
      </c>
      <c r="H406" s="18" t="s">
        <v>46</v>
      </c>
    </row>
    <row r="407" ht="22.5" customHeight="1">
      <c r="A407" s="18">
        <v>2697.0</v>
      </c>
      <c r="B407" s="18" t="s">
        <v>420</v>
      </c>
      <c r="C407" s="18" t="s">
        <v>976</v>
      </c>
      <c r="D407" s="18" t="s">
        <v>1388</v>
      </c>
      <c r="E407" s="18" t="s">
        <v>1388</v>
      </c>
      <c r="F407" s="18" t="s">
        <v>1389</v>
      </c>
      <c r="G407" s="18">
        <v>2.0</v>
      </c>
      <c r="H407" s="18" t="s">
        <v>46</v>
      </c>
    </row>
    <row r="408" ht="22.5" customHeight="1">
      <c r="A408" s="18">
        <v>2698.0</v>
      </c>
      <c r="B408" s="18" t="s">
        <v>420</v>
      </c>
      <c r="D408" s="18" t="s">
        <v>1390</v>
      </c>
      <c r="E408" s="18" t="s">
        <v>1390</v>
      </c>
      <c r="F408" s="18" t="s">
        <v>1391</v>
      </c>
      <c r="G408" s="18">
        <v>2.0</v>
      </c>
      <c r="H408" s="18" t="s">
        <v>46</v>
      </c>
    </row>
    <row r="409" ht="22.5" customHeight="1">
      <c r="A409" s="18">
        <v>2699.0</v>
      </c>
      <c r="B409" s="18" t="s">
        <v>420</v>
      </c>
      <c r="D409" s="18" t="s">
        <v>1392</v>
      </c>
      <c r="E409" s="18" t="s">
        <v>1392</v>
      </c>
      <c r="F409" s="18" t="s">
        <v>1393</v>
      </c>
      <c r="G409" s="18">
        <v>2.0</v>
      </c>
      <c r="H409" s="18" t="s">
        <v>46</v>
      </c>
    </row>
    <row r="410" ht="22.5" customHeight="1">
      <c r="A410" s="18">
        <v>2700.0</v>
      </c>
      <c r="B410" s="18" t="s">
        <v>420</v>
      </c>
      <c r="C410" s="18" t="s">
        <v>904</v>
      </c>
      <c r="D410" s="18" t="s">
        <v>1394</v>
      </c>
      <c r="E410" s="18" t="s">
        <v>1394</v>
      </c>
      <c r="F410" s="18" t="s">
        <v>1395</v>
      </c>
      <c r="G410" s="18">
        <v>2.0</v>
      </c>
      <c r="H410" s="18" t="s">
        <v>46</v>
      </c>
    </row>
    <row r="411" ht="22.5" customHeight="1">
      <c r="A411" s="18">
        <v>2702.0</v>
      </c>
      <c r="B411" s="18" t="s">
        <v>420</v>
      </c>
      <c r="C411" s="18" t="s">
        <v>930</v>
      </c>
      <c r="D411" s="18" t="s">
        <v>1396</v>
      </c>
      <c r="E411" s="18" t="s">
        <v>1396</v>
      </c>
      <c r="F411" s="18" t="s">
        <v>1397</v>
      </c>
      <c r="G411" s="18">
        <v>2.0</v>
      </c>
      <c r="H411" s="18" t="s">
        <v>46</v>
      </c>
    </row>
    <row r="412" ht="22.5" customHeight="1">
      <c r="A412" s="18">
        <v>2703.0</v>
      </c>
      <c r="B412" s="18" t="s">
        <v>420</v>
      </c>
      <c r="C412" s="18" t="s">
        <v>930</v>
      </c>
      <c r="D412" s="18" t="s">
        <v>1398</v>
      </c>
      <c r="E412" s="18" t="s">
        <v>1398</v>
      </c>
      <c r="F412" s="18" t="s">
        <v>1399</v>
      </c>
      <c r="G412" s="18">
        <v>2.0</v>
      </c>
      <c r="H412" s="18" t="s">
        <v>46</v>
      </c>
    </row>
    <row r="413" ht="22.5" customHeight="1">
      <c r="A413" s="18">
        <v>2704.0</v>
      </c>
      <c r="B413" s="18" t="s">
        <v>420</v>
      </c>
      <c r="C413" s="18" t="s">
        <v>1108</v>
      </c>
      <c r="D413" s="18" t="s">
        <v>1400</v>
      </c>
      <c r="E413" s="18" t="s">
        <v>1400</v>
      </c>
      <c r="F413" s="18" t="s">
        <v>1401</v>
      </c>
      <c r="G413" s="18">
        <v>2.0</v>
      </c>
      <c r="H413" s="18" t="s">
        <v>46</v>
      </c>
    </row>
    <row r="414" ht="22.5" customHeight="1">
      <c r="A414" s="18">
        <v>2705.0</v>
      </c>
      <c r="B414" s="18" t="s">
        <v>420</v>
      </c>
      <c r="C414" s="18" t="s">
        <v>1108</v>
      </c>
      <c r="D414" s="18" t="s">
        <v>1402</v>
      </c>
      <c r="E414" s="18" t="s">
        <v>1402</v>
      </c>
      <c r="F414" s="18" t="s">
        <v>1403</v>
      </c>
      <c r="G414" s="18">
        <v>2.0</v>
      </c>
      <c r="H414" s="18" t="s">
        <v>46</v>
      </c>
    </row>
    <row r="415" ht="22.5" customHeight="1">
      <c r="A415" s="18">
        <v>2713.0</v>
      </c>
      <c r="B415" s="18" t="s">
        <v>420</v>
      </c>
      <c r="D415" s="18" t="s">
        <v>1404</v>
      </c>
      <c r="E415" s="18" t="s">
        <v>1404</v>
      </c>
      <c r="F415" s="18" t="s">
        <v>1405</v>
      </c>
      <c r="G415" s="18">
        <v>2.0</v>
      </c>
      <c r="H415" s="18" t="s">
        <v>46</v>
      </c>
    </row>
    <row r="416" ht="22.5" customHeight="1">
      <c r="A416" s="18">
        <v>2721.0</v>
      </c>
      <c r="B416" s="18" t="s">
        <v>420</v>
      </c>
      <c r="C416" s="18" t="s">
        <v>927</v>
      </c>
      <c r="D416" s="18" t="s">
        <v>1406</v>
      </c>
      <c r="E416" s="18" t="s">
        <v>1406</v>
      </c>
      <c r="F416" s="18" t="s">
        <v>1407</v>
      </c>
      <c r="G416" s="18">
        <v>2.0</v>
      </c>
      <c r="H416" s="18" t="s">
        <v>46</v>
      </c>
    </row>
    <row r="417" ht="22.5" customHeight="1">
      <c r="A417" s="18">
        <v>2722.0</v>
      </c>
      <c r="B417" s="18" t="s">
        <v>420</v>
      </c>
      <c r="C417" s="18" t="s">
        <v>1079</v>
      </c>
      <c r="D417" s="18" t="s">
        <v>1408</v>
      </c>
      <c r="E417" s="18" t="s">
        <v>1408</v>
      </c>
      <c r="F417" s="18" t="s">
        <v>1409</v>
      </c>
      <c r="G417" s="18">
        <v>2.0</v>
      </c>
      <c r="H417" s="18" t="s">
        <v>46</v>
      </c>
    </row>
    <row r="418" ht="22.5" customHeight="1">
      <c r="A418" s="18">
        <v>2723.0</v>
      </c>
      <c r="B418" s="18" t="s">
        <v>420</v>
      </c>
      <c r="C418" s="18" t="s">
        <v>1002</v>
      </c>
      <c r="D418" s="18" t="s">
        <v>1410</v>
      </c>
      <c r="E418" s="18" t="s">
        <v>1410</v>
      </c>
      <c r="F418" s="18" t="s">
        <v>1411</v>
      </c>
      <c r="G418" s="18">
        <v>2.0</v>
      </c>
      <c r="H418" s="18" t="s">
        <v>46</v>
      </c>
    </row>
    <row r="419" ht="22.5" customHeight="1">
      <c r="A419" s="18">
        <v>2724.0</v>
      </c>
      <c r="B419" s="18" t="s">
        <v>420</v>
      </c>
      <c r="C419" s="18" t="s">
        <v>1108</v>
      </c>
      <c r="D419" s="18" t="s">
        <v>1412</v>
      </c>
      <c r="E419" s="18" t="s">
        <v>1412</v>
      </c>
      <c r="F419" s="18" t="s">
        <v>1413</v>
      </c>
      <c r="G419" s="18">
        <v>2.0</v>
      </c>
      <c r="H419" s="18" t="s">
        <v>46</v>
      </c>
    </row>
    <row r="420" ht="22.5" customHeight="1">
      <c r="A420" s="18">
        <v>2725.0</v>
      </c>
      <c r="B420" s="18" t="s">
        <v>420</v>
      </c>
      <c r="D420" s="18" t="s">
        <v>1414</v>
      </c>
      <c r="E420" s="18" t="s">
        <v>1414</v>
      </c>
      <c r="F420" s="18" t="s">
        <v>1415</v>
      </c>
      <c r="G420" s="18">
        <v>2.0</v>
      </c>
      <c r="H420" s="18" t="s">
        <v>46</v>
      </c>
    </row>
    <row r="421" ht="22.5" customHeight="1">
      <c r="A421" s="18">
        <v>2726.0</v>
      </c>
      <c r="B421" s="18" t="s">
        <v>420</v>
      </c>
      <c r="C421" s="18" t="s">
        <v>1108</v>
      </c>
      <c r="D421" s="18" t="s">
        <v>1416</v>
      </c>
      <c r="E421" s="18" t="s">
        <v>1416</v>
      </c>
      <c r="F421" s="18" t="s">
        <v>1417</v>
      </c>
      <c r="G421" s="18">
        <v>2.0</v>
      </c>
      <c r="H421" s="18" t="s">
        <v>46</v>
      </c>
    </row>
    <row r="422" ht="22.5" customHeight="1">
      <c r="A422" s="18">
        <v>2727.0</v>
      </c>
      <c r="B422" s="18" t="s">
        <v>420</v>
      </c>
      <c r="C422" s="18" t="s">
        <v>1108</v>
      </c>
      <c r="D422" s="18" t="s">
        <v>1418</v>
      </c>
      <c r="E422" s="18" t="s">
        <v>1418</v>
      </c>
      <c r="F422" s="18" t="s">
        <v>1419</v>
      </c>
      <c r="G422" s="18">
        <v>2.0</v>
      </c>
      <c r="H422" s="18" t="s">
        <v>46</v>
      </c>
    </row>
    <row r="423" ht="22.5" customHeight="1">
      <c r="A423" s="18">
        <v>2728.0</v>
      </c>
      <c r="B423" s="18" t="s">
        <v>420</v>
      </c>
      <c r="C423" s="18" t="s">
        <v>1108</v>
      </c>
      <c r="D423" s="18" t="s">
        <v>1420</v>
      </c>
      <c r="E423" s="18" t="s">
        <v>1420</v>
      </c>
      <c r="F423" s="18" t="s">
        <v>1421</v>
      </c>
      <c r="G423" s="18">
        <v>2.0</v>
      </c>
      <c r="H423" s="18" t="s">
        <v>46</v>
      </c>
    </row>
    <row r="424" ht="22.5" customHeight="1">
      <c r="A424" s="18">
        <v>2729.0</v>
      </c>
      <c r="B424" s="18" t="s">
        <v>420</v>
      </c>
      <c r="C424" s="18" t="s">
        <v>1079</v>
      </c>
      <c r="D424" s="18" t="s">
        <v>1422</v>
      </c>
      <c r="E424" s="18" t="s">
        <v>1422</v>
      </c>
      <c r="F424" s="18" t="s">
        <v>1423</v>
      </c>
      <c r="G424" s="18">
        <v>2.0</v>
      </c>
      <c r="H424" s="18" t="s">
        <v>46</v>
      </c>
    </row>
    <row r="425" ht="22.5" customHeight="1">
      <c r="A425" s="18">
        <v>2730.0</v>
      </c>
      <c r="B425" s="18" t="s">
        <v>420</v>
      </c>
      <c r="C425" s="18" t="s">
        <v>1082</v>
      </c>
      <c r="D425" s="18" t="s">
        <v>1424</v>
      </c>
      <c r="E425" s="18" t="s">
        <v>1424</v>
      </c>
      <c r="F425" s="18" t="s">
        <v>1425</v>
      </c>
      <c r="G425" s="18">
        <v>2.0</v>
      </c>
      <c r="H425" s="18" t="s">
        <v>46</v>
      </c>
    </row>
    <row r="426" ht="22.5" customHeight="1">
      <c r="A426" s="18">
        <v>2732.0</v>
      </c>
      <c r="B426" s="18" t="s">
        <v>420</v>
      </c>
      <c r="C426" s="18" t="s">
        <v>1002</v>
      </c>
      <c r="D426" s="18" t="s">
        <v>1426</v>
      </c>
      <c r="E426" s="18" t="s">
        <v>1426</v>
      </c>
      <c r="F426" s="18" t="s">
        <v>1427</v>
      </c>
      <c r="G426" s="18">
        <v>2.0</v>
      </c>
      <c r="H426" s="18" t="s">
        <v>46</v>
      </c>
    </row>
    <row r="427" ht="22.5" customHeight="1">
      <c r="A427" s="18">
        <v>2735.0</v>
      </c>
      <c r="B427" s="18" t="s">
        <v>420</v>
      </c>
      <c r="C427" s="18" t="s">
        <v>979</v>
      </c>
      <c r="D427" s="18" t="s">
        <v>1428</v>
      </c>
      <c r="E427" s="18" t="s">
        <v>1428</v>
      </c>
      <c r="F427" s="18" t="s">
        <v>1429</v>
      </c>
      <c r="G427" s="18">
        <v>2.0</v>
      </c>
      <c r="H427" s="18" t="s">
        <v>46</v>
      </c>
    </row>
    <row r="428" ht="22.5" customHeight="1">
      <c r="A428" s="18">
        <v>2736.0</v>
      </c>
      <c r="B428" s="18" t="s">
        <v>420</v>
      </c>
      <c r="C428" s="18" t="s">
        <v>979</v>
      </c>
      <c r="D428" s="18" t="s">
        <v>1430</v>
      </c>
      <c r="E428" s="18" t="s">
        <v>1431</v>
      </c>
      <c r="F428" s="18" t="s">
        <v>1432</v>
      </c>
      <c r="G428" s="18">
        <v>2.0</v>
      </c>
      <c r="H428" s="18" t="s">
        <v>46</v>
      </c>
    </row>
    <row r="429" ht="22.5" customHeight="1">
      <c r="A429" s="18">
        <v>2744.0</v>
      </c>
      <c r="B429" s="18" t="s">
        <v>420</v>
      </c>
      <c r="D429" s="18" t="s">
        <v>1433</v>
      </c>
      <c r="E429" s="18" t="s">
        <v>1433</v>
      </c>
      <c r="F429" s="18" t="s">
        <v>1434</v>
      </c>
      <c r="G429" s="18">
        <v>2.0</v>
      </c>
      <c r="H429" s="18" t="s">
        <v>46</v>
      </c>
    </row>
    <row r="430" ht="22.5" customHeight="1">
      <c r="A430" s="18">
        <v>2748.0</v>
      </c>
      <c r="B430" s="18" t="s">
        <v>420</v>
      </c>
      <c r="D430" s="18" t="s">
        <v>1435</v>
      </c>
      <c r="E430" s="18" t="s">
        <v>1435</v>
      </c>
      <c r="F430" s="18" t="s">
        <v>1436</v>
      </c>
      <c r="G430" s="18">
        <v>2.0</v>
      </c>
      <c r="H430" s="18" t="s">
        <v>46</v>
      </c>
    </row>
    <row r="431" ht="22.5" customHeight="1">
      <c r="A431" s="18">
        <v>2770.0</v>
      </c>
      <c r="B431" s="18" t="s">
        <v>420</v>
      </c>
      <c r="C431" s="18" t="s">
        <v>1082</v>
      </c>
      <c r="D431" s="18" t="s">
        <v>1437</v>
      </c>
      <c r="E431" s="18" t="s">
        <v>1437</v>
      </c>
      <c r="F431" s="18" t="s">
        <v>1438</v>
      </c>
      <c r="G431" s="18">
        <v>2.0</v>
      </c>
      <c r="H431" s="18" t="s">
        <v>46</v>
      </c>
    </row>
    <row r="432" ht="22.5" customHeight="1">
      <c r="A432" s="18">
        <v>2775.0</v>
      </c>
      <c r="B432" s="18" t="s">
        <v>420</v>
      </c>
      <c r="D432" s="18" t="s">
        <v>1439</v>
      </c>
      <c r="E432" s="18" t="s">
        <v>1439</v>
      </c>
      <c r="F432" s="18" t="s">
        <v>710</v>
      </c>
      <c r="G432" s="18">
        <v>2.0</v>
      </c>
      <c r="H432" s="18" t="s">
        <v>46</v>
      </c>
    </row>
    <row r="433" ht="22.5" customHeight="1">
      <c r="A433" s="18">
        <v>2781.0</v>
      </c>
      <c r="B433" s="18" t="s">
        <v>420</v>
      </c>
      <c r="D433" s="18" t="s">
        <v>1440</v>
      </c>
      <c r="E433" s="18" t="s">
        <v>1440</v>
      </c>
      <c r="F433" s="18" t="s">
        <v>837</v>
      </c>
      <c r="G433" s="18">
        <v>2.0</v>
      </c>
      <c r="H433" s="18" t="s">
        <v>46</v>
      </c>
    </row>
    <row r="434" ht="22.5" customHeight="1">
      <c r="A434" s="18">
        <v>2788.0</v>
      </c>
      <c r="B434" s="18" t="s">
        <v>420</v>
      </c>
      <c r="D434" s="18" t="s">
        <v>1441</v>
      </c>
      <c r="E434" s="18" t="s">
        <v>1441</v>
      </c>
      <c r="F434" s="18" t="s">
        <v>1442</v>
      </c>
      <c r="G434" s="18">
        <v>2.0</v>
      </c>
      <c r="H434" s="18" t="s">
        <v>46</v>
      </c>
    </row>
    <row r="435" ht="22.5" customHeight="1">
      <c r="A435" s="18">
        <v>2796.0</v>
      </c>
      <c r="B435" s="18" t="s">
        <v>420</v>
      </c>
      <c r="D435" s="18" t="s">
        <v>1443</v>
      </c>
      <c r="E435" s="18" t="s">
        <v>1443</v>
      </c>
      <c r="F435" s="18" t="s">
        <v>1444</v>
      </c>
      <c r="G435" s="18">
        <v>2.0</v>
      </c>
      <c r="H435" s="18" t="s">
        <v>46</v>
      </c>
    </row>
    <row r="436" ht="22.5" customHeight="1">
      <c r="A436" s="18">
        <v>2797.0</v>
      </c>
      <c r="B436" s="18" t="s">
        <v>420</v>
      </c>
      <c r="C436" s="18" t="s">
        <v>1445</v>
      </c>
      <c r="D436" s="18" t="s">
        <v>1446</v>
      </c>
      <c r="E436" s="18" t="s">
        <v>1446</v>
      </c>
      <c r="F436" s="18" t="s">
        <v>1447</v>
      </c>
      <c r="G436" s="18">
        <v>2.0</v>
      </c>
      <c r="H436" s="18" t="s">
        <v>46</v>
      </c>
    </row>
    <row r="437" ht="22.5" customHeight="1">
      <c r="A437" s="18">
        <v>2798.0</v>
      </c>
      <c r="B437" s="18" t="s">
        <v>420</v>
      </c>
      <c r="D437" s="18" t="s">
        <v>1448</v>
      </c>
      <c r="E437" s="18" t="s">
        <v>1448</v>
      </c>
      <c r="F437" s="18" t="s">
        <v>1449</v>
      </c>
      <c r="G437" s="18">
        <v>2.0</v>
      </c>
      <c r="H437" s="18" t="s">
        <v>46</v>
      </c>
    </row>
    <row r="438" ht="22.5" customHeight="1">
      <c r="A438" s="18">
        <v>2801.0</v>
      </c>
      <c r="B438" s="18" t="s">
        <v>420</v>
      </c>
      <c r="C438" s="18" t="s">
        <v>1450</v>
      </c>
      <c r="D438" s="18" t="s">
        <v>1451</v>
      </c>
      <c r="E438" s="18" t="s">
        <v>1451</v>
      </c>
      <c r="F438" s="18" t="s">
        <v>1452</v>
      </c>
      <c r="G438" s="18">
        <v>2.0</v>
      </c>
      <c r="H438" s="18" t="s">
        <v>46</v>
      </c>
    </row>
    <row r="439" ht="22.5" customHeight="1">
      <c r="A439" s="18">
        <v>2810.0</v>
      </c>
      <c r="B439" s="18" t="s">
        <v>420</v>
      </c>
      <c r="C439" s="18" t="s">
        <v>979</v>
      </c>
      <c r="D439" s="18" t="s">
        <v>1453</v>
      </c>
      <c r="E439" s="18" t="s">
        <v>1453</v>
      </c>
      <c r="F439" s="18" t="s">
        <v>1454</v>
      </c>
      <c r="G439" s="18">
        <v>2.0</v>
      </c>
      <c r="H439" s="18" t="s">
        <v>46</v>
      </c>
    </row>
    <row r="440" ht="22.5" customHeight="1">
      <c r="A440" s="18">
        <v>2811.0</v>
      </c>
      <c r="B440" s="18" t="s">
        <v>420</v>
      </c>
      <c r="D440" s="18" t="s">
        <v>1455</v>
      </c>
      <c r="E440" s="18" t="s">
        <v>1455</v>
      </c>
      <c r="F440" s="18" t="s">
        <v>1456</v>
      </c>
      <c r="G440" s="18">
        <v>2.0</v>
      </c>
      <c r="H440" s="18" t="s">
        <v>46</v>
      </c>
    </row>
    <row r="441" ht="22.5" customHeight="1">
      <c r="A441" s="18">
        <v>2813.0</v>
      </c>
      <c r="B441" s="18" t="s">
        <v>420</v>
      </c>
      <c r="D441" s="18" t="s">
        <v>1457</v>
      </c>
      <c r="E441" s="18" t="s">
        <v>1457</v>
      </c>
      <c r="F441" s="18" t="s">
        <v>858</v>
      </c>
      <c r="G441" s="18">
        <v>2.0</v>
      </c>
      <c r="H441" s="18" t="s">
        <v>46</v>
      </c>
    </row>
    <row r="442" ht="22.5" customHeight="1">
      <c r="A442" s="18">
        <v>2821.0</v>
      </c>
      <c r="B442" s="18" t="s">
        <v>420</v>
      </c>
      <c r="D442" s="18" t="s">
        <v>1458</v>
      </c>
      <c r="E442" s="18" t="s">
        <v>1458</v>
      </c>
      <c r="F442" s="18" t="s">
        <v>862</v>
      </c>
      <c r="G442" s="18">
        <v>2.0</v>
      </c>
      <c r="H442" s="18" t="s">
        <v>46</v>
      </c>
    </row>
    <row r="443" ht="22.5" customHeight="1">
      <c r="A443" s="18">
        <v>2824.0</v>
      </c>
      <c r="B443" s="18" t="s">
        <v>420</v>
      </c>
      <c r="D443" s="18" t="s">
        <v>1459</v>
      </c>
      <c r="E443" s="18" t="s">
        <v>1459</v>
      </c>
      <c r="F443" s="18" t="s">
        <v>1460</v>
      </c>
      <c r="G443" s="18">
        <v>2.0</v>
      </c>
      <c r="H443" s="18" t="s">
        <v>46</v>
      </c>
    </row>
    <row r="444" ht="22.5" customHeight="1">
      <c r="A444" s="18">
        <v>2826.0</v>
      </c>
      <c r="B444" s="18" t="s">
        <v>420</v>
      </c>
      <c r="C444" s="18" t="s">
        <v>1108</v>
      </c>
      <c r="D444" s="18" t="s">
        <v>1461</v>
      </c>
      <c r="E444" s="18" t="s">
        <v>1461</v>
      </c>
      <c r="F444" s="18" t="s">
        <v>1462</v>
      </c>
      <c r="G444" s="18">
        <v>2.0</v>
      </c>
      <c r="H444" s="18" t="s">
        <v>46</v>
      </c>
    </row>
    <row r="445" ht="22.5" customHeight="1">
      <c r="A445" s="18">
        <v>2841.0</v>
      </c>
      <c r="B445" s="18" t="s">
        <v>420</v>
      </c>
      <c r="D445" s="18" t="s">
        <v>1463</v>
      </c>
      <c r="E445" s="18" t="s">
        <v>1463</v>
      </c>
      <c r="F445" s="18" t="s">
        <v>1464</v>
      </c>
      <c r="G445" s="18">
        <v>2.0</v>
      </c>
      <c r="H445" s="18" t="s">
        <v>46</v>
      </c>
    </row>
    <row r="446" ht="22.5" customHeight="1">
      <c r="A446" s="18">
        <v>2858.0</v>
      </c>
      <c r="B446" s="18" t="s">
        <v>420</v>
      </c>
      <c r="C446" s="18" t="s">
        <v>1465</v>
      </c>
      <c r="D446" s="18" t="s">
        <v>1466</v>
      </c>
      <c r="E446" s="18" t="s">
        <v>1467</v>
      </c>
      <c r="F446" s="18" t="s">
        <v>1468</v>
      </c>
      <c r="G446" s="18">
        <v>2.0</v>
      </c>
      <c r="H446" s="18" t="s">
        <v>46</v>
      </c>
    </row>
    <row r="447" ht="22.5" customHeight="1">
      <c r="A447" s="18">
        <v>2860.0</v>
      </c>
      <c r="B447" s="18" t="s">
        <v>420</v>
      </c>
      <c r="D447" s="18" t="s">
        <v>1469</v>
      </c>
      <c r="E447" s="18" t="s">
        <v>1469</v>
      </c>
      <c r="F447" s="18" t="s">
        <v>1470</v>
      </c>
      <c r="G447" s="18">
        <v>2.0</v>
      </c>
      <c r="H447" s="18" t="s">
        <v>46</v>
      </c>
    </row>
    <row r="448" ht="22.5" customHeight="1">
      <c r="A448" s="18">
        <v>2863.0</v>
      </c>
      <c r="B448" s="18" t="s">
        <v>420</v>
      </c>
      <c r="C448" s="18" t="s">
        <v>1472</v>
      </c>
      <c r="D448" s="18" t="s">
        <v>1473</v>
      </c>
      <c r="E448" s="18" t="s">
        <v>1473</v>
      </c>
      <c r="F448" s="18" t="s">
        <v>1474</v>
      </c>
      <c r="G448" s="18">
        <v>2.0</v>
      </c>
      <c r="H448" s="18" t="s">
        <v>46</v>
      </c>
    </row>
    <row r="449" ht="22.5" customHeight="1">
      <c r="A449" s="18">
        <v>2872.0</v>
      </c>
      <c r="B449" s="18" t="s">
        <v>420</v>
      </c>
      <c r="D449" s="18" t="s">
        <v>1475</v>
      </c>
      <c r="E449" s="18" t="s">
        <v>1475</v>
      </c>
      <c r="F449" s="18" t="s">
        <v>1476</v>
      </c>
      <c r="G449" s="18">
        <v>2.0</v>
      </c>
      <c r="H449" s="18" t="s">
        <v>46</v>
      </c>
    </row>
    <row r="450" ht="22.5" customHeight="1">
      <c r="A450" s="18">
        <v>2873.0</v>
      </c>
      <c r="B450" s="18" t="s">
        <v>420</v>
      </c>
      <c r="C450" s="18" t="s">
        <v>1477</v>
      </c>
      <c r="D450" s="18" t="s">
        <v>1479</v>
      </c>
      <c r="E450" s="18" t="s">
        <v>1479</v>
      </c>
      <c r="F450" s="18" t="s">
        <v>1480</v>
      </c>
      <c r="G450" s="18">
        <v>2.0</v>
      </c>
      <c r="H450" s="18" t="s">
        <v>46</v>
      </c>
    </row>
    <row r="451" ht="22.5" customHeight="1">
      <c r="A451" s="18">
        <v>2875.0</v>
      </c>
      <c r="B451" s="18" t="s">
        <v>420</v>
      </c>
      <c r="C451" s="18" t="s">
        <v>1477</v>
      </c>
      <c r="D451" s="18" t="s">
        <v>1481</v>
      </c>
      <c r="E451" s="18" t="s">
        <v>1481</v>
      </c>
      <c r="F451" s="18" t="s">
        <v>1482</v>
      </c>
      <c r="G451" s="18">
        <v>2.0</v>
      </c>
      <c r="H451" s="18" t="s">
        <v>46</v>
      </c>
    </row>
    <row r="452" ht="22.5" customHeight="1">
      <c r="A452" s="18">
        <v>2877.0</v>
      </c>
      <c r="B452" s="18" t="s">
        <v>420</v>
      </c>
      <c r="D452" s="18" t="s">
        <v>1483</v>
      </c>
      <c r="E452" s="18" t="s">
        <v>1483</v>
      </c>
      <c r="F452" s="18" t="s">
        <v>850</v>
      </c>
      <c r="G452" s="18">
        <v>2.0</v>
      </c>
      <c r="H452" s="18" t="s">
        <v>46</v>
      </c>
    </row>
    <row r="453" ht="22.5" customHeight="1">
      <c r="A453" s="18">
        <v>2878.0</v>
      </c>
      <c r="B453" s="18" t="s">
        <v>420</v>
      </c>
      <c r="D453" s="18" t="s">
        <v>1484</v>
      </c>
      <c r="E453" s="18" t="s">
        <v>1484</v>
      </c>
      <c r="F453" s="18" t="s">
        <v>852</v>
      </c>
      <c r="G453" s="18">
        <v>2.0</v>
      </c>
      <c r="H453" s="18" t="s">
        <v>46</v>
      </c>
    </row>
    <row r="454" ht="22.5" customHeight="1">
      <c r="A454" s="23"/>
      <c r="B454" s="23"/>
      <c r="C454" s="25"/>
      <c r="D454" s="23"/>
      <c r="E454" s="23"/>
      <c r="F454" s="23"/>
      <c r="G454" s="23"/>
      <c r="H454" s="23"/>
      <c r="I454" s="25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>
        <f t="array" ref="A1:B137">UNIQUE({ProcedureClinics!B2:B1708,ProcedureClinics!D2:D1708})</f>
        <v>1</v>
      </c>
      <c r="B1" s="4">
        <v>1.0</v>
      </c>
    </row>
    <row r="2">
      <c r="A2" s="4">
        <v>2.0</v>
      </c>
      <c r="B2" s="4">
        <v>1.0</v>
      </c>
    </row>
    <row r="3">
      <c r="A3" s="4">
        <v>3.0</v>
      </c>
      <c r="B3" s="4">
        <v>1.0</v>
      </c>
    </row>
    <row r="4">
      <c r="A4" s="4">
        <v>4.0</v>
      </c>
      <c r="B4" s="4">
        <v>1.0</v>
      </c>
    </row>
    <row r="5">
      <c r="A5" s="4">
        <v>5.0</v>
      </c>
      <c r="B5" s="4">
        <v>1.0</v>
      </c>
    </row>
    <row r="6">
      <c r="A6" s="4">
        <v>6.0</v>
      </c>
      <c r="B6" s="4">
        <v>1.0</v>
      </c>
    </row>
    <row r="7">
      <c r="A7" s="4">
        <v>7.0</v>
      </c>
      <c r="B7" s="4">
        <v>1.0</v>
      </c>
    </row>
    <row r="8">
      <c r="A8" s="4">
        <v>8.0</v>
      </c>
      <c r="B8" s="4">
        <v>1.0</v>
      </c>
    </row>
    <row r="9">
      <c r="A9" s="4">
        <v>9.0</v>
      </c>
      <c r="B9" s="4">
        <v>1.0</v>
      </c>
    </row>
    <row r="10">
      <c r="A10" s="4">
        <v>10.0</v>
      </c>
      <c r="B10" s="4">
        <v>1.0</v>
      </c>
    </row>
    <row r="11">
      <c r="A11" s="4">
        <v>11.0</v>
      </c>
      <c r="B11" s="4">
        <v>1.0</v>
      </c>
    </row>
    <row r="12">
      <c r="A12" s="4">
        <v>12.0</v>
      </c>
      <c r="B12" s="4">
        <v>1.0</v>
      </c>
    </row>
    <row r="13">
      <c r="A13" s="4">
        <v>13.0</v>
      </c>
      <c r="B13" s="4">
        <v>1.0</v>
      </c>
    </row>
    <row r="14">
      <c r="A14" s="4">
        <v>14.0</v>
      </c>
      <c r="B14" s="4">
        <v>1.0</v>
      </c>
    </row>
    <row r="15">
      <c r="A15" s="4">
        <v>15.0</v>
      </c>
      <c r="B15" s="4">
        <v>1.0</v>
      </c>
    </row>
    <row r="16">
      <c r="A16" s="4">
        <v>16.0</v>
      </c>
      <c r="B16" s="4">
        <v>1.0</v>
      </c>
    </row>
    <row r="17">
      <c r="A17" s="4">
        <v>17.0</v>
      </c>
      <c r="B17" s="4">
        <v>1.0</v>
      </c>
    </row>
    <row r="18">
      <c r="A18" s="4">
        <v>18.0</v>
      </c>
      <c r="B18" s="4">
        <v>1.0</v>
      </c>
    </row>
    <row r="19">
      <c r="A19" s="4">
        <v>19.0</v>
      </c>
      <c r="B19" s="4">
        <v>1.0</v>
      </c>
    </row>
    <row r="20">
      <c r="A20" s="4">
        <v>20.0</v>
      </c>
      <c r="B20" s="4">
        <v>1.0</v>
      </c>
    </row>
    <row r="21">
      <c r="A21" s="4">
        <v>21.0</v>
      </c>
      <c r="B21" s="4">
        <v>1.0</v>
      </c>
    </row>
    <row r="22">
      <c r="A22" s="4">
        <v>22.0</v>
      </c>
      <c r="B22" s="4">
        <v>1.0</v>
      </c>
    </row>
    <row r="23">
      <c r="A23" s="4">
        <v>23.0</v>
      </c>
      <c r="B23" s="4">
        <v>1.0</v>
      </c>
    </row>
    <row r="24">
      <c r="A24" s="4">
        <v>24.0</v>
      </c>
      <c r="B24" s="4">
        <v>1.0</v>
      </c>
    </row>
    <row r="25">
      <c r="A25" s="4">
        <v>25.0</v>
      </c>
      <c r="B25" s="4">
        <v>1.0</v>
      </c>
    </row>
    <row r="26">
      <c r="A26" s="4">
        <v>26.0</v>
      </c>
      <c r="B26" s="4">
        <v>1.0</v>
      </c>
    </row>
    <row r="27">
      <c r="A27" s="4">
        <v>27.0</v>
      </c>
      <c r="B27" s="4">
        <v>1.0</v>
      </c>
    </row>
    <row r="28">
      <c r="A28" s="4">
        <v>28.0</v>
      </c>
      <c r="B28" s="4">
        <v>1.0</v>
      </c>
    </row>
    <row r="29">
      <c r="A29" s="4">
        <v>29.0</v>
      </c>
      <c r="B29" s="4">
        <v>1.0</v>
      </c>
    </row>
    <row r="30">
      <c r="A30" s="4">
        <v>30.0</v>
      </c>
      <c r="B30" s="4">
        <v>1.0</v>
      </c>
    </row>
    <row r="31">
      <c r="A31" s="4">
        <v>31.0</v>
      </c>
      <c r="B31" s="4">
        <v>1.0</v>
      </c>
    </row>
    <row r="32">
      <c r="A32" s="4">
        <v>32.0</v>
      </c>
      <c r="B32" s="4">
        <v>1.0</v>
      </c>
    </row>
    <row r="33">
      <c r="A33" s="4">
        <v>33.0</v>
      </c>
      <c r="B33" s="4">
        <v>1.0</v>
      </c>
    </row>
    <row r="34">
      <c r="A34" s="4">
        <v>34.0</v>
      </c>
      <c r="B34" s="4">
        <v>1.0</v>
      </c>
    </row>
    <row r="35">
      <c r="A35" s="4">
        <v>35.0</v>
      </c>
      <c r="B35" s="4">
        <v>1.0</v>
      </c>
    </row>
    <row r="36">
      <c r="A36" s="4">
        <v>36.0</v>
      </c>
      <c r="B36" s="4">
        <v>1.0</v>
      </c>
    </row>
    <row r="37">
      <c r="A37" s="4">
        <v>37.0</v>
      </c>
      <c r="B37" s="4">
        <v>1.0</v>
      </c>
    </row>
    <row r="38">
      <c r="A38" s="4">
        <v>38.0</v>
      </c>
      <c r="B38" s="4">
        <v>1.0</v>
      </c>
    </row>
    <row r="39">
      <c r="A39" s="4">
        <v>39.0</v>
      </c>
      <c r="B39" s="4">
        <v>1.0</v>
      </c>
    </row>
    <row r="40">
      <c r="A40" s="4">
        <v>40.0</v>
      </c>
      <c r="B40" s="4">
        <v>1.0</v>
      </c>
    </row>
    <row r="41">
      <c r="A41" s="4">
        <v>41.0</v>
      </c>
      <c r="B41" s="4">
        <v>1.0</v>
      </c>
    </row>
    <row r="42">
      <c r="A42" s="4">
        <v>42.0</v>
      </c>
      <c r="B42" s="4">
        <v>1.0</v>
      </c>
    </row>
    <row r="43">
      <c r="A43" s="4">
        <v>43.0</v>
      </c>
      <c r="B43" s="4">
        <v>1.0</v>
      </c>
    </row>
    <row r="44">
      <c r="A44" s="4">
        <v>46.0</v>
      </c>
      <c r="B44" s="4">
        <v>1.0</v>
      </c>
    </row>
    <row r="45">
      <c r="A45" s="4">
        <v>49.0</v>
      </c>
      <c r="B45" s="4">
        <v>1.0</v>
      </c>
    </row>
    <row r="46">
      <c r="A46" s="4">
        <v>51.0</v>
      </c>
      <c r="B46" s="4">
        <v>1.0</v>
      </c>
    </row>
    <row r="47">
      <c r="A47" s="4">
        <v>52.0</v>
      </c>
      <c r="B47" s="4">
        <v>1.0</v>
      </c>
    </row>
    <row r="48">
      <c r="A48" s="4">
        <v>54.0</v>
      </c>
      <c r="B48" s="4">
        <v>1.0</v>
      </c>
    </row>
    <row r="49">
      <c r="A49" s="4">
        <v>55.0</v>
      </c>
      <c r="B49" s="4">
        <v>1.0</v>
      </c>
    </row>
    <row r="50">
      <c r="A50" s="4">
        <v>56.0</v>
      </c>
      <c r="B50" s="4">
        <v>1.0</v>
      </c>
    </row>
    <row r="51">
      <c r="A51" s="4">
        <v>57.0</v>
      </c>
      <c r="B51" s="4">
        <v>1.0</v>
      </c>
    </row>
    <row r="52">
      <c r="A52" s="4">
        <v>58.0</v>
      </c>
      <c r="B52" s="4">
        <v>1.0</v>
      </c>
    </row>
    <row r="53">
      <c r="A53" s="4">
        <v>59.0</v>
      </c>
      <c r="B53" s="4">
        <v>1.0</v>
      </c>
    </row>
    <row r="54">
      <c r="A54" s="4">
        <v>60.0</v>
      </c>
      <c r="B54" s="4">
        <v>1.0</v>
      </c>
    </row>
    <row r="55">
      <c r="A55" s="4">
        <v>61.0</v>
      </c>
      <c r="B55" s="4">
        <v>1.0</v>
      </c>
    </row>
    <row r="56">
      <c r="A56" s="4">
        <v>62.0</v>
      </c>
      <c r="B56" s="4">
        <v>1.0</v>
      </c>
    </row>
    <row r="57">
      <c r="A57" s="4">
        <v>63.0</v>
      </c>
      <c r="B57" s="4">
        <v>2.0</v>
      </c>
    </row>
    <row r="58">
      <c r="A58" s="4">
        <v>64.0</v>
      </c>
      <c r="B58" s="4">
        <v>2.0</v>
      </c>
    </row>
    <row r="59">
      <c r="A59" s="4">
        <v>65.0</v>
      </c>
      <c r="B59" s="4">
        <v>2.0</v>
      </c>
    </row>
    <row r="60">
      <c r="A60" s="4">
        <v>66.0</v>
      </c>
      <c r="B60" s="4">
        <v>2.0</v>
      </c>
    </row>
    <row r="61">
      <c r="A61" s="4">
        <v>67.0</v>
      </c>
      <c r="B61" s="4">
        <v>2.0</v>
      </c>
    </row>
    <row r="62">
      <c r="A62" s="4">
        <v>68.0</v>
      </c>
      <c r="B62" s="4">
        <v>2.0</v>
      </c>
    </row>
    <row r="63">
      <c r="A63" s="4">
        <v>69.0</v>
      </c>
      <c r="B63" s="4">
        <v>2.0</v>
      </c>
    </row>
    <row r="64">
      <c r="A64" s="4">
        <v>70.0</v>
      </c>
      <c r="B64" s="4">
        <v>2.0</v>
      </c>
    </row>
    <row r="65">
      <c r="A65" s="4">
        <v>71.0</v>
      </c>
      <c r="B65" s="4">
        <v>2.0</v>
      </c>
    </row>
    <row r="66">
      <c r="A66" s="4">
        <v>72.0</v>
      </c>
      <c r="B66" s="4">
        <v>2.0</v>
      </c>
    </row>
    <row r="67">
      <c r="A67" s="4">
        <v>73.0</v>
      </c>
      <c r="B67" s="4">
        <v>2.0</v>
      </c>
    </row>
    <row r="68">
      <c r="A68" s="4">
        <v>74.0</v>
      </c>
      <c r="B68" s="4">
        <v>2.0</v>
      </c>
    </row>
    <row r="69">
      <c r="A69" s="4">
        <v>75.0</v>
      </c>
      <c r="B69" s="4">
        <v>2.0</v>
      </c>
    </row>
    <row r="70">
      <c r="A70" s="4">
        <v>76.0</v>
      </c>
      <c r="B70" s="4">
        <v>2.0</v>
      </c>
    </row>
    <row r="71">
      <c r="A71" s="4">
        <v>77.0</v>
      </c>
      <c r="B71" s="4">
        <v>2.0</v>
      </c>
    </row>
    <row r="72">
      <c r="A72" s="4">
        <v>78.0</v>
      </c>
      <c r="B72" s="4">
        <v>2.0</v>
      </c>
    </row>
    <row r="73">
      <c r="A73" s="4">
        <v>79.0</v>
      </c>
      <c r="B73" s="4">
        <v>2.0</v>
      </c>
    </row>
    <row r="74">
      <c r="A74" s="4">
        <v>80.0</v>
      </c>
      <c r="B74" s="4">
        <v>2.0</v>
      </c>
    </row>
    <row r="75">
      <c r="A75" s="4">
        <v>83.0</v>
      </c>
      <c r="B75" s="4">
        <v>2.0</v>
      </c>
    </row>
    <row r="76">
      <c r="A76" s="4">
        <v>84.0</v>
      </c>
      <c r="B76" s="4">
        <v>2.0</v>
      </c>
    </row>
    <row r="77">
      <c r="A77" s="4">
        <v>86.0</v>
      </c>
      <c r="B77" s="4">
        <v>2.0</v>
      </c>
    </row>
    <row r="78">
      <c r="A78" s="4">
        <v>110.0</v>
      </c>
      <c r="B78" s="4">
        <v>1.0</v>
      </c>
    </row>
    <row r="79">
      <c r="A79" s="4">
        <v>111.0</v>
      </c>
      <c r="B79" s="4">
        <v>2.0</v>
      </c>
    </row>
    <row r="80">
      <c r="A80" s="4">
        <v>47.0</v>
      </c>
      <c r="B80" s="4">
        <v>1.0</v>
      </c>
    </row>
    <row r="81">
      <c r="A81" s="4">
        <v>50.0</v>
      </c>
      <c r="B81" s="4">
        <v>1.0</v>
      </c>
    </row>
    <row r="82">
      <c r="A82" s="4">
        <v>53.0</v>
      </c>
      <c r="B82" s="4">
        <v>1.0</v>
      </c>
    </row>
    <row r="83">
      <c r="A83" s="4">
        <v>63.0</v>
      </c>
      <c r="B83" s="4">
        <v>1.0</v>
      </c>
    </row>
    <row r="84">
      <c r="A84" s="4">
        <v>64.0</v>
      </c>
      <c r="B84" s="4">
        <v>1.0</v>
      </c>
    </row>
    <row r="85">
      <c r="A85" s="4">
        <v>44.0</v>
      </c>
      <c r="B85" s="4">
        <v>1.0</v>
      </c>
    </row>
    <row r="86">
      <c r="A86" s="4">
        <v>65.0</v>
      </c>
      <c r="B86" s="4">
        <v>1.0</v>
      </c>
    </row>
    <row r="87">
      <c r="A87" s="4">
        <v>81.0</v>
      </c>
      <c r="B87" s="4">
        <v>2.0</v>
      </c>
    </row>
    <row r="88">
      <c r="A88" s="4">
        <v>109.0</v>
      </c>
      <c r="B88" s="4">
        <v>1.0</v>
      </c>
    </row>
    <row r="89">
      <c r="A89" s="4">
        <v>111.0</v>
      </c>
      <c r="B89" s="4">
        <v>1.0</v>
      </c>
    </row>
    <row r="90">
      <c r="A90" s="4">
        <v>2.0</v>
      </c>
      <c r="B90" s="4">
        <v>2.0</v>
      </c>
    </row>
    <row r="91">
      <c r="A91" s="4">
        <v>5.0</v>
      </c>
      <c r="B91" s="4">
        <v>2.0</v>
      </c>
    </row>
    <row r="92">
      <c r="A92" s="4">
        <v>29.0</v>
      </c>
      <c r="B92" s="4">
        <v>2.0</v>
      </c>
    </row>
    <row r="93">
      <c r="A93" s="4">
        <v>30.0</v>
      </c>
      <c r="B93" s="4">
        <v>2.0</v>
      </c>
    </row>
    <row r="94">
      <c r="A94" s="4">
        <v>32.0</v>
      </c>
      <c r="B94" s="4">
        <v>2.0</v>
      </c>
    </row>
    <row r="95">
      <c r="A95" s="4">
        <v>66.0</v>
      </c>
      <c r="B95" s="4">
        <v>1.0</v>
      </c>
    </row>
    <row r="96">
      <c r="A96" s="4">
        <v>45.0</v>
      </c>
      <c r="B96" s="4">
        <v>1.0</v>
      </c>
    </row>
    <row r="97">
      <c r="A97" s="4">
        <v>48.0</v>
      </c>
      <c r="B97" s="4">
        <v>1.0</v>
      </c>
    </row>
    <row r="98">
      <c r="A98" s="4">
        <v>82.0</v>
      </c>
      <c r="B98" s="4">
        <v>2.0</v>
      </c>
    </row>
    <row r="99">
      <c r="A99" s="4">
        <v>85.0</v>
      </c>
      <c r="B99" s="4">
        <v>2.0</v>
      </c>
    </row>
    <row r="100">
      <c r="A100" s="4">
        <v>90.0</v>
      </c>
      <c r="B100" s="4">
        <v>1.0</v>
      </c>
    </row>
    <row r="101">
      <c r="A101" s="4">
        <v>78.0</v>
      </c>
      <c r="B101" s="4">
        <v>1.0</v>
      </c>
    </row>
    <row r="102">
      <c r="A102" s="4">
        <v>80.0</v>
      </c>
      <c r="B102" s="4">
        <v>1.0</v>
      </c>
    </row>
    <row r="103">
      <c r="A103" s="4">
        <v>70.0</v>
      </c>
      <c r="B103" s="4">
        <v>1.0</v>
      </c>
    </row>
    <row r="104">
      <c r="A104" s="4">
        <v>74.0</v>
      </c>
      <c r="B104" s="4">
        <v>1.0</v>
      </c>
    </row>
    <row r="105">
      <c r="A105" s="4">
        <v>83.0</v>
      </c>
      <c r="B105" s="4">
        <v>1.0</v>
      </c>
    </row>
    <row r="106">
      <c r="A106" s="4">
        <v>115.0</v>
      </c>
      <c r="B106" s="4">
        <v>1.0</v>
      </c>
    </row>
    <row r="107">
      <c r="A107" s="4">
        <v>115.0</v>
      </c>
      <c r="B107" s="4">
        <v>2.0</v>
      </c>
    </row>
    <row r="108">
      <c r="A108" s="4">
        <v>87.0</v>
      </c>
      <c r="B108" s="4">
        <v>2.0</v>
      </c>
    </row>
    <row r="109">
      <c r="A109" s="4">
        <v>88.0</v>
      </c>
      <c r="B109" s="4">
        <v>1.0</v>
      </c>
    </row>
    <row r="110">
      <c r="A110" s="4">
        <v>89.0</v>
      </c>
      <c r="B110" s="4">
        <v>1.0</v>
      </c>
    </row>
    <row r="111">
      <c r="A111" s="4">
        <v>91.0</v>
      </c>
      <c r="B111" s="4">
        <v>1.0</v>
      </c>
    </row>
    <row r="112">
      <c r="A112" s="4">
        <v>92.0</v>
      </c>
      <c r="B112" s="4">
        <v>2.0</v>
      </c>
    </row>
    <row r="113">
      <c r="A113" s="4">
        <v>112.0</v>
      </c>
      <c r="B113" s="4">
        <v>1.0</v>
      </c>
    </row>
    <row r="114">
      <c r="A114" s="4">
        <v>113.0</v>
      </c>
      <c r="B114" s="4">
        <v>1.0</v>
      </c>
    </row>
    <row r="115">
      <c r="A115" s="4">
        <v>114.0</v>
      </c>
      <c r="B115" s="4">
        <v>1.0</v>
      </c>
    </row>
    <row r="116">
      <c r="A116" s="4">
        <v>93.0</v>
      </c>
      <c r="B116" s="4">
        <v>2.0</v>
      </c>
    </row>
    <row r="117">
      <c r="A117" s="4">
        <v>94.0</v>
      </c>
      <c r="B117" s="4">
        <v>2.0</v>
      </c>
    </row>
    <row r="118">
      <c r="A118" s="4">
        <v>95.0</v>
      </c>
      <c r="B118" s="4">
        <v>2.0</v>
      </c>
    </row>
    <row r="119">
      <c r="A119" s="4">
        <v>96.0</v>
      </c>
      <c r="B119" s="4">
        <v>2.0</v>
      </c>
    </row>
    <row r="120">
      <c r="A120" s="4">
        <v>97.0</v>
      </c>
      <c r="B120" s="4">
        <v>2.0</v>
      </c>
    </row>
    <row r="121">
      <c r="A121" s="4">
        <v>98.0</v>
      </c>
      <c r="B121" s="4">
        <v>2.0</v>
      </c>
    </row>
    <row r="122">
      <c r="A122" s="4">
        <v>99.0</v>
      </c>
      <c r="B122" s="4">
        <v>2.0</v>
      </c>
    </row>
    <row r="123">
      <c r="A123" s="4">
        <v>100.0</v>
      </c>
      <c r="B123" s="4">
        <v>2.0</v>
      </c>
    </row>
    <row r="124">
      <c r="A124" s="4">
        <v>101.0</v>
      </c>
      <c r="B124" s="4">
        <v>2.0</v>
      </c>
    </row>
    <row r="125">
      <c r="A125" s="4">
        <v>102.0</v>
      </c>
      <c r="B125" s="4">
        <v>2.0</v>
      </c>
    </row>
    <row r="126">
      <c r="A126" s="4">
        <v>103.0</v>
      </c>
      <c r="B126" s="4">
        <v>1.0</v>
      </c>
    </row>
    <row r="127">
      <c r="A127" s="4">
        <v>104.0</v>
      </c>
      <c r="B127" s="4">
        <v>1.0</v>
      </c>
    </row>
    <row r="128">
      <c r="A128" s="4">
        <v>105.0</v>
      </c>
      <c r="B128" s="4">
        <v>1.0</v>
      </c>
    </row>
    <row r="129">
      <c r="A129" s="4">
        <v>106.0</v>
      </c>
      <c r="B129" s="4">
        <v>1.0</v>
      </c>
    </row>
    <row r="130">
      <c r="A130" s="4">
        <v>107.0</v>
      </c>
      <c r="B130" s="4">
        <v>1.0</v>
      </c>
    </row>
    <row r="131">
      <c r="A131" s="4">
        <v>108.0</v>
      </c>
      <c r="B131" s="4">
        <v>1.0</v>
      </c>
    </row>
    <row r="132">
      <c r="A132" s="4">
        <v>67.0</v>
      </c>
      <c r="B132" s="4">
        <v>1.0</v>
      </c>
    </row>
    <row r="133">
      <c r="A133" s="4">
        <v>116.0</v>
      </c>
      <c r="B133" s="4">
        <v>2.0</v>
      </c>
    </row>
    <row r="134">
      <c r="A134" s="4">
        <v>117.0</v>
      </c>
      <c r="B134" s="4">
        <v>2.0</v>
      </c>
    </row>
    <row r="135">
      <c r="A135" s="4">
        <v>118.0</v>
      </c>
      <c r="B135" s="4">
        <v>1.0</v>
      </c>
    </row>
    <row r="136">
      <c r="A136" s="4">
        <v>119.0</v>
      </c>
      <c r="B136" s="4">
        <v>1.0</v>
      </c>
    </row>
    <row r="137">
      <c r="A137" s="4"/>
      <c r="B137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1" t="s">
        <v>304</v>
      </c>
      <c r="B1" s="21" t="s">
        <v>410</v>
      </c>
    </row>
    <row r="2" ht="22.5" customHeight="1">
      <c r="A2" s="18">
        <v>1.0</v>
      </c>
      <c r="B2" s="18" t="s">
        <v>415</v>
      </c>
    </row>
    <row r="3" ht="22.5" customHeight="1">
      <c r="A3" s="18">
        <v>2.0</v>
      </c>
      <c r="B3" s="18" t="s">
        <v>420</v>
      </c>
    </row>
    <row r="4" ht="22.5" customHeight="1">
      <c r="A4" s="18">
        <v>3.0</v>
      </c>
      <c r="B4" s="18" t="s">
        <v>424</v>
      </c>
    </row>
    <row r="5" ht="22.5" customHeight="1">
      <c r="A5" s="18">
        <v>4.0</v>
      </c>
      <c r="B5" s="18" t="s">
        <v>428</v>
      </c>
    </row>
    <row r="6" ht="22.5" customHeight="1">
      <c r="A6" s="18">
        <v>5.0</v>
      </c>
      <c r="B6" s="18" t="s">
        <v>434</v>
      </c>
    </row>
    <row r="7" ht="22.5" customHeight="1">
      <c r="A7" s="18">
        <v>6.0</v>
      </c>
      <c r="B7" s="18" t="s">
        <v>436</v>
      </c>
    </row>
    <row r="8" ht="22.5" customHeight="1">
      <c r="A8" s="18">
        <v>7.0</v>
      </c>
      <c r="B8" s="18" t="s">
        <v>440</v>
      </c>
    </row>
    <row r="9" ht="22.5" customHeight="1">
      <c r="A9" s="18">
        <v>8.0</v>
      </c>
      <c r="B9" s="18" t="s">
        <v>444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1" t="s">
        <v>512</v>
      </c>
      <c r="B1" s="21" t="s">
        <v>515</v>
      </c>
      <c r="C1" s="21" t="s">
        <v>304</v>
      </c>
      <c r="D1" s="21" t="s">
        <v>516</v>
      </c>
    </row>
    <row r="2" ht="22.5" customHeight="1">
      <c r="A2" s="18">
        <v>1.0</v>
      </c>
      <c r="B2" s="18" t="s">
        <v>518</v>
      </c>
      <c r="C2" s="18">
        <v>2.0</v>
      </c>
      <c r="D2" s="18" t="s">
        <v>520</v>
      </c>
    </row>
    <row r="3" ht="22.5" customHeight="1">
      <c r="A3" s="18">
        <v>2.0</v>
      </c>
      <c r="B3" s="18" t="s">
        <v>521</v>
      </c>
      <c r="C3" s="18">
        <v>2.0</v>
      </c>
      <c r="D3" s="18" t="s">
        <v>522</v>
      </c>
    </row>
    <row r="4" ht="22.5" customHeight="1">
      <c r="A4" s="18">
        <v>3.0</v>
      </c>
      <c r="B4" s="18" t="s">
        <v>524</v>
      </c>
      <c r="C4" s="18">
        <v>2.0</v>
      </c>
      <c r="D4" s="18" t="s">
        <v>526</v>
      </c>
    </row>
    <row r="5" ht="22.5" customHeight="1">
      <c r="A5" s="18">
        <v>4.0</v>
      </c>
      <c r="B5" s="18" t="s">
        <v>527</v>
      </c>
      <c r="C5" s="18">
        <v>2.0</v>
      </c>
      <c r="D5" s="18" t="s">
        <v>522</v>
      </c>
    </row>
    <row r="6" ht="22.5" customHeight="1">
      <c r="A6" s="18">
        <v>5.0</v>
      </c>
      <c r="B6" s="18" t="s">
        <v>530</v>
      </c>
      <c r="C6" s="18">
        <v>2.0</v>
      </c>
      <c r="D6" s="18" t="s">
        <v>522</v>
      </c>
    </row>
    <row r="7" ht="22.5" customHeight="1">
      <c r="A7" s="18">
        <v>6.0</v>
      </c>
      <c r="B7" s="18" t="s">
        <v>531</v>
      </c>
      <c r="C7" s="18">
        <v>2.0</v>
      </c>
      <c r="D7" s="18" t="s">
        <v>533</v>
      </c>
    </row>
    <row r="8" ht="22.5" customHeight="1">
      <c r="A8" s="18">
        <v>7.0</v>
      </c>
      <c r="B8" s="18" t="s">
        <v>535</v>
      </c>
      <c r="C8" s="18">
        <v>2.0</v>
      </c>
      <c r="D8" s="18" t="s">
        <v>536</v>
      </c>
    </row>
    <row r="9" ht="22.5" customHeight="1">
      <c r="A9" s="18">
        <v>8.0</v>
      </c>
      <c r="B9" s="18" t="s">
        <v>538</v>
      </c>
      <c r="C9" s="18">
        <v>2.0</v>
      </c>
      <c r="D9" s="18" t="s">
        <v>536</v>
      </c>
    </row>
    <row r="10" ht="22.5" customHeight="1">
      <c r="A10" s="18">
        <v>9.0</v>
      </c>
      <c r="B10" s="18" t="s">
        <v>540</v>
      </c>
      <c r="C10" s="18">
        <v>2.0</v>
      </c>
      <c r="D10" s="18" t="s">
        <v>520</v>
      </c>
    </row>
    <row r="11" ht="22.5" customHeight="1">
      <c r="A11" s="18">
        <v>10.0</v>
      </c>
      <c r="B11" s="18" t="s">
        <v>542</v>
      </c>
      <c r="C11" s="18">
        <v>2.0</v>
      </c>
      <c r="D11" s="18" t="s">
        <v>520</v>
      </c>
    </row>
    <row r="12" ht="22.5" customHeight="1">
      <c r="A12" s="18">
        <v>11.0</v>
      </c>
      <c r="B12" s="18" t="s">
        <v>544</v>
      </c>
      <c r="C12" s="18">
        <v>2.0</v>
      </c>
      <c r="D12" s="18" t="s">
        <v>522</v>
      </c>
    </row>
    <row r="13" ht="22.5" customHeight="1">
      <c r="A13" s="18">
        <v>12.0</v>
      </c>
      <c r="B13" s="18" t="s">
        <v>546</v>
      </c>
      <c r="C13" s="18">
        <v>2.0</v>
      </c>
      <c r="D13" s="18" t="s">
        <v>522</v>
      </c>
    </row>
    <row r="14" ht="22.5" customHeight="1">
      <c r="A14" s="18">
        <v>13.0</v>
      </c>
      <c r="B14" s="18" t="s">
        <v>551</v>
      </c>
      <c r="C14" s="18">
        <v>2.0</v>
      </c>
      <c r="D14" s="18" t="s">
        <v>522</v>
      </c>
    </row>
    <row r="15" ht="22.5" customHeight="1">
      <c r="A15" s="18">
        <v>14.0</v>
      </c>
      <c r="B15" s="18" t="s">
        <v>553</v>
      </c>
      <c r="C15" s="18">
        <v>2.0</v>
      </c>
      <c r="D15" s="18" t="s">
        <v>520</v>
      </c>
    </row>
    <row r="16" ht="22.5" customHeight="1">
      <c r="A16" s="18">
        <v>15.0</v>
      </c>
      <c r="B16" s="18" t="s">
        <v>555</v>
      </c>
      <c r="C16" s="18">
        <v>2.0</v>
      </c>
      <c r="D16" s="18" t="s">
        <v>526</v>
      </c>
    </row>
    <row r="17" ht="22.5" customHeight="1">
      <c r="A17" s="18">
        <v>16.0</v>
      </c>
      <c r="B17" s="18" t="s">
        <v>558</v>
      </c>
      <c r="C17" s="18">
        <v>2.0</v>
      </c>
      <c r="D17" s="18" t="s">
        <v>522</v>
      </c>
    </row>
    <row r="18" ht="22.5" customHeight="1">
      <c r="A18" s="18">
        <v>17.0</v>
      </c>
      <c r="B18" s="18" t="s">
        <v>559</v>
      </c>
      <c r="C18" s="18">
        <v>2.0</v>
      </c>
      <c r="D18" s="18" t="s">
        <v>562</v>
      </c>
    </row>
    <row r="19" ht="22.5" customHeight="1">
      <c r="A19" s="18">
        <v>18.0</v>
      </c>
      <c r="B19" s="18" t="s">
        <v>564</v>
      </c>
      <c r="C19" s="18">
        <v>2.0</v>
      </c>
      <c r="D19" s="18" t="s">
        <v>520</v>
      </c>
    </row>
    <row r="20" ht="22.5" customHeight="1">
      <c r="A20" s="18">
        <v>19.0</v>
      </c>
      <c r="B20" s="18" t="s">
        <v>566</v>
      </c>
      <c r="C20" s="18">
        <v>2.0</v>
      </c>
      <c r="D20" s="18" t="s">
        <v>522</v>
      </c>
    </row>
    <row r="21" ht="22.5" customHeight="1">
      <c r="A21" s="18">
        <v>20.0</v>
      </c>
      <c r="B21" s="18" t="s">
        <v>568</v>
      </c>
      <c r="C21" s="18">
        <v>2.0</v>
      </c>
      <c r="D21" s="18" t="s">
        <v>520</v>
      </c>
    </row>
    <row r="22" ht="22.5" customHeight="1">
      <c r="A22" s="18">
        <v>21.0</v>
      </c>
      <c r="B22" s="18" t="s">
        <v>570</v>
      </c>
      <c r="C22" s="18">
        <v>2.0</v>
      </c>
      <c r="D22" s="18" t="s">
        <v>520</v>
      </c>
    </row>
    <row r="23" ht="22.5" customHeight="1">
      <c r="A23" s="18">
        <v>22.0</v>
      </c>
      <c r="B23" s="18" t="s">
        <v>572</v>
      </c>
      <c r="C23" s="18">
        <v>2.0</v>
      </c>
      <c r="D23" s="18" t="s">
        <v>520</v>
      </c>
    </row>
    <row r="24" ht="22.5" customHeight="1">
      <c r="A24" s="18">
        <v>23.0</v>
      </c>
      <c r="B24" s="18" t="s">
        <v>573</v>
      </c>
      <c r="C24" s="18">
        <v>2.0</v>
      </c>
      <c r="D24" s="18" t="s">
        <v>522</v>
      </c>
    </row>
    <row r="25" ht="22.5" customHeight="1">
      <c r="A25" s="18">
        <v>24.0</v>
      </c>
      <c r="B25" s="18" t="s">
        <v>576</v>
      </c>
      <c r="C25" s="18">
        <v>2.0</v>
      </c>
      <c r="D25" s="18" t="s">
        <v>577</v>
      </c>
    </row>
    <row r="26" ht="22.5" customHeight="1">
      <c r="A26" s="18">
        <v>25.0</v>
      </c>
      <c r="B26" s="18" t="s">
        <v>579</v>
      </c>
      <c r="C26" s="18">
        <v>2.0</v>
      </c>
      <c r="D26" s="18" t="s">
        <v>520</v>
      </c>
    </row>
    <row r="27" ht="22.5" customHeight="1">
      <c r="A27" s="18">
        <v>26.0</v>
      </c>
      <c r="B27" s="18" t="s">
        <v>581</v>
      </c>
      <c r="C27" s="18">
        <v>2.0</v>
      </c>
      <c r="D27" s="18" t="s">
        <v>582</v>
      </c>
    </row>
    <row r="28" ht="22.5" customHeight="1">
      <c r="A28" s="18">
        <v>27.0</v>
      </c>
      <c r="B28" s="18" t="s">
        <v>584</v>
      </c>
      <c r="C28" s="18">
        <v>2.0</v>
      </c>
      <c r="D28" s="18" t="s">
        <v>536</v>
      </c>
    </row>
    <row r="29" ht="22.5" customHeight="1">
      <c r="A29" s="18">
        <v>28.0</v>
      </c>
      <c r="B29" s="18" t="s">
        <v>586</v>
      </c>
      <c r="C29" s="18">
        <v>1.0</v>
      </c>
      <c r="D29" s="18" t="s">
        <v>588</v>
      </c>
    </row>
    <row r="30" ht="22.5" customHeight="1">
      <c r="A30" s="18">
        <v>29.0</v>
      </c>
      <c r="B30" s="18" t="s">
        <v>590</v>
      </c>
      <c r="C30" s="18">
        <v>1.0</v>
      </c>
      <c r="D30" s="18" t="s">
        <v>591</v>
      </c>
    </row>
    <row r="31" ht="22.5" customHeight="1">
      <c r="A31" s="18">
        <v>31.0</v>
      </c>
      <c r="B31" s="18" t="s">
        <v>226</v>
      </c>
      <c r="C31" s="18">
        <v>1.0</v>
      </c>
      <c r="D31" s="18" t="s">
        <v>593</v>
      </c>
    </row>
    <row r="32" ht="22.5" customHeight="1">
      <c r="A32" s="18">
        <v>32.0</v>
      </c>
      <c r="B32" s="18" t="s">
        <v>443</v>
      </c>
      <c r="C32" s="18">
        <v>1.0</v>
      </c>
      <c r="D32" s="18" t="s">
        <v>593</v>
      </c>
    </row>
    <row r="33" ht="22.5" customHeight="1">
      <c r="A33" s="18">
        <v>33.0</v>
      </c>
      <c r="B33" s="18" t="s">
        <v>595</v>
      </c>
      <c r="C33" s="18">
        <v>1.0</v>
      </c>
      <c r="D33" s="18" t="s">
        <v>597</v>
      </c>
    </row>
    <row r="34" ht="22.5" customHeight="1">
      <c r="A34" s="18">
        <v>34.0</v>
      </c>
      <c r="B34" s="18" t="s">
        <v>599</v>
      </c>
      <c r="C34" s="18">
        <v>1.0</v>
      </c>
      <c r="D34" s="18" t="s">
        <v>600</v>
      </c>
    </row>
    <row r="35" ht="22.5" customHeight="1">
      <c r="A35" s="18">
        <v>35.0</v>
      </c>
      <c r="B35" s="18" t="s">
        <v>601</v>
      </c>
      <c r="C35" s="18">
        <v>1.0</v>
      </c>
      <c r="D35" s="18" t="s">
        <v>520</v>
      </c>
    </row>
    <row r="36" ht="22.5" customHeight="1">
      <c r="A36" s="18">
        <v>36.0</v>
      </c>
      <c r="B36" s="18" t="s">
        <v>382</v>
      </c>
      <c r="C36" s="18">
        <v>1.0</v>
      </c>
      <c r="D36" s="18" t="s">
        <v>520</v>
      </c>
    </row>
    <row r="37" ht="22.5" customHeight="1">
      <c r="A37" s="18">
        <v>37.0</v>
      </c>
      <c r="B37" s="18" t="s">
        <v>388</v>
      </c>
      <c r="C37" s="18">
        <v>1.0</v>
      </c>
      <c r="D37" s="18" t="s">
        <v>520</v>
      </c>
    </row>
    <row r="38" ht="22.5" customHeight="1">
      <c r="A38" s="18">
        <v>38.0</v>
      </c>
      <c r="B38" s="18" t="s">
        <v>607</v>
      </c>
      <c r="C38" s="18">
        <v>1.0</v>
      </c>
      <c r="D38" s="18" t="s">
        <v>520</v>
      </c>
    </row>
    <row r="39" ht="22.5" customHeight="1">
      <c r="A39" s="18">
        <v>39.0</v>
      </c>
      <c r="B39" s="18" t="s">
        <v>608</v>
      </c>
      <c r="C39" s="18">
        <v>7.0</v>
      </c>
      <c r="D39" s="18" t="s">
        <v>591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3.5"/>
    <col customWidth="1" min="4" max="4" width="15.38"/>
    <col customWidth="1" min="6" max="6" width="57.88"/>
  </cols>
  <sheetData>
    <row r="1" ht="22.5" customHeight="1">
      <c r="A1" s="21" t="s">
        <v>550</v>
      </c>
      <c r="B1" s="21" t="s">
        <v>8</v>
      </c>
      <c r="C1" s="21" t="s">
        <v>304</v>
      </c>
      <c r="D1" s="21" t="s">
        <v>294</v>
      </c>
      <c r="E1" s="21" t="s">
        <v>30</v>
      </c>
      <c r="F1" s="21" t="s">
        <v>305</v>
      </c>
    </row>
    <row r="2" ht="22.5" hidden="1" customHeight="1">
      <c r="A2" s="18">
        <v>1.0</v>
      </c>
      <c r="B2" s="18">
        <v>1.0</v>
      </c>
      <c r="C2" s="18">
        <v>1.0</v>
      </c>
      <c r="D2" s="18">
        <v>1169.0</v>
      </c>
      <c r="E2" s="18" t="s">
        <v>46</v>
      </c>
    </row>
    <row r="3" ht="22.5" hidden="1" customHeight="1">
      <c r="A3" s="18">
        <v>2.0</v>
      </c>
      <c r="B3" s="18">
        <v>2.0</v>
      </c>
      <c r="C3" s="18">
        <v>1.0</v>
      </c>
      <c r="D3" s="18">
        <v>1380.0</v>
      </c>
      <c r="E3" s="18" t="s">
        <v>46</v>
      </c>
    </row>
    <row r="4" ht="22.5" hidden="1" customHeight="1">
      <c r="A4" s="18">
        <v>3.0</v>
      </c>
      <c r="B4" s="18">
        <v>3.0</v>
      </c>
      <c r="C4" s="18">
        <v>1.0</v>
      </c>
      <c r="D4" s="18">
        <v>1827.0</v>
      </c>
      <c r="E4" s="18" t="s">
        <v>46</v>
      </c>
    </row>
    <row r="5" ht="22.5" hidden="1" customHeight="1">
      <c r="A5" s="18">
        <v>4.0</v>
      </c>
      <c r="B5" s="18">
        <v>4.0</v>
      </c>
      <c r="C5" s="18">
        <v>1.0</v>
      </c>
      <c r="D5" s="18">
        <v>1830.0</v>
      </c>
      <c r="E5" s="18" t="s">
        <v>46</v>
      </c>
    </row>
    <row r="6" ht="22.5" hidden="1" customHeight="1">
      <c r="A6" s="18">
        <v>5.0</v>
      </c>
      <c r="B6" s="18">
        <v>5.0</v>
      </c>
      <c r="C6" s="18">
        <v>1.0</v>
      </c>
      <c r="D6" s="18">
        <v>1380.0</v>
      </c>
      <c r="E6" s="18" t="s">
        <v>46</v>
      </c>
    </row>
    <row r="7" ht="22.5" hidden="1" customHeight="1">
      <c r="A7" s="18">
        <v>6.0</v>
      </c>
      <c r="B7" s="18">
        <v>6.0</v>
      </c>
      <c r="C7" s="18">
        <v>1.0</v>
      </c>
      <c r="D7" s="18">
        <v>1831.0</v>
      </c>
      <c r="E7" s="18" t="s">
        <v>46</v>
      </c>
    </row>
    <row r="8" ht="22.5" hidden="1" customHeight="1">
      <c r="A8" s="18">
        <v>7.0</v>
      </c>
      <c r="B8" s="18">
        <v>7.0</v>
      </c>
      <c r="C8" s="18">
        <v>1.0</v>
      </c>
      <c r="D8" s="18">
        <v>1833.0</v>
      </c>
      <c r="E8" s="18" t="s">
        <v>46</v>
      </c>
    </row>
    <row r="9" ht="22.5" hidden="1" customHeight="1">
      <c r="A9" s="18">
        <v>8.0</v>
      </c>
      <c r="B9" s="18">
        <v>8.0</v>
      </c>
      <c r="C9" s="18">
        <v>1.0</v>
      </c>
      <c r="D9" s="18">
        <v>1921.0</v>
      </c>
      <c r="E9" s="18" t="s">
        <v>46</v>
      </c>
    </row>
    <row r="10" ht="22.5" hidden="1" customHeight="1">
      <c r="A10" s="18">
        <v>9.0</v>
      </c>
      <c r="B10" s="18">
        <v>9.0</v>
      </c>
      <c r="C10" s="18">
        <v>1.0</v>
      </c>
      <c r="D10" s="18">
        <v>1871.0</v>
      </c>
      <c r="E10" s="18" t="s">
        <v>46</v>
      </c>
    </row>
    <row r="11" ht="22.5" hidden="1" customHeight="1">
      <c r="A11" s="18">
        <v>10.0</v>
      </c>
      <c r="B11" s="18">
        <v>10.0</v>
      </c>
      <c r="C11" s="18">
        <v>1.0</v>
      </c>
      <c r="D11" s="18">
        <v>1813.0</v>
      </c>
      <c r="E11" s="18" t="s">
        <v>46</v>
      </c>
    </row>
    <row r="12" ht="22.5" hidden="1" customHeight="1">
      <c r="A12" s="18">
        <v>11.0</v>
      </c>
      <c r="B12" s="18">
        <v>11.0</v>
      </c>
      <c r="C12" s="18">
        <v>1.0</v>
      </c>
      <c r="D12" s="18">
        <v>1143.0</v>
      </c>
      <c r="E12" s="18" t="s">
        <v>46</v>
      </c>
    </row>
    <row r="13" ht="22.5" hidden="1" customHeight="1">
      <c r="A13" s="18">
        <v>12.0</v>
      </c>
      <c r="B13" s="18">
        <v>12.0</v>
      </c>
      <c r="C13" s="18">
        <v>1.0</v>
      </c>
      <c r="D13" s="18">
        <v>1284.0</v>
      </c>
      <c r="E13" s="18" t="s">
        <v>46</v>
      </c>
    </row>
    <row r="14" ht="22.5" hidden="1" customHeight="1">
      <c r="A14" s="18">
        <v>13.0</v>
      </c>
      <c r="B14" s="18">
        <v>13.0</v>
      </c>
      <c r="C14" s="18">
        <v>1.0</v>
      </c>
      <c r="D14" s="18">
        <v>1157.0</v>
      </c>
      <c r="E14" s="18" t="s">
        <v>46</v>
      </c>
    </row>
    <row r="15" ht="22.5" hidden="1" customHeight="1">
      <c r="A15" s="18">
        <v>14.0</v>
      </c>
      <c r="B15" s="18">
        <v>14.0</v>
      </c>
      <c r="C15" s="18">
        <v>1.0</v>
      </c>
      <c r="D15" s="18">
        <v>1821.0</v>
      </c>
      <c r="E15" s="18" t="s">
        <v>46</v>
      </c>
    </row>
    <row r="16" ht="22.5" hidden="1" customHeight="1">
      <c r="A16" s="18">
        <v>15.0</v>
      </c>
      <c r="B16" s="18">
        <v>15.0</v>
      </c>
      <c r="C16" s="18">
        <v>1.0</v>
      </c>
      <c r="D16" s="18">
        <v>1820.0</v>
      </c>
      <c r="E16" s="18" t="s">
        <v>46</v>
      </c>
    </row>
    <row r="17" ht="22.5" hidden="1" customHeight="1">
      <c r="A17" s="18">
        <v>16.0</v>
      </c>
      <c r="B17" s="18">
        <v>16.0</v>
      </c>
      <c r="C17" s="18">
        <v>1.0</v>
      </c>
      <c r="D17" s="18">
        <v>1824.0</v>
      </c>
      <c r="E17" s="18" t="s">
        <v>46</v>
      </c>
    </row>
    <row r="18" ht="22.5" hidden="1" customHeight="1">
      <c r="A18" s="18">
        <v>17.0</v>
      </c>
      <c r="B18" s="18">
        <v>17.0</v>
      </c>
      <c r="C18" s="18">
        <v>1.0</v>
      </c>
      <c r="D18" s="18">
        <v>1877.0</v>
      </c>
      <c r="E18" s="18" t="s">
        <v>46</v>
      </c>
    </row>
    <row r="19" ht="22.5" hidden="1" customHeight="1">
      <c r="A19" s="18">
        <v>18.0</v>
      </c>
      <c r="B19" s="18">
        <v>18.0</v>
      </c>
      <c r="C19" s="18">
        <v>1.0</v>
      </c>
      <c r="D19" s="18">
        <v>1160.0</v>
      </c>
      <c r="E19" s="18" t="s">
        <v>46</v>
      </c>
    </row>
    <row r="20" ht="22.5" hidden="1" customHeight="1">
      <c r="A20" s="18">
        <v>19.0</v>
      </c>
      <c r="B20" s="18">
        <v>19.0</v>
      </c>
      <c r="C20" s="18">
        <v>1.0</v>
      </c>
      <c r="D20" s="18">
        <v>1285.0</v>
      </c>
      <c r="E20" s="18" t="s">
        <v>46</v>
      </c>
    </row>
    <row r="21" ht="22.5" hidden="1" customHeight="1">
      <c r="A21" s="18">
        <v>20.0</v>
      </c>
      <c r="B21" s="18">
        <v>20.0</v>
      </c>
      <c r="C21" s="18">
        <v>1.0</v>
      </c>
      <c r="D21" s="18">
        <v>1914.0</v>
      </c>
      <c r="E21" s="18" t="s">
        <v>46</v>
      </c>
    </row>
    <row r="22" ht="22.5" hidden="1" customHeight="1">
      <c r="A22" s="18">
        <v>21.0</v>
      </c>
      <c r="B22" s="18">
        <v>21.0</v>
      </c>
      <c r="C22" s="18">
        <v>1.0</v>
      </c>
      <c r="D22" s="18">
        <v>1916.0</v>
      </c>
      <c r="E22" s="18" t="s">
        <v>46</v>
      </c>
    </row>
    <row r="23" ht="22.5" hidden="1" customHeight="1">
      <c r="A23" s="18">
        <v>22.0</v>
      </c>
      <c r="B23" s="18">
        <v>22.0</v>
      </c>
      <c r="C23" s="18">
        <v>1.0</v>
      </c>
      <c r="D23" s="18">
        <v>1170.0</v>
      </c>
      <c r="E23" s="18" t="s">
        <v>46</v>
      </c>
    </row>
    <row r="24" ht="22.5" hidden="1" customHeight="1">
      <c r="A24" s="18">
        <v>23.0</v>
      </c>
      <c r="B24" s="18">
        <v>23.0</v>
      </c>
      <c r="C24" s="18">
        <v>1.0</v>
      </c>
      <c r="D24" s="18">
        <v>1920.0</v>
      </c>
      <c r="E24" s="18" t="s">
        <v>46</v>
      </c>
    </row>
    <row r="25" ht="22.5" hidden="1" customHeight="1">
      <c r="A25" s="18">
        <v>24.0</v>
      </c>
      <c r="B25" s="18">
        <v>24.0</v>
      </c>
      <c r="C25" s="18">
        <v>1.0</v>
      </c>
      <c r="D25" s="18">
        <v>1879.0</v>
      </c>
      <c r="E25" s="18" t="s">
        <v>46</v>
      </c>
    </row>
    <row r="26" ht="22.5" hidden="1" customHeight="1">
      <c r="A26" s="18">
        <v>25.0</v>
      </c>
      <c r="B26" s="18">
        <v>25.0</v>
      </c>
      <c r="C26" s="18">
        <v>1.0</v>
      </c>
      <c r="D26" s="18">
        <v>2436.0</v>
      </c>
      <c r="E26" s="18" t="s">
        <v>46</v>
      </c>
    </row>
    <row r="27" ht="22.5" hidden="1" customHeight="1">
      <c r="A27" s="18">
        <v>26.0</v>
      </c>
      <c r="B27" s="18">
        <v>26.0</v>
      </c>
      <c r="C27" s="18">
        <v>1.0</v>
      </c>
      <c r="D27" s="18">
        <v>1879.0</v>
      </c>
      <c r="E27" s="18" t="s">
        <v>46</v>
      </c>
    </row>
    <row r="28" ht="22.5" hidden="1" customHeight="1">
      <c r="A28" s="18">
        <v>27.0</v>
      </c>
      <c r="B28" s="18">
        <v>27.0</v>
      </c>
      <c r="C28" s="18">
        <v>1.0</v>
      </c>
      <c r="D28" s="18">
        <v>2691.0</v>
      </c>
      <c r="E28" s="18" t="s">
        <v>46</v>
      </c>
    </row>
    <row r="29" ht="22.5" hidden="1" customHeight="1">
      <c r="A29" s="18">
        <v>28.0</v>
      </c>
      <c r="B29" s="18">
        <v>28.0</v>
      </c>
      <c r="C29" s="18">
        <v>1.0</v>
      </c>
      <c r="D29" s="18">
        <v>1814.0</v>
      </c>
      <c r="E29" s="18" t="s">
        <v>46</v>
      </c>
    </row>
    <row r="30" ht="22.5" hidden="1" customHeight="1">
      <c r="A30" s="18">
        <v>29.0</v>
      </c>
      <c r="B30" s="18">
        <v>29.0</v>
      </c>
      <c r="C30" s="18">
        <v>1.0</v>
      </c>
      <c r="D30" s="18">
        <v>1909.0</v>
      </c>
      <c r="E30" s="18" t="s">
        <v>46</v>
      </c>
    </row>
    <row r="31" ht="22.5" hidden="1" customHeight="1">
      <c r="A31" s="18">
        <v>30.0</v>
      </c>
      <c r="B31" s="18">
        <v>30.0</v>
      </c>
      <c r="C31" s="18">
        <v>1.0</v>
      </c>
      <c r="D31" s="18">
        <v>1909.0</v>
      </c>
      <c r="E31" s="18" t="s">
        <v>46</v>
      </c>
    </row>
    <row r="32" ht="22.5" hidden="1" customHeight="1">
      <c r="A32" s="18">
        <v>31.0</v>
      </c>
      <c r="B32" s="18">
        <v>31.0</v>
      </c>
      <c r="C32" s="18">
        <v>1.0</v>
      </c>
      <c r="D32" s="18">
        <v>1159.0</v>
      </c>
      <c r="E32" s="18" t="s">
        <v>46</v>
      </c>
    </row>
    <row r="33" ht="22.5" hidden="1" customHeight="1">
      <c r="A33" s="18">
        <v>32.0</v>
      </c>
      <c r="B33" s="18">
        <v>32.0</v>
      </c>
      <c r="C33" s="18">
        <v>1.0</v>
      </c>
      <c r="D33" s="18">
        <v>1910.0</v>
      </c>
      <c r="E33" s="18" t="s">
        <v>46</v>
      </c>
    </row>
    <row r="34" ht="22.5" hidden="1" customHeight="1">
      <c r="A34" s="18">
        <v>33.0</v>
      </c>
      <c r="B34" s="18">
        <v>33.0</v>
      </c>
      <c r="C34" s="18">
        <v>1.0</v>
      </c>
      <c r="D34" s="18">
        <v>2138.0</v>
      </c>
      <c r="E34" s="18" t="s">
        <v>46</v>
      </c>
    </row>
    <row r="35" ht="22.5" hidden="1" customHeight="1">
      <c r="A35" s="18">
        <v>34.0</v>
      </c>
      <c r="B35" s="18">
        <v>34.0</v>
      </c>
      <c r="C35" s="18">
        <v>1.0</v>
      </c>
      <c r="D35" s="18">
        <v>1828.0</v>
      </c>
      <c r="E35" s="18" t="s">
        <v>46</v>
      </c>
    </row>
    <row r="36" ht="22.5" hidden="1" customHeight="1">
      <c r="A36" s="18">
        <v>35.0</v>
      </c>
      <c r="B36" s="18">
        <v>35.0</v>
      </c>
      <c r="C36" s="18">
        <v>1.0</v>
      </c>
      <c r="D36" s="18">
        <v>1831.0</v>
      </c>
      <c r="E36" s="18" t="s">
        <v>46</v>
      </c>
    </row>
    <row r="37" ht="22.5" hidden="1" customHeight="1">
      <c r="A37" s="18">
        <v>36.0</v>
      </c>
      <c r="B37" s="18">
        <v>36.0</v>
      </c>
      <c r="C37" s="18">
        <v>1.0</v>
      </c>
      <c r="D37" s="18">
        <v>2518.0</v>
      </c>
      <c r="E37" s="18" t="s">
        <v>46</v>
      </c>
    </row>
    <row r="38" ht="22.5" hidden="1" customHeight="1">
      <c r="A38" s="18">
        <v>37.0</v>
      </c>
      <c r="B38" s="18">
        <v>37.0</v>
      </c>
      <c r="C38" s="18">
        <v>1.0</v>
      </c>
      <c r="D38" s="18">
        <v>2015.0</v>
      </c>
      <c r="E38" s="18" t="s">
        <v>46</v>
      </c>
    </row>
    <row r="39" ht="22.5" hidden="1" customHeight="1">
      <c r="A39" s="18">
        <v>38.0</v>
      </c>
      <c r="B39" s="18">
        <v>38.0</v>
      </c>
      <c r="C39" s="18">
        <v>1.0</v>
      </c>
      <c r="D39" s="18">
        <v>1881.0</v>
      </c>
      <c r="E39" s="18" t="s">
        <v>46</v>
      </c>
    </row>
    <row r="40" ht="22.5" hidden="1" customHeight="1">
      <c r="A40" s="18">
        <v>39.0</v>
      </c>
      <c r="B40" s="18">
        <v>39.0</v>
      </c>
      <c r="C40" s="18">
        <v>1.0</v>
      </c>
      <c r="D40" s="18">
        <v>1964.0</v>
      </c>
      <c r="E40" s="18" t="s">
        <v>46</v>
      </c>
    </row>
    <row r="41" ht="22.5" hidden="1" customHeight="1">
      <c r="A41" s="18">
        <v>40.0</v>
      </c>
      <c r="B41" s="18">
        <v>40.0</v>
      </c>
      <c r="C41" s="18">
        <v>1.0</v>
      </c>
      <c r="D41" s="18">
        <v>1734.0</v>
      </c>
      <c r="E41" s="18" t="s">
        <v>46</v>
      </c>
    </row>
    <row r="42" ht="22.5" hidden="1" customHeight="1">
      <c r="A42" s="18">
        <v>41.0</v>
      </c>
      <c r="B42" s="18">
        <v>41.0</v>
      </c>
      <c r="C42" s="18">
        <v>1.0</v>
      </c>
      <c r="D42" s="18">
        <v>1940.0</v>
      </c>
      <c r="E42" s="18" t="s">
        <v>46</v>
      </c>
    </row>
    <row r="43" ht="22.5" hidden="1" customHeight="1">
      <c r="A43" s="18">
        <v>42.0</v>
      </c>
      <c r="B43" s="18">
        <v>42.0</v>
      </c>
      <c r="C43" s="18">
        <v>1.0</v>
      </c>
      <c r="D43" s="18">
        <v>2398.0</v>
      </c>
      <c r="E43" s="18" t="s">
        <v>46</v>
      </c>
    </row>
    <row r="44" ht="22.5" hidden="1" customHeight="1">
      <c r="A44" s="18">
        <v>43.0</v>
      </c>
      <c r="B44" s="18">
        <v>43.0</v>
      </c>
      <c r="C44" s="18">
        <v>1.0</v>
      </c>
      <c r="D44" s="18">
        <v>2079.0</v>
      </c>
      <c r="E44" s="18" t="s">
        <v>46</v>
      </c>
    </row>
    <row r="45" ht="22.5" hidden="1" customHeight="1">
      <c r="A45" s="18">
        <v>44.0</v>
      </c>
      <c r="B45" s="18">
        <v>46.0</v>
      </c>
      <c r="C45" s="18">
        <v>1.0</v>
      </c>
      <c r="D45" s="18">
        <v>1901.0</v>
      </c>
      <c r="E45" s="18" t="s">
        <v>46</v>
      </c>
      <c r="F45" s="18" t="s">
        <v>661</v>
      </c>
    </row>
    <row r="46" ht="22.5" hidden="1" customHeight="1">
      <c r="A46" s="18">
        <v>45.0</v>
      </c>
      <c r="B46" s="18">
        <v>49.0</v>
      </c>
      <c r="C46" s="18">
        <v>1.0</v>
      </c>
      <c r="D46" s="18">
        <v>1906.0</v>
      </c>
      <c r="E46" s="18" t="s">
        <v>46</v>
      </c>
      <c r="F46" s="18" t="s">
        <v>664</v>
      </c>
    </row>
    <row r="47" ht="22.5" hidden="1" customHeight="1">
      <c r="A47" s="18">
        <v>46.0</v>
      </c>
      <c r="B47" s="18">
        <v>51.0</v>
      </c>
      <c r="C47" s="18">
        <v>1.0</v>
      </c>
      <c r="D47" s="18">
        <v>2060.0</v>
      </c>
      <c r="E47" s="18" t="s">
        <v>46</v>
      </c>
    </row>
    <row r="48" ht="22.5" hidden="1" customHeight="1">
      <c r="A48" s="18">
        <v>47.0</v>
      </c>
      <c r="B48" s="18">
        <v>52.0</v>
      </c>
      <c r="C48" s="18">
        <v>1.0</v>
      </c>
      <c r="D48" s="18">
        <v>2062.0</v>
      </c>
      <c r="E48" s="18" t="s">
        <v>46</v>
      </c>
    </row>
    <row r="49" ht="22.5" hidden="1" customHeight="1">
      <c r="A49" s="18">
        <v>48.0</v>
      </c>
      <c r="B49" s="18">
        <v>54.0</v>
      </c>
      <c r="C49" s="18">
        <v>1.0</v>
      </c>
      <c r="D49" s="18">
        <v>1902.0</v>
      </c>
      <c r="E49" s="18" t="s">
        <v>46</v>
      </c>
      <c r="F49" s="18" t="s">
        <v>667</v>
      </c>
    </row>
    <row r="50" ht="22.5" hidden="1" customHeight="1">
      <c r="A50" s="18">
        <v>49.0</v>
      </c>
      <c r="B50" s="18">
        <v>55.0</v>
      </c>
      <c r="C50" s="18">
        <v>1.0</v>
      </c>
      <c r="D50" s="18">
        <v>1903.0</v>
      </c>
      <c r="E50" s="18" t="s">
        <v>46</v>
      </c>
      <c r="F50" s="18" t="s">
        <v>670</v>
      </c>
    </row>
    <row r="51" ht="22.5" hidden="1" customHeight="1">
      <c r="A51" s="18">
        <v>50.0</v>
      </c>
      <c r="B51" s="18">
        <v>56.0</v>
      </c>
      <c r="C51" s="18">
        <v>1.0</v>
      </c>
      <c r="D51" s="18">
        <v>2865.0</v>
      </c>
      <c r="E51" s="18" t="s">
        <v>46</v>
      </c>
    </row>
    <row r="52" ht="22.5" hidden="1" customHeight="1">
      <c r="A52" s="18">
        <v>51.0</v>
      </c>
      <c r="B52" s="18">
        <v>57.0</v>
      </c>
      <c r="C52" s="18">
        <v>1.0</v>
      </c>
      <c r="D52" s="18">
        <v>1165.0</v>
      </c>
      <c r="E52" s="18" t="s">
        <v>46</v>
      </c>
      <c r="F52" s="18" t="s">
        <v>674</v>
      </c>
    </row>
    <row r="53" ht="22.5" hidden="1" customHeight="1">
      <c r="A53" s="18">
        <v>52.0</v>
      </c>
      <c r="B53" s="18">
        <v>58.0</v>
      </c>
      <c r="C53" s="18">
        <v>1.0</v>
      </c>
      <c r="D53" s="18">
        <v>1165.0</v>
      </c>
      <c r="E53" s="18" t="s">
        <v>46</v>
      </c>
      <c r="F53" s="18" t="s">
        <v>674</v>
      </c>
    </row>
    <row r="54" ht="22.5" hidden="1" customHeight="1">
      <c r="A54" s="18">
        <v>53.0</v>
      </c>
      <c r="B54" s="18">
        <v>59.0</v>
      </c>
      <c r="C54" s="18">
        <v>1.0</v>
      </c>
      <c r="D54" s="18">
        <v>2710.0</v>
      </c>
      <c r="E54" s="18" t="s">
        <v>46</v>
      </c>
      <c r="F54" s="18" t="s">
        <v>674</v>
      </c>
    </row>
    <row r="55" ht="22.5" hidden="1" customHeight="1">
      <c r="A55" s="18">
        <v>54.0</v>
      </c>
      <c r="B55" s="18">
        <v>60.0</v>
      </c>
      <c r="C55" s="18">
        <v>1.0</v>
      </c>
      <c r="D55" s="18">
        <v>2711.0</v>
      </c>
      <c r="E55" s="18" t="s">
        <v>46</v>
      </c>
      <c r="F55" s="18" t="s">
        <v>679</v>
      </c>
    </row>
    <row r="56" ht="22.5" hidden="1" customHeight="1">
      <c r="A56" s="18">
        <v>55.0</v>
      </c>
      <c r="B56" s="18">
        <v>61.0</v>
      </c>
      <c r="C56" s="18">
        <v>1.0</v>
      </c>
      <c r="D56" s="18">
        <v>2764.0</v>
      </c>
      <c r="E56" s="18" t="s">
        <v>46</v>
      </c>
      <c r="F56" s="18" t="s">
        <v>682</v>
      </c>
    </row>
    <row r="57" ht="22.5" hidden="1" customHeight="1">
      <c r="A57" s="18">
        <v>56.0</v>
      </c>
      <c r="B57" s="18">
        <v>62.0</v>
      </c>
      <c r="C57" s="18">
        <v>1.0</v>
      </c>
      <c r="D57" s="18">
        <v>2598.0</v>
      </c>
      <c r="E57" s="18" t="s">
        <v>46</v>
      </c>
      <c r="F57" s="18" t="s">
        <v>685</v>
      </c>
    </row>
    <row r="58" ht="22.5" hidden="1" customHeight="1">
      <c r="A58" s="18">
        <v>57.0</v>
      </c>
      <c r="B58" s="18">
        <v>63.0</v>
      </c>
      <c r="C58" s="18">
        <v>2.0</v>
      </c>
      <c r="D58" s="18">
        <v>1743.0</v>
      </c>
      <c r="E58" s="18" t="s">
        <v>46</v>
      </c>
    </row>
    <row r="59" ht="22.5" hidden="1" customHeight="1">
      <c r="A59" s="18">
        <v>58.0</v>
      </c>
      <c r="B59" s="18">
        <v>64.0</v>
      </c>
      <c r="C59" s="18">
        <v>2.0</v>
      </c>
      <c r="D59" s="18">
        <v>1939.0</v>
      </c>
      <c r="E59" s="18" t="s">
        <v>46</v>
      </c>
    </row>
    <row r="60" ht="22.5" hidden="1" customHeight="1">
      <c r="A60" s="18">
        <v>59.0</v>
      </c>
      <c r="B60" s="18">
        <v>65.0</v>
      </c>
      <c r="C60" s="18">
        <v>2.0</v>
      </c>
      <c r="D60" s="18">
        <v>1556.0</v>
      </c>
      <c r="E60" s="18" t="s">
        <v>46</v>
      </c>
      <c r="F60" s="18" t="s">
        <v>693</v>
      </c>
    </row>
    <row r="61" ht="22.5" hidden="1" customHeight="1">
      <c r="A61" s="18">
        <v>60.0</v>
      </c>
      <c r="B61" s="18">
        <v>66.0</v>
      </c>
      <c r="C61" s="18">
        <v>2.0</v>
      </c>
      <c r="D61" s="18">
        <v>2013.0</v>
      </c>
      <c r="E61" s="18" t="s">
        <v>46</v>
      </c>
    </row>
    <row r="62" ht="22.5" hidden="1" customHeight="1">
      <c r="A62" s="18">
        <v>61.0</v>
      </c>
      <c r="B62" s="18">
        <v>67.0</v>
      </c>
      <c r="C62" s="18">
        <v>2.0</v>
      </c>
      <c r="D62" s="18">
        <v>2013.0</v>
      </c>
      <c r="E62" s="18" t="s">
        <v>46</v>
      </c>
    </row>
    <row r="63" ht="22.5" hidden="1" customHeight="1">
      <c r="A63" s="18">
        <v>62.0</v>
      </c>
      <c r="B63" s="18">
        <v>68.0</v>
      </c>
      <c r="C63" s="18">
        <v>2.0</v>
      </c>
      <c r="D63" s="18">
        <v>1556.0</v>
      </c>
      <c r="E63" s="18" t="s">
        <v>46</v>
      </c>
    </row>
    <row r="64" ht="22.5" hidden="1" customHeight="1">
      <c r="A64" s="18">
        <v>63.0</v>
      </c>
      <c r="B64" s="18">
        <v>69.0</v>
      </c>
      <c r="C64" s="18">
        <v>2.0</v>
      </c>
      <c r="D64" s="18">
        <v>1556.0</v>
      </c>
      <c r="E64" s="18" t="s">
        <v>46</v>
      </c>
    </row>
    <row r="65" ht="22.5" hidden="1" customHeight="1">
      <c r="A65" s="18">
        <v>64.0</v>
      </c>
      <c r="B65" s="18">
        <v>70.0</v>
      </c>
      <c r="C65" s="18">
        <v>2.0</v>
      </c>
      <c r="D65" s="18">
        <v>1556.0</v>
      </c>
      <c r="E65" s="18" t="s">
        <v>46</v>
      </c>
    </row>
    <row r="66" ht="22.5" hidden="1" customHeight="1">
      <c r="A66" s="18">
        <v>65.0</v>
      </c>
      <c r="B66" s="18">
        <v>71.0</v>
      </c>
      <c r="C66" s="18">
        <v>2.0</v>
      </c>
      <c r="D66" s="18">
        <v>1556.0</v>
      </c>
      <c r="E66" s="18" t="s">
        <v>46</v>
      </c>
    </row>
    <row r="67" ht="22.5" hidden="1" customHeight="1">
      <c r="A67" s="18">
        <v>66.0</v>
      </c>
      <c r="B67" s="18">
        <v>72.0</v>
      </c>
      <c r="C67" s="18">
        <v>2.0</v>
      </c>
      <c r="D67" s="18">
        <v>1556.0</v>
      </c>
      <c r="E67" s="18" t="s">
        <v>46</v>
      </c>
    </row>
    <row r="68" ht="22.5" hidden="1" customHeight="1">
      <c r="A68" s="18">
        <v>67.0</v>
      </c>
      <c r="B68" s="18">
        <v>73.0</v>
      </c>
      <c r="C68" s="18">
        <v>2.0</v>
      </c>
      <c r="D68" s="18">
        <v>2405.0</v>
      </c>
      <c r="E68" s="18" t="s">
        <v>46</v>
      </c>
    </row>
    <row r="69" ht="22.5" hidden="1" customHeight="1">
      <c r="A69" s="18">
        <v>68.0</v>
      </c>
      <c r="B69" s="18">
        <v>74.0</v>
      </c>
      <c r="C69" s="18">
        <v>2.0</v>
      </c>
      <c r="D69" s="18">
        <v>1917.0</v>
      </c>
      <c r="E69" s="18" t="s">
        <v>46</v>
      </c>
    </row>
    <row r="70" ht="22.5" hidden="1" customHeight="1">
      <c r="A70" s="18">
        <v>69.0</v>
      </c>
      <c r="B70" s="18">
        <v>75.0</v>
      </c>
      <c r="C70" s="18">
        <v>2.0</v>
      </c>
      <c r="D70" s="18">
        <v>1556.0</v>
      </c>
      <c r="E70" s="18" t="s">
        <v>46</v>
      </c>
    </row>
    <row r="71" ht="22.5" hidden="1" customHeight="1">
      <c r="A71" s="18">
        <v>70.0</v>
      </c>
      <c r="B71" s="18">
        <v>76.0</v>
      </c>
      <c r="C71" s="18">
        <v>2.0</v>
      </c>
      <c r="D71" s="18">
        <v>1556.0</v>
      </c>
      <c r="E71" s="18" t="s">
        <v>46</v>
      </c>
    </row>
    <row r="72" ht="22.5" hidden="1" customHeight="1">
      <c r="A72" s="18">
        <v>71.0</v>
      </c>
      <c r="B72" s="18">
        <v>77.0</v>
      </c>
      <c r="C72" s="18">
        <v>2.0</v>
      </c>
      <c r="D72" s="18">
        <v>1556.0</v>
      </c>
      <c r="E72" s="18" t="s">
        <v>46</v>
      </c>
    </row>
    <row r="73" ht="22.5" hidden="1" customHeight="1">
      <c r="A73" s="18">
        <v>72.0</v>
      </c>
      <c r="B73" s="18">
        <v>78.0</v>
      </c>
      <c r="C73" s="18">
        <v>2.0</v>
      </c>
      <c r="D73" s="18">
        <v>1556.0</v>
      </c>
      <c r="E73" s="18" t="s">
        <v>46</v>
      </c>
    </row>
    <row r="74" ht="22.5" hidden="1" customHeight="1">
      <c r="A74" s="18">
        <v>73.0</v>
      </c>
      <c r="B74" s="18">
        <v>79.0</v>
      </c>
      <c r="C74" s="18">
        <v>2.0</v>
      </c>
      <c r="D74" s="18">
        <v>1556.0</v>
      </c>
      <c r="E74" s="18" t="s">
        <v>46</v>
      </c>
    </row>
    <row r="75" ht="22.5" hidden="1" customHeight="1">
      <c r="A75" s="18">
        <v>74.0</v>
      </c>
      <c r="B75" s="18">
        <v>80.0</v>
      </c>
      <c r="C75" s="18">
        <v>2.0</v>
      </c>
      <c r="D75" s="18">
        <v>1556.0</v>
      </c>
      <c r="E75" s="18" t="s">
        <v>46</v>
      </c>
    </row>
    <row r="76" ht="22.5" hidden="1" customHeight="1">
      <c r="A76" s="18">
        <v>75.0</v>
      </c>
      <c r="B76" s="18">
        <v>83.0</v>
      </c>
      <c r="C76" s="18">
        <v>2.0</v>
      </c>
      <c r="D76" s="18">
        <v>1556.0</v>
      </c>
      <c r="E76" s="18" t="s">
        <v>46</v>
      </c>
      <c r="F76" s="18"/>
    </row>
    <row r="77" ht="22.5" hidden="1" customHeight="1">
      <c r="A77" s="18">
        <v>76.0</v>
      </c>
      <c r="B77" s="18">
        <v>84.0</v>
      </c>
      <c r="C77" s="18">
        <v>2.0</v>
      </c>
      <c r="D77" s="18">
        <v>1556.0</v>
      </c>
      <c r="E77" s="18" t="s">
        <v>46</v>
      </c>
    </row>
    <row r="78" ht="22.5" hidden="1" customHeight="1">
      <c r="A78" s="18">
        <v>77.0</v>
      </c>
      <c r="B78" s="18">
        <v>86.0</v>
      </c>
      <c r="C78" s="18">
        <v>2.0</v>
      </c>
      <c r="D78" s="18">
        <v>1556.0</v>
      </c>
      <c r="E78" s="18" t="s">
        <v>46</v>
      </c>
    </row>
    <row r="79" ht="22.5" hidden="1" customHeight="1">
      <c r="A79" s="18">
        <v>78.0</v>
      </c>
      <c r="B79" s="18">
        <v>110.0</v>
      </c>
      <c r="C79" s="18">
        <v>1.0</v>
      </c>
      <c r="D79" s="18">
        <v>1140.0</v>
      </c>
      <c r="E79" s="18" t="s">
        <v>46</v>
      </c>
    </row>
    <row r="80" ht="22.5" hidden="1" customHeight="1">
      <c r="A80" s="18">
        <v>79.0</v>
      </c>
      <c r="B80" s="18">
        <v>111.0</v>
      </c>
      <c r="C80" s="18">
        <v>2.0</v>
      </c>
      <c r="D80" s="18">
        <v>1556.0</v>
      </c>
      <c r="E80" s="18" t="s">
        <v>46</v>
      </c>
    </row>
    <row r="81" ht="22.5" hidden="1" customHeight="1">
      <c r="A81" s="18">
        <v>80.0</v>
      </c>
      <c r="B81" s="18">
        <v>47.0</v>
      </c>
      <c r="C81" s="18">
        <v>1.0</v>
      </c>
      <c r="D81" s="18">
        <v>1901.0</v>
      </c>
      <c r="E81" s="18" t="s">
        <v>46</v>
      </c>
      <c r="F81" s="18" t="s">
        <v>661</v>
      </c>
    </row>
    <row r="82" ht="22.5" hidden="1" customHeight="1">
      <c r="A82" s="18">
        <v>81.0</v>
      </c>
      <c r="B82" s="18">
        <v>50.0</v>
      </c>
      <c r="C82" s="18">
        <v>1.0</v>
      </c>
      <c r="D82" s="18">
        <v>1906.0</v>
      </c>
      <c r="E82" s="18" t="s">
        <v>46</v>
      </c>
      <c r="F82" s="18" t="s">
        <v>733</v>
      </c>
    </row>
    <row r="83" ht="22.5" hidden="1" customHeight="1">
      <c r="A83" s="18">
        <v>82.0</v>
      </c>
      <c r="B83" s="18">
        <v>53.0</v>
      </c>
      <c r="C83" s="18">
        <v>1.0</v>
      </c>
      <c r="D83" s="18">
        <v>2511.0</v>
      </c>
      <c r="E83" s="18" t="s">
        <v>46</v>
      </c>
      <c r="F83" s="18" t="s">
        <v>736</v>
      </c>
    </row>
    <row r="84" ht="22.5" hidden="1" customHeight="1">
      <c r="A84" s="18">
        <v>83.0</v>
      </c>
      <c r="B84" s="18">
        <v>63.0</v>
      </c>
      <c r="C84" s="18">
        <v>1.0</v>
      </c>
      <c r="D84" s="18">
        <v>1382.0</v>
      </c>
      <c r="E84" s="18" t="s">
        <v>46</v>
      </c>
    </row>
    <row r="85" ht="22.5" hidden="1" customHeight="1">
      <c r="A85" s="18">
        <v>84.0</v>
      </c>
      <c r="B85" s="18">
        <v>64.0</v>
      </c>
      <c r="C85" s="18">
        <v>1.0</v>
      </c>
      <c r="D85" s="18">
        <v>1159.0</v>
      </c>
      <c r="E85" s="18" t="s">
        <v>46</v>
      </c>
      <c r="F85" s="18" t="s">
        <v>740</v>
      </c>
    </row>
    <row r="86" ht="22.5" hidden="1" customHeight="1">
      <c r="A86" s="18">
        <v>85.0</v>
      </c>
      <c r="B86" s="18">
        <v>44.0</v>
      </c>
      <c r="C86" s="18">
        <v>1.0</v>
      </c>
      <c r="D86" s="18">
        <v>2029.0</v>
      </c>
      <c r="E86" s="18" t="s">
        <v>46</v>
      </c>
    </row>
    <row r="87" ht="22.5" hidden="1" customHeight="1">
      <c r="A87" s="18">
        <v>86.0</v>
      </c>
      <c r="B87" s="18">
        <v>65.0</v>
      </c>
      <c r="C87" s="18">
        <v>1.0</v>
      </c>
      <c r="D87" s="18">
        <v>1830.0</v>
      </c>
      <c r="E87" s="18" t="s">
        <v>46</v>
      </c>
      <c r="F87" s="18" t="s">
        <v>693</v>
      </c>
    </row>
    <row r="88" ht="22.5" hidden="1" customHeight="1">
      <c r="A88" s="18">
        <v>87.0</v>
      </c>
      <c r="B88" s="18">
        <v>81.0</v>
      </c>
      <c r="C88" s="18">
        <v>2.0</v>
      </c>
      <c r="E88" s="18" t="s">
        <v>46</v>
      </c>
      <c r="F88" s="18" t="s">
        <v>749</v>
      </c>
    </row>
    <row r="89" ht="22.5" hidden="1" customHeight="1">
      <c r="A89" s="18">
        <v>88.0</v>
      </c>
      <c r="B89" s="18">
        <v>109.0</v>
      </c>
      <c r="C89" s="18">
        <v>1.0</v>
      </c>
      <c r="D89" s="18">
        <v>1158.0</v>
      </c>
      <c r="E89" s="18" t="s">
        <v>46</v>
      </c>
    </row>
    <row r="90" ht="22.5" hidden="1" customHeight="1">
      <c r="A90" s="18">
        <v>89.0</v>
      </c>
      <c r="B90" s="18">
        <v>111.0</v>
      </c>
      <c r="C90" s="18">
        <v>1.0</v>
      </c>
      <c r="D90" s="18">
        <v>1830.0</v>
      </c>
      <c r="E90" s="18" t="s">
        <v>46</v>
      </c>
    </row>
    <row r="91" ht="22.5" hidden="1" customHeight="1">
      <c r="A91" s="18">
        <v>90.0</v>
      </c>
      <c r="B91" s="18">
        <v>2.0</v>
      </c>
      <c r="C91" s="18">
        <v>2.0</v>
      </c>
      <c r="D91" s="18">
        <v>1553.0</v>
      </c>
      <c r="E91" s="18" t="s">
        <v>46</v>
      </c>
    </row>
    <row r="92" ht="22.5" hidden="1" customHeight="1">
      <c r="A92" s="18">
        <v>91.0</v>
      </c>
      <c r="B92" s="18">
        <v>5.0</v>
      </c>
      <c r="C92" s="18">
        <v>2.0</v>
      </c>
      <c r="D92" s="18">
        <v>1553.0</v>
      </c>
      <c r="E92" s="18" t="s">
        <v>46</v>
      </c>
    </row>
    <row r="93" ht="22.5" hidden="1" customHeight="1">
      <c r="A93" s="18">
        <v>92.0</v>
      </c>
      <c r="B93" s="18">
        <v>29.0</v>
      </c>
      <c r="C93" s="18">
        <v>2.0</v>
      </c>
      <c r="D93" s="18">
        <v>1925.0</v>
      </c>
      <c r="E93" s="18" t="s">
        <v>46</v>
      </c>
    </row>
    <row r="94" ht="22.5" hidden="1" customHeight="1">
      <c r="A94" s="18">
        <v>93.0</v>
      </c>
      <c r="B94" s="18">
        <v>30.0</v>
      </c>
      <c r="C94" s="18">
        <v>2.0</v>
      </c>
      <c r="D94" s="18">
        <v>1925.0</v>
      </c>
      <c r="E94" s="18" t="s">
        <v>46</v>
      </c>
    </row>
    <row r="95" ht="22.5" hidden="1" customHeight="1">
      <c r="A95" s="18">
        <v>94.0</v>
      </c>
      <c r="B95" s="18">
        <v>32.0</v>
      </c>
      <c r="C95" s="18">
        <v>2.0</v>
      </c>
      <c r="D95" s="18">
        <v>2506.0</v>
      </c>
      <c r="E95" s="18" t="s">
        <v>46</v>
      </c>
    </row>
    <row r="96" ht="22.5" hidden="1" customHeight="1">
      <c r="A96" s="18">
        <v>95.0</v>
      </c>
      <c r="B96" s="18">
        <v>66.0</v>
      </c>
      <c r="C96" s="18">
        <v>1.0</v>
      </c>
      <c r="D96" s="18">
        <v>1382.0</v>
      </c>
      <c r="E96" s="18" t="s">
        <v>46</v>
      </c>
    </row>
    <row r="97" ht="22.5" hidden="1" customHeight="1">
      <c r="A97" s="18">
        <v>96.0</v>
      </c>
      <c r="B97" s="18">
        <v>45.0</v>
      </c>
      <c r="C97" s="18">
        <v>1.0</v>
      </c>
      <c r="E97" s="18" t="s">
        <v>46</v>
      </c>
      <c r="F97" s="18" t="s">
        <v>766</v>
      </c>
    </row>
    <row r="98" ht="22.5" hidden="1" customHeight="1">
      <c r="A98" s="18">
        <v>97.0</v>
      </c>
      <c r="B98" s="18">
        <v>48.0</v>
      </c>
      <c r="C98" s="24">
        <v>1.0</v>
      </c>
      <c r="D98" s="25">
        <v>1901.0</v>
      </c>
      <c r="E98" s="24" t="s">
        <v>46</v>
      </c>
      <c r="F98" s="25" t="s">
        <v>661</v>
      </c>
    </row>
    <row r="99" ht="22.5" hidden="1" customHeight="1">
      <c r="A99" s="18">
        <v>98.0</v>
      </c>
      <c r="B99" s="18">
        <v>82.0</v>
      </c>
      <c r="C99" s="23">
        <v>2.0</v>
      </c>
      <c r="D99" s="18">
        <v>2102.0</v>
      </c>
      <c r="E99" s="23" t="s">
        <v>46</v>
      </c>
      <c r="F99" s="25"/>
    </row>
    <row r="100" ht="22.5" hidden="1" customHeight="1">
      <c r="A100" s="18">
        <v>99.0</v>
      </c>
      <c r="B100" s="18">
        <v>85.0</v>
      </c>
      <c r="C100" s="18">
        <v>2.0</v>
      </c>
      <c r="D100" s="18">
        <v>2824.0</v>
      </c>
      <c r="E100" s="18" t="s">
        <v>46</v>
      </c>
    </row>
    <row r="101" ht="22.5" hidden="1" customHeight="1">
      <c r="A101" s="18">
        <v>100.0</v>
      </c>
      <c r="B101" s="18">
        <v>90.0</v>
      </c>
      <c r="C101" s="18">
        <v>1.0</v>
      </c>
      <c r="D101" s="18">
        <v>2850.0</v>
      </c>
      <c r="E101" s="18" t="s">
        <v>46</v>
      </c>
    </row>
    <row r="102" ht="22.5" hidden="1" customHeight="1">
      <c r="A102" s="18">
        <v>101.0</v>
      </c>
      <c r="B102" s="18">
        <v>70.0</v>
      </c>
      <c r="C102" s="18">
        <v>1.0</v>
      </c>
      <c r="D102" s="18">
        <v>1832.0</v>
      </c>
      <c r="E102" s="18" t="s">
        <v>46</v>
      </c>
    </row>
    <row r="103" ht="22.5" hidden="1" customHeight="1">
      <c r="A103" s="18">
        <v>102.0</v>
      </c>
      <c r="B103" s="18">
        <v>74.0</v>
      </c>
      <c r="C103" s="18">
        <v>1.0</v>
      </c>
      <c r="D103" s="18">
        <v>1832.0</v>
      </c>
      <c r="E103" s="18" t="s">
        <v>46</v>
      </c>
    </row>
    <row r="104" ht="22.5" hidden="1" customHeight="1">
      <c r="A104" s="18">
        <v>103.0</v>
      </c>
      <c r="B104" s="18">
        <v>83.0</v>
      </c>
      <c r="C104" s="18">
        <v>1.0</v>
      </c>
      <c r="D104" s="18">
        <v>2015.0</v>
      </c>
      <c r="E104" s="18" t="s">
        <v>46</v>
      </c>
    </row>
    <row r="105" ht="22.5" hidden="1" customHeight="1">
      <c r="A105" s="18">
        <v>104.0</v>
      </c>
      <c r="B105" s="18">
        <v>115.0</v>
      </c>
      <c r="C105" s="18">
        <v>1.0</v>
      </c>
      <c r="D105" s="18">
        <v>1382.0</v>
      </c>
      <c r="E105" s="18" t="s">
        <v>46</v>
      </c>
    </row>
    <row r="106" ht="22.5" hidden="1" customHeight="1">
      <c r="A106" s="18">
        <v>105.0</v>
      </c>
      <c r="B106" s="18">
        <v>115.0</v>
      </c>
      <c r="C106" s="18">
        <v>2.0</v>
      </c>
      <c r="D106" s="18">
        <v>2013.0</v>
      </c>
      <c r="E106" s="18" t="s">
        <v>46</v>
      </c>
    </row>
    <row r="107" ht="22.5" hidden="1" customHeight="1">
      <c r="A107" s="18">
        <v>106.0</v>
      </c>
      <c r="B107" s="18">
        <v>87.0</v>
      </c>
      <c r="C107" s="18">
        <v>2.0</v>
      </c>
      <c r="D107" s="18">
        <v>1556.0</v>
      </c>
      <c r="E107" s="18" t="s">
        <v>46</v>
      </c>
    </row>
    <row r="108" ht="22.5" hidden="1" customHeight="1">
      <c r="A108" s="18">
        <v>107.0</v>
      </c>
      <c r="B108" s="18">
        <v>88.0</v>
      </c>
      <c r="C108" s="18">
        <v>1.0</v>
      </c>
      <c r="D108" s="18">
        <v>1551.0</v>
      </c>
      <c r="E108" s="18" t="s">
        <v>46</v>
      </c>
    </row>
    <row r="109" ht="22.5" hidden="1" customHeight="1">
      <c r="A109" s="18">
        <v>108.0</v>
      </c>
      <c r="B109" s="18">
        <v>89.0</v>
      </c>
      <c r="C109" s="18">
        <v>1.0</v>
      </c>
      <c r="D109" s="18">
        <v>2088.0</v>
      </c>
      <c r="E109" s="18" t="s">
        <v>46</v>
      </c>
    </row>
    <row r="110" ht="22.5" hidden="1" customHeight="1">
      <c r="A110" s="18">
        <v>109.0</v>
      </c>
      <c r="B110" s="18">
        <v>91.0</v>
      </c>
      <c r="C110" s="18">
        <v>1.0</v>
      </c>
      <c r="D110" s="18">
        <v>2069.0</v>
      </c>
      <c r="E110" s="18" t="s">
        <v>46</v>
      </c>
    </row>
    <row r="111" ht="22.5" customHeight="1">
      <c r="A111" s="18">
        <v>110.0</v>
      </c>
      <c r="B111" s="18">
        <v>92.0</v>
      </c>
      <c r="C111" s="18">
        <v>2.0</v>
      </c>
      <c r="D111" s="18">
        <v>2792.0</v>
      </c>
      <c r="E111" s="18" t="s">
        <v>46</v>
      </c>
    </row>
    <row r="112" ht="22.5" hidden="1" customHeight="1">
      <c r="A112" s="18">
        <v>111.0</v>
      </c>
      <c r="B112" s="18">
        <v>112.0</v>
      </c>
      <c r="C112" s="18">
        <v>1.0</v>
      </c>
      <c r="E112" s="18" t="s">
        <v>46</v>
      </c>
      <c r="F112" s="18" t="s">
        <v>256</v>
      </c>
    </row>
    <row r="113" ht="22.5" hidden="1" customHeight="1">
      <c r="A113" s="18">
        <v>112.0</v>
      </c>
      <c r="B113" s="18">
        <v>113.0</v>
      </c>
      <c r="C113" s="18">
        <v>1.0</v>
      </c>
      <c r="E113" s="18" t="s">
        <v>46</v>
      </c>
      <c r="F113" s="18" t="s">
        <v>256</v>
      </c>
    </row>
    <row r="114" ht="22.5" hidden="1" customHeight="1">
      <c r="A114" s="18">
        <v>113.0</v>
      </c>
      <c r="B114" s="18">
        <v>114.0</v>
      </c>
      <c r="C114" s="18">
        <v>1.0</v>
      </c>
      <c r="E114" s="18" t="s">
        <v>46</v>
      </c>
      <c r="F114" s="18" t="s">
        <v>256</v>
      </c>
    </row>
    <row r="115" ht="22.5" hidden="1" customHeight="1">
      <c r="A115" s="18">
        <v>114.0</v>
      </c>
      <c r="B115" s="18">
        <v>93.0</v>
      </c>
      <c r="C115" s="18">
        <v>2.0</v>
      </c>
      <c r="E115" s="18" t="s">
        <v>46</v>
      </c>
      <c r="F115" s="18" t="s">
        <v>256</v>
      </c>
    </row>
    <row r="116" ht="22.5" hidden="1" customHeight="1">
      <c r="A116" s="18">
        <v>115.0</v>
      </c>
      <c r="B116" s="18">
        <v>94.0</v>
      </c>
      <c r="C116" s="18">
        <v>2.0</v>
      </c>
      <c r="E116" s="18" t="s">
        <v>46</v>
      </c>
      <c r="F116" s="18" t="s">
        <v>256</v>
      </c>
    </row>
    <row r="117" ht="22.5" hidden="1" customHeight="1">
      <c r="A117" s="18">
        <v>116.0</v>
      </c>
      <c r="B117" s="18">
        <v>95.0</v>
      </c>
      <c r="C117" s="18">
        <v>2.0</v>
      </c>
      <c r="E117" s="18" t="s">
        <v>46</v>
      </c>
      <c r="F117" s="18" t="s">
        <v>256</v>
      </c>
    </row>
    <row r="118" ht="22.5" hidden="1" customHeight="1">
      <c r="A118" s="18">
        <v>117.0</v>
      </c>
      <c r="B118" s="18">
        <v>96.0</v>
      </c>
      <c r="C118" s="18">
        <v>2.0</v>
      </c>
      <c r="E118" s="18" t="s">
        <v>46</v>
      </c>
      <c r="F118" s="18" t="s">
        <v>256</v>
      </c>
    </row>
    <row r="119" ht="22.5" hidden="1" customHeight="1">
      <c r="A119" s="18">
        <v>118.0</v>
      </c>
      <c r="B119" s="18">
        <v>97.0</v>
      </c>
      <c r="C119" s="18">
        <v>2.0</v>
      </c>
      <c r="E119" s="18" t="s">
        <v>46</v>
      </c>
      <c r="F119" s="18" t="s">
        <v>256</v>
      </c>
    </row>
    <row r="120" ht="22.5" hidden="1" customHeight="1">
      <c r="A120" s="18">
        <v>119.0</v>
      </c>
      <c r="B120" s="18">
        <v>98.0</v>
      </c>
      <c r="C120" s="18">
        <v>2.0</v>
      </c>
      <c r="E120" s="18" t="s">
        <v>46</v>
      </c>
      <c r="F120" s="18" t="s">
        <v>256</v>
      </c>
    </row>
    <row r="121" ht="22.5" hidden="1" customHeight="1">
      <c r="A121" s="18">
        <v>120.0</v>
      </c>
      <c r="B121" s="18">
        <v>99.0</v>
      </c>
      <c r="C121" s="18">
        <v>2.0</v>
      </c>
      <c r="E121" s="18" t="s">
        <v>46</v>
      </c>
      <c r="F121" s="18" t="s">
        <v>256</v>
      </c>
    </row>
    <row r="122" ht="22.5" hidden="1" customHeight="1">
      <c r="A122" s="18">
        <v>121.0</v>
      </c>
      <c r="B122" s="18">
        <v>100.0</v>
      </c>
      <c r="C122" s="18">
        <v>2.0</v>
      </c>
      <c r="E122" s="18" t="s">
        <v>46</v>
      </c>
      <c r="F122" s="18" t="s">
        <v>256</v>
      </c>
    </row>
    <row r="123" ht="22.5" hidden="1" customHeight="1">
      <c r="A123" s="18">
        <v>122.0</v>
      </c>
      <c r="B123" s="18">
        <v>101.0</v>
      </c>
      <c r="C123" s="18">
        <v>2.0</v>
      </c>
      <c r="E123" s="18" t="s">
        <v>46</v>
      </c>
      <c r="F123" s="18" t="s">
        <v>256</v>
      </c>
    </row>
    <row r="124" ht="22.5" hidden="1" customHeight="1">
      <c r="A124" s="18">
        <v>123.0</v>
      </c>
      <c r="B124" s="18">
        <v>102.0</v>
      </c>
      <c r="C124" s="18">
        <v>2.0</v>
      </c>
      <c r="E124" s="18" t="s">
        <v>46</v>
      </c>
      <c r="F124" s="18" t="s">
        <v>256</v>
      </c>
    </row>
    <row r="125" ht="22.5" hidden="1" customHeight="1">
      <c r="A125" s="18">
        <v>124.0</v>
      </c>
      <c r="B125" s="18">
        <v>103.0</v>
      </c>
      <c r="C125" s="18">
        <v>1.0</v>
      </c>
      <c r="E125" s="18" t="s">
        <v>46</v>
      </c>
      <c r="F125" s="18" t="s">
        <v>256</v>
      </c>
    </row>
    <row r="126" ht="22.5" hidden="1" customHeight="1">
      <c r="A126" s="18">
        <v>125.0</v>
      </c>
      <c r="B126" s="18">
        <v>104.0</v>
      </c>
      <c r="C126" s="18">
        <v>1.0</v>
      </c>
      <c r="E126" s="18" t="s">
        <v>46</v>
      </c>
      <c r="F126" s="18" t="s">
        <v>256</v>
      </c>
    </row>
    <row r="127" ht="22.5" hidden="1" customHeight="1">
      <c r="A127" s="18">
        <v>126.0</v>
      </c>
      <c r="B127" s="18">
        <v>105.0</v>
      </c>
      <c r="C127" s="18">
        <v>1.0</v>
      </c>
      <c r="E127" s="18" t="s">
        <v>46</v>
      </c>
      <c r="F127" s="18" t="s">
        <v>256</v>
      </c>
    </row>
    <row r="128" ht="22.5" hidden="1" customHeight="1">
      <c r="A128" s="18">
        <v>127.0</v>
      </c>
      <c r="B128" s="18">
        <v>106.0</v>
      </c>
      <c r="C128" s="18">
        <v>1.0</v>
      </c>
      <c r="E128" s="18" t="s">
        <v>46</v>
      </c>
      <c r="F128" s="18" t="s">
        <v>256</v>
      </c>
    </row>
    <row r="129" ht="22.5" hidden="1" customHeight="1">
      <c r="A129" s="18">
        <v>128.0</v>
      </c>
      <c r="B129" s="18">
        <v>107.0</v>
      </c>
      <c r="C129" s="18">
        <v>1.0</v>
      </c>
      <c r="E129" s="18" t="s">
        <v>46</v>
      </c>
      <c r="F129" s="18" t="s">
        <v>256</v>
      </c>
    </row>
    <row r="130" ht="22.5" hidden="1" customHeight="1">
      <c r="A130" s="18">
        <v>129.0</v>
      </c>
      <c r="B130" s="18">
        <v>108.0</v>
      </c>
      <c r="C130" s="18">
        <v>1.0</v>
      </c>
      <c r="E130" s="18" t="s">
        <v>46</v>
      </c>
      <c r="F130" s="18" t="s">
        <v>256</v>
      </c>
    </row>
    <row r="131" ht="22.5" hidden="1" customHeight="1">
      <c r="A131" s="18">
        <v>130.0</v>
      </c>
      <c r="B131" s="18">
        <v>67.0</v>
      </c>
      <c r="C131" s="18">
        <v>1.0</v>
      </c>
      <c r="D131" s="18">
        <v>1382.0</v>
      </c>
      <c r="E131" s="18" t="s">
        <v>46</v>
      </c>
    </row>
    <row r="132" ht="22.5" hidden="1" customHeight="1">
      <c r="A132" s="18">
        <v>131.0</v>
      </c>
      <c r="B132" s="18">
        <v>116.0</v>
      </c>
      <c r="C132" s="18">
        <v>2.0</v>
      </c>
      <c r="D132" s="18">
        <v>2821.0</v>
      </c>
      <c r="E132" s="18" t="s">
        <v>46</v>
      </c>
    </row>
    <row r="133" ht="22.5" hidden="1" customHeight="1">
      <c r="A133" s="18">
        <v>132.0</v>
      </c>
      <c r="B133" s="18">
        <v>117.0</v>
      </c>
      <c r="C133" s="18">
        <v>2.0</v>
      </c>
      <c r="D133" s="18">
        <v>2646.0</v>
      </c>
      <c r="E133" s="18" t="s">
        <v>46</v>
      </c>
    </row>
    <row r="134" ht="22.5" hidden="1" customHeight="1">
      <c r="A134" s="18">
        <v>133.0</v>
      </c>
      <c r="B134" s="18">
        <v>118.0</v>
      </c>
      <c r="C134" s="18">
        <v>1.0</v>
      </c>
      <c r="D134" s="18">
        <v>2501.0</v>
      </c>
      <c r="E134" s="18" t="s">
        <v>46</v>
      </c>
      <c r="F134" s="18" t="s">
        <v>840</v>
      </c>
    </row>
    <row r="135" ht="22.5" hidden="1" customHeight="1">
      <c r="A135" s="18">
        <v>134.0</v>
      </c>
      <c r="B135" s="18">
        <v>119.0</v>
      </c>
      <c r="C135" s="18">
        <v>1.0</v>
      </c>
      <c r="D135" s="18">
        <v>2871.0</v>
      </c>
      <c r="E135" s="18" t="s">
        <v>46</v>
      </c>
    </row>
    <row r="136" ht="22.5" hidden="1" customHeight="1">
      <c r="A136" s="18">
        <v>135.0</v>
      </c>
      <c r="B136" s="18">
        <v>4.0</v>
      </c>
      <c r="C136" s="18">
        <v>1.0</v>
      </c>
      <c r="D136" s="18">
        <v>2503.0</v>
      </c>
      <c r="E136" s="18" t="s">
        <v>46</v>
      </c>
    </row>
    <row r="137" ht="22.5" hidden="1" customHeight="1">
      <c r="A137" s="18">
        <v>136.0</v>
      </c>
      <c r="B137" s="18">
        <v>4.0</v>
      </c>
      <c r="C137" s="18">
        <v>1.0</v>
      </c>
      <c r="D137" s="18">
        <v>2504.0</v>
      </c>
      <c r="E137" s="18" t="s">
        <v>46</v>
      </c>
    </row>
    <row r="138" ht="22.5" hidden="1" customHeight="1">
      <c r="A138" s="18">
        <v>137.0</v>
      </c>
      <c r="B138" s="18">
        <v>4.0</v>
      </c>
      <c r="C138" s="18">
        <v>1.0</v>
      </c>
      <c r="D138" s="18">
        <v>2505.0</v>
      </c>
      <c r="E138" s="18" t="s">
        <v>46</v>
      </c>
    </row>
    <row r="139" ht="22.5" hidden="1" customHeight="1">
      <c r="A139" s="18">
        <v>138.0</v>
      </c>
      <c r="B139" s="18">
        <v>4.0</v>
      </c>
      <c r="C139" s="18">
        <v>1.0</v>
      </c>
      <c r="D139" s="18">
        <v>2547.0</v>
      </c>
      <c r="E139" s="18" t="s">
        <v>46</v>
      </c>
    </row>
    <row r="140" ht="22.5" hidden="1" customHeight="1">
      <c r="A140" s="18">
        <v>139.0</v>
      </c>
      <c r="B140" s="18">
        <v>4.0</v>
      </c>
      <c r="C140" s="18">
        <v>1.0</v>
      </c>
      <c r="D140" s="18">
        <v>2825.0</v>
      </c>
      <c r="E140" s="18" t="s">
        <v>46</v>
      </c>
    </row>
    <row r="141" ht="22.5" hidden="1" customHeight="1">
      <c r="A141" s="18">
        <v>140.0</v>
      </c>
      <c r="B141" s="18">
        <v>5.0</v>
      </c>
      <c r="C141" s="18">
        <v>1.0</v>
      </c>
      <c r="D141" s="18">
        <v>1382.0</v>
      </c>
      <c r="E141" s="18" t="s">
        <v>46</v>
      </c>
    </row>
    <row r="142" ht="22.5" hidden="1" customHeight="1">
      <c r="A142" s="18">
        <v>141.0</v>
      </c>
      <c r="B142" s="18">
        <v>17.0</v>
      </c>
      <c r="C142" s="18">
        <v>1.0</v>
      </c>
      <c r="D142" s="18">
        <v>2718.0</v>
      </c>
      <c r="E142" s="18" t="s">
        <v>46</v>
      </c>
    </row>
    <row r="143" ht="22.5" hidden="1" customHeight="1">
      <c r="A143" s="18">
        <v>142.0</v>
      </c>
      <c r="B143" s="18">
        <v>18.0</v>
      </c>
      <c r="C143" s="18">
        <v>1.0</v>
      </c>
      <c r="D143" s="18">
        <v>1446.0</v>
      </c>
      <c r="E143" s="18" t="s">
        <v>46</v>
      </c>
    </row>
    <row r="144" ht="22.5" hidden="1" customHeight="1">
      <c r="A144" s="18">
        <v>143.0</v>
      </c>
      <c r="B144" s="18">
        <v>19.0</v>
      </c>
      <c r="C144" s="18">
        <v>1.0</v>
      </c>
      <c r="D144" s="18">
        <v>2041.0</v>
      </c>
      <c r="E144" s="18" t="s">
        <v>46</v>
      </c>
    </row>
    <row r="145" ht="22.5" hidden="1" customHeight="1">
      <c r="A145" s="18">
        <v>144.0</v>
      </c>
      <c r="B145" s="18">
        <v>22.0</v>
      </c>
      <c r="C145" s="18">
        <v>2.0</v>
      </c>
      <c r="D145" s="18">
        <v>2552.0</v>
      </c>
      <c r="E145" s="18" t="s">
        <v>46</v>
      </c>
    </row>
    <row r="146" ht="22.5" hidden="1" customHeight="1">
      <c r="A146" s="18">
        <v>145.0</v>
      </c>
      <c r="B146" s="18">
        <v>25.0</v>
      </c>
      <c r="C146" s="18">
        <v>2.0</v>
      </c>
      <c r="D146" s="18">
        <v>2454.0</v>
      </c>
      <c r="E146" s="18" t="s">
        <v>46</v>
      </c>
    </row>
    <row r="147" ht="22.5" hidden="1" customHeight="1">
      <c r="A147" s="18">
        <v>146.0</v>
      </c>
      <c r="B147" s="18">
        <v>33.0</v>
      </c>
      <c r="C147" s="18">
        <v>1.0</v>
      </c>
      <c r="D147" s="18">
        <v>2139.0</v>
      </c>
      <c r="E147" s="18" t="s">
        <v>46</v>
      </c>
    </row>
    <row r="148" ht="22.5" hidden="1" customHeight="1">
      <c r="A148" s="18">
        <v>147.0</v>
      </c>
      <c r="B148" s="18">
        <v>34.0</v>
      </c>
      <c r="C148" s="18">
        <v>2.0</v>
      </c>
      <c r="D148" s="18">
        <v>1923.0</v>
      </c>
      <c r="E148" s="18" t="s">
        <v>46</v>
      </c>
    </row>
    <row r="149" ht="22.5" hidden="1" customHeight="1">
      <c r="A149" s="18">
        <v>148.0</v>
      </c>
      <c r="B149" s="18">
        <v>36.0</v>
      </c>
      <c r="C149" s="18">
        <v>2.0</v>
      </c>
      <c r="D149" s="18">
        <v>1915.0</v>
      </c>
      <c r="E149" s="18" t="s">
        <v>46</v>
      </c>
    </row>
    <row r="150" ht="22.5" hidden="1" customHeight="1">
      <c r="A150" s="18">
        <v>149.0</v>
      </c>
      <c r="B150" s="18">
        <v>42.0</v>
      </c>
      <c r="C150" s="18">
        <v>2.0</v>
      </c>
      <c r="D150" s="18">
        <v>2197.0</v>
      </c>
      <c r="E150" s="18" t="s">
        <v>46</v>
      </c>
    </row>
    <row r="151" ht="22.5" hidden="1" customHeight="1">
      <c r="A151" s="18">
        <v>150.0</v>
      </c>
      <c r="B151" s="18">
        <v>42.0</v>
      </c>
      <c r="C151" s="18">
        <v>2.0</v>
      </c>
      <c r="D151" s="18">
        <v>2437.0</v>
      </c>
      <c r="E151" s="18" t="s">
        <v>46</v>
      </c>
    </row>
    <row r="152" ht="22.5" hidden="1" customHeight="1">
      <c r="A152" s="18">
        <v>151.0</v>
      </c>
      <c r="B152" s="18">
        <v>42.0</v>
      </c>
      <c r="C152" s="18">
        <v>2.0</v>
      </c>
      <c r="D152" s="18">
        <v>2438.0</v>
      </c>
      <c r="E152" s="18" t="s">
        <v>46</v>
      </c>
    </row>
    <row r="153" ht="22.5" hidden="1" customHeight="1">
      <c r="A153" s="18">
        <v>152.0</v>
      </c>
      <c r="B153" s="18">
        <v>42.0</v>
      </c>
      <c r="C153" s="18">
        <v>2.0</v>
      </c>
      <c r="D153" s="18">
        <v>2439.0</v>
      </c>
      <c r="E153" s="18" t="s">
        <v>46</v>
      </c>
    </row>
    <row r="154" ht="22.5" hidden="1" customHeight="1">
      <c r="A154" s="18">
        <v>153.0</v>
      </c>
      <c r="B154" s="18">
        <v>42.0</v>
      </c>
      <c r="C154" s="18">
        <v>2.0</v>
      </c>
      <c r="D154" s="18">
        <v>2440.0</v>
      </c>
      <c r="E154" s="18" t="s">
        <v>46</v>
      </c>
    </row>
    <row r="155" ht="22.5" hidden="1" customHeight="1">
      <c r="A155" s="18">
        <v>154.0</v>
      </c>
      <c r="B155" s="18">
        <v>42.0</v>
      </c>
      <c r="C155" s="18">
        <v>2.0</v>
      </c>
      <c r="D155" s="18">
        <v>2441.0</v>
      </c>
      <c r="E155" s="18" t="s">
        <v>46</v>
      </c>
    </row>
    <row r="156" ht="22.5" hidden="1" customHeight="1">
      <c r="A156" s="18">
        <v>155.0</v>
      </c>
      <c r="B156" s="18">
        <v>44.0</v>
      </c>
      <c r="C156" s="18">
        <v>1.0</v>
      </c>
      <c r="D156" s="18">
        <v>2031.0</v>
      </c>
      <c r="E156" s="18" t="s">
        <v>46</v>
      </c>
    </row>
    <row r="157" ht="22.5" hidden="1" customHeight="1">
      <c r="A157" s="18">
        <v>156.0</v>
      </c>
      <c r="B157" s="18">
        <v>44.0</v>
      </c>
      <c r="C157" s="18">
        <v>1.0</v>
      </c>
      <c r="D157" s="18">
        <v>2032.0</v>
      </c>
      <c r="E157" s="18" t="s">
        <v>46</v>
      </c>
    </row>
    <row r="158" ht="22.5" hidden="1" customHeight="1">
      <c r="A158" s="18">
        <v>157.0</v>
      </c>
      <c r="B158" s="18">
        <v>44.0</v>
      </c>
      <c r="C158" s="18">
        <v>1.0</v>
      </c>
      <c r="D158" s="18">
        <v>2477.0</v>
      </c>
      <c r="E158" s="18" t="s">
        <v>46</v>
      </c>
    </row>
    <row r="159" ht="22.5" hidden="1" customHeight="1">
      <c r="A159" s="18">
        <v>158.0</v>
      </c>
      <c r="B159" s="18">
        <v>44.0</v>
      </c>
      <c r="C159" s="18">
        <v>1.0</v>
      </c>
      <c r="D159" s="18">
        <v>2532.0</v>
      </c>
      <c r="E159" s="18" t="s">
        <v>46</v>
      </c>
    </row>
    <row r="160" ht="22.5" hidden="1" customHeight="1">
      <c r="A160" s="18">
        <v>159.0</v>
      </c>
      <c r="B160" s="18">
        <v>44.0</v>
      </c>
      <c r="C160" s="18">
        <v>1.0</v>
      </c>
      <c r="D160" s="18">
        <v>2533.0</v>
      </c>
      <c r="E160" s="18" t="s">
        <v>46</v>
      </c>
    </row>
    <row r="161" ht="22.5" hidden="1" customHeight="1">
      <c r="A161" s="18">
        <v>160.0</v>
      </c>
      <c r="B161" s="18">
        <v>44.0</v>
      </c>
      <c r="C161" s="18">
        <v>2.0</v>
      </c>
      <c r="D161" s="18">
        <v>2027.0</v>
      </c>
      <c r="E161" s="18" t="s">
        <v>46</v>
      </c>
    </row>
    <row r="162" ht="22.5" hidden="1" customHeight="1">
      <c r="A162" s="18">
        <v>161.0</v>
      </c>
      <c r="B162" s="18">
        <v>44.0</v>
      </c>
      <c r="C162" s="18">
        <v>2.0</v>
      </c>
      <c r="D162" s="18">
        <v>2028.0</v>
      </c>
      <c r="E162" s="18" t="s">
        <v>46</v>
      </c>
    </row>
    <row r="163" ht="22.5" hidden="1" customHeight="1">
      <c r="A163" s="18">
        <v>162.0</v>
      </c>
      <c r="B163" s="18">
        <v>46.0</v>
      </c>
      <c r="C163" s="18">
        <v>1.0</v>
      </c>
      <c r="D163" s="18">
        <v>1908.0</v>
      </c>
      <c r="E163" s="18" t="s">
        <v>46</v>
      </c>
      <c r="F163" s="18" t="s">
        <v>893</v>
      </c>
    </row>
    <row r="164" ht="22.5" hidden="1" customHeight="1">
      <c r="A164" s="18">
        <v>163.0</v>
      </c>
      <c r="B164" s="18">
        <v>47.0</v>
      </c>
      <c r="C164" s="18">
        <v>1.0</v>
      </c>
      <c r="D164" s="18">
        <v>1908.0</v>
      </c>
      <c r="E164" s="18" t="s">
        <v>46</v>
      </c>
      <c r="F164" s="18" t="s">
        <v>893</v>
      </c>
    </row>
    <row r="165" ht="22.5" hidden="1" customHeight="1">
      <c r="A165" s="18">
        <v>164.0</v>
      </c>
      <c r="B165" s="18">
        <v>48.0</v>
      </c>
      <c r="C165" s="26">
        <v>1.0</v>
      </c>
      <c r="D165" s="26">
        <v>1908.0</v>
      </c>
      <c r="E165" s="26" t="s">
        <v>46</v>
      </c>
      <c r="F165" s="26" t="s">
        <v>893</v>
      </c>
    </row>
    <row r="166" ht="22.5" hidden="1" customHeight="1">
      <c r="A166" s="18">
        <v>165.0</v>
      </c>
      <c r="B166" s="18">
        <v>54.0</v>
      </c>
      <c r="C166" s="18">
        <v>1.0</v>
      </c>
      <c r="D166" s="18">
        <v>1907.0</v>
      </c>
      <c r="E166" s="18" t="s">
        <v>46</v>
      </c>
      <c r="F166" s="18" t="s">
        <v>899</v>
      </c>
    </row>
    <row r="167" ht="22.5" hidden="1" customHeight="1">
      <c r="A167" s="18">
        <v>166.0</v>
      </c>
      <c r="B167" s="18">
        <v>64.0</v>
      </c>
      <c r="C167" s="18">
        <v>2.0</v>
      </c>
      <c r="D167" s="18">
        <v>2811.0</v>
      </c>
      <c r="E167" s="18" t="s">
        <v>46</v>
      </c>
    </row>
    <row r="168" ht="22.5" hidden="1" customHeight="1">
      <c r="A168" s="18">
        <v>167.0</v>
      </c>
      <c r="B168" s="18">
        <v>68.0</v>
      </c>
      <c r="C168" s="18">
        <v>1.0</v>
      </c>
      <c r="D168" s="18">
        <v>2015.0</v>
      </c>
      <c r="E168" s="18" t="s">
        <v>46</v>
      </c>
    </row>
    <row r="169" ht="22.5" hidden="1" customHeight="1">
      <c r="A169" s="18">
        <v>168.0</v>
      </c>
      <c r="B169" s="18">
        <v>72.0</v>
      </c>
      <c r="C169" s="18">
        <v>1.0</v>
      </c>
      <c r="D169" s="18">
        <v>2015.0</v>
      </c>
      <c r="E169" s="18" t="s">
        <v>46</v>
      </c>
    </row>
    <row r="170" ht="22.5" hidden="1" customHeight="1">
      <c r="A170" s="18">
        <v>169.0</v>
      </c>
      <c r="B170" s="18">
        <v>75.0</v>
      </c>
      <c r="C170" s="18">
        <v>1.0</v>
      </c>
      <c r="D170" s="18">
        <v>2015.0</v>
      </c>
      <c r="E170" s="18" t="s">
        <v>46</v>
      </c>
    </row>
    <row r="171" ht="22.5" hidden="1" customHeight="1">
      <c r="A171" s="18">
        <v>170.0</v>
      </c>
      <c r="B171" s="18">
        <v>76.0</v>
      </c>
      <c r="C171" s="18">
        <v>1.0</v>
      </c>
      <c r="D171" s="18">
        <v>1832.0</v>
      </c>
      <c r="E171" s="18" t="s">
        <v>46</v>
      </c>
    </row>
    <row r="172" ht="22.5" hidden="1" customHeight="1">
      <c r="A172" s="18">
        <v>171.0</v>
      </c>
      <c r="B172" s="18">
        <v>77.0</v>
      </c>
      <c r="C172" s="18">
        <v>1.0</v>
      </c>
      <c r="D172" s="18">
        <v>1832.0</v>
      </c>
      <c r="E172" s="18" t="s">
        <v>46</v>
      </c>
    </row>
    <row r="173" ht="22.5" hidden="1" customHeight="1">
      <c r="A173" s="18">
        <v>172.0</v>
      </c>
      <c r="B173" s="18">
        <v>78.0</v>
      </c>
      <c r="C173" s="18">
        <v>1.0</v>
      </c>
      <c r="D173" s="18">
        <v>1832.0</v>
      </c>
      <c r="E173" s="18" t="s">
        <v>46</v>
      </c>
    </row>
    <row r="174" ht="22.5" hidden="1" customHeight="1">
      <c r="A174" s="18">
        <v>173.0</v>
      </c>
      <c r="B174" s="18">
        <v>79.0</v>
      </c>
      <c r="C174" s="18">
        <v>1.0</v>
      </c>
      <c r="D174" s="18">
        <v>2015.0</v>
      </c>
      <c r="E174" s="18" t="s">
        <v>46</v>
      </c>
    </row>
    <row r="175" ht="22.5" hidden="1" customHeight="1">
      <c r="A175" s="18">
        <v>174.0</v>
      </c>
      <c r="B175" s="18">
        <v>80.0</v>
      </c>
      <c r="C175" s="18">
        <v>1.0</v>
      </c>
      <c r="D175" s="18">
        <v>1832.0</v>
      </c>
      <c r="E175" s="18" t="s">
        <v>46</v>
      </c>
    </row>
    <row r="176" ht="22.5" hidden="1" customHeight="1">
      <c r="A176" s="18">
        <v>175.0</v>
      </c>
      <c r="B176" s="18">
        <v>82.0</v>
      </c>
      <c r="C176" s="18">
        <v>1.0</v>
      </c>
      <c r="D176" s="18">
        <v>1815.0</v>
      </c>
      <c r="E176" s="23" t="s">
        <v>46</v>
      </c>
    </row>
    <row r="177" ht="22.5" hidden="1" customHeight="1">
      <c r="A177" s="18">
        <v>176.0</v>
      </c>
      <c r="B177" s="18">
        <v>88.0</v>
      </c>
      <c r="C177" s="18">
        <v>1.0</v>
      </c>
      <c r="D177" s="18">
        <v>1937.0</v>
      </c>
      <c r="E177" s="18" t="s">
        <v>46</v>
      </c>
    </row>
    <row r="178" ht="22.5" hidden="1" customHeight="1">
      <c r="A178" s="18">
        <v>177.0</v>
      </c>
      <c r="B178" s="18">
        <v>88.0</v>
      </c>
      <c r="C178" s="18">
        <v>1.0</v>
      </c>
      <c r="D178" s="18">
        <v>2595.0</v>
      </c>
      <c r="E178" s="18" t="s">
        <v>46</v>
      </c>
    </row>
    <row r="179" ht="22.5" hidden="1" customHeight="1">
      <c r="A179" s="18">
        <v>178.0</v>
      </c>
      <c r="B179" s="18">
        <v>91.0</v>
      </c>
      <c r="C179" s="18">
        <v>1.0</v>
      </c>
      <c r="D179" s="18">
        <v>2070.0</v>
      </c>
      <c r="E179" s="18" t="s">
        <v>46</v>
      </c>
    </row>
    <row r="180" ht="22.5" customHeight="1">
      <c r="A180" s="18">
        <v>179.0</v>
      </c>
      <c r="B180" s="18">
        <v>92.0</v>
      </c>
      <c r="C180" s="18">
        <v>2.0</v>
      </c>
      <c r="D180" s="18">
        <v>2793.0</v>
      </c>
      <c r="E180" s="18" t="s">
        <v>46</v>
      </c>
    </row>
    <row r="181" ht="22.5" customHeight="1">
      <c r="A181" s="18">
        <v>180.0</v>
      </c>
      <c r="B181" s="18">
        <v>92.0</v>
      </c>
      <c r="C181" s="18">
        <v>2.0</v>
      </c>
      <c r="D181" s="18">
        <v>2866.0</v>
      </c>
      <c r="E181" s="18" t="s">
        <v>46</v>
      </c>
    </row>
    <row r="182" ht="22.5" hidden="1" customHeight="1">
      <c r="A182" s="18">
        <v>181.0</v>
      </c>
      <c r="B182" s="18">
        <v>109.0</v>
      </c>
      <c r="C182" s="18">
        <v>1.0</v>
      </c>
      <c r="D182" s="18">
        <v>1490.0</v>
      </c>
      <c r="E182" s="18" t="s">
        <v>46</v>
      </c>
    </row>
    <row r="183" ht="22.5" hidden="1" customHeight="1">
      <c r="A183" s="18">
        <v>182.0</v>
      </c>
      <c r="B183" s="18">
        <v>110.0</v>
      </c>
      <c r="C183" s="18">
        <v>1.0</v>
      </c>
      <c r="D183" s="18">
        <v>1448.0</v>
      </c>
      <c r="E183" s="18" t="s">
        <v>46</v>
      </c>
    </row>
    <row r="184" ht="22.5" hidden="1" customHeight="1">
      <c r="A184" s="18">
        <v>183.0</v>
      </c>
      <c r="B184" s="18">
        <v>116.0</v>
      </c>
      <c r="C184" s="18">
        <v>1.0</v>
      </c>
      <c r="D184" s="18">
        <v>2820.0</v>
      </c>
      <c r="E184" s="18" t="s">
        <v>46</v>
      </c>
    </row>
    <row r="185" ht="22.5" hidden="1" customHeight="1">
      <c r="A185" s="18">
        <v>184.0</v>
      </c>
      <c r="B185" s="18">
        <v>117.0</v>
      </c>
      <c r="C185" s="18">
        <v>1.0</v>
      </c>
      <c r="D185" s="18">
        <v>2645.0</v>
      </c>
      <c r="E185" s="18" t="s">
        <v>46</v>
      </c>
    </row>
    <row r="186" ht="22.5" hidden="1" customHeight="1">
      <c r="A186" s="18">
        <v>185.0</v>
      </c>
      <c r="B186" s="18">
        <v>118.0</v>
      </c>
      <c r="C186" s="18">
        <v>1.0</v>
      </c>
      <c r="D186" s="18">
        <v>2525.0</v>
      </c>
      <c r="E186" s="18" t="s">
        <v>46</v>
      </c>
      <c r="F186" s="18" t="s">
        <v>840</v>
      </c>
    </row>
    <row r="187" ht="22.5" hidden="1" customHeight="1">
      <c r="A187" s="18">
        <v>186.0</v>
      </c>
      <c r="B187" s="18">
        <v>118.0</v>
      </c>
      <c r="C187" s="18">
        <v>1.0</v>
      </c>
      <c r="D187" s="18">
        <v>2082.0</v>
      </c>
      <c r="E187" s="18" t="s">
        <v>46</v>
      </c>
      <c r="F187" s="18" t="s">
        <v>840</v>
      </c>
    </row>
    <row r="188" ht="22.5" hidden="1" customHeight="1">
      <c r="A188" s="18">
        <v>187.0</v>
      </c>
      <c r="B188" s="18">
        <v>118.0</v>
      </c>
      <c r="C188" s="18">
        <v>1.0</v>
      </c>
      <c r="D188" s="18">
        <v>2083.0</v>
      </c>
      <c r="E188" s="18" t="s">
        <v>46</v>
      </c>
      <c r="F188" s="18" t="s">
        <v>840</v>
      </c>
    </row>
    <row r="189" ht="22.5" hidden="1" customHeight="1">
      <c r="A189" s="18">
        <v>188.0</v>
      </c>
      <c r="B189" s="18">
        <v>118.0</v>
      </c>
      <c r="C189" s="18">
        <v>1.0</v>
      </c>
      <c r="D189" s="18">
        <v>2814.0</v>
      </c>
      <c r="E189" s="18" t="s">
        <v>46</v>
      </c>
      <c r="F189" s="18" t="s">
        <v>840</v>
      </c>
    </row>
    <row r="190" ht="22.5" hidden="1" customHeight="1">
      <c r="A190" s="18"/>
      <c r="B190" s="18"/>
      <c r="C190" s="18"/>
      <c r="E190" s="18"/>
    </row>
    <row r="191" ht="22.5" hidden="1" customHeight="1">
      <c r="A191" s="18"/>
      <c r="B191" s="18"/>
      <c r="C191" s="18"/>
      <c r="E191" s="18"/>
    </row>
    <row r="192" ht="22.5" hidden="1" customHeight="1">
      <c r="A192" s="18"/>
      <c r="B192" s="18"/>
      <c r="C192" s="18"/>
      <c r="E192" s="18"/>
    </row>
    <row r="193" ht="22.5" hidden="1" customHeight="1">
      <c r="A193" s="18"/>
      <c r="B193" s="18"/>
      <c r="C193" s="18"/>
      <c r="E193" s="18"/>
    </row>
    <row r="194" ht="22.5" hidden="1" customHeight="1">
      <c r="A194" s="18"/>
      <c r="B194" s="18"/>
      <c r="C194" s="18"/>
      <c r="E194" s="18"/>
    </row>
    <row r="195" ht="22.5" hidden="1" customHeight="1">
      <c r="A195" s="18"/>
      <c r="B195" s="18"/>
      <c r="C195" s="18"/>
      <c r="E195" s="18"/>
    </row>
    <row r="196" ht="22.5" hidden="1" customHeight="1">
      <c r="A196" s="18"/>
      <c r="B196" s="18"/>
      <c r="C196" s="18"/>
      <c r="E196" s="18"/>
    </row>
    <row r="197" ht="22.5" hidden="1" customHeight="1">
      <c r="A197" s="18"/>
      <c r="B197" s="18"/>
      <c r="C197" s="18"/>
      <c r="E197" s="18"/>
    </row>
    <row r="198" ht="22.5" hidden="1" customHeight="1">
      <c r="A198" s="18"/>
      <c r="B198" s="18"/>
      <c r="C198" s="18"/>
      <c r="E198" s="18"/>
    </row>
    <row r="199" ht="22.5" hidden="1" customHeight="1">
      <c r="A199" s="18"/>
      <c r="B199" s="18"/>
      <c r="C199" s="18"/>
      <c r="E199" s="18"/>
    </row>
    <row r="200" ht="22.5" hidden="1" customHeight="1">
      <c r="A200" s="18"/>
      <c r="B200" s="18"/>
      <c r="C200" s="18"/>
      <c r="E200" s="18"/>
    </row>
    <row r="201" ht="22.5" hidden="1" customHeight="1">
      <c r="A201" s="18"/>
      <c r="B201" s="18"/>
      <c r="C201" s="18"/>
      <c r="E201" s="18"/>
    </row>
    <row r="202" ht="22.5" hidden="1" customHeight="1">
      <c r="A202" s="18"/>
      <c r="B202" s="18"/>
      <c r="C202" s="18"/>
      <c r="E202" s="18"/>
    </row>
    <row r="203" ht="22.5" hidden="1" customHeight="1">
      <c r="A203" s="18"/>
      <c r="B203" s="18"/>
      <c r="C203" s="18"/>
      <c r="E203" s="18"/>
    </row>
    <row r="204" ht="22.5" hidden="1" customHeight="1">
      <c r="A204" s="18"/>
      <c r="B204" s="18"/>
      <c r="C204" s="18"/>
      <c r="E204" s="18"/>
    </row>
    <row r="205" ht="22.5" hidden="1" customHeight="1">
      <c r="A205" s="18"/>
      <c r="B205" s="18"/>
      <c r="C205" s="18"/>
      <c r="E205" s="18"/>
    </row>
    <row r="206" ht="22.5" hidden="1" customHeight="1">
      <c r="A206" s="18"/>
      <c r="B206" s="18"/>
      <c r="C206" s="18"/>
      <c r="E206" s="18"/>
    </row>
    <row r="207" ht="22.5" hidden="1" customHeight="1">
      <c r="A207" s="18"/>
      <c r="B207" s="18"/>
      <c r="C207" s="18"/>
      <c r="E207" s="18"/>
    </row>
    <row r="208" ht="22.5" hidden="1" customHeight="1">
      <c r="A208" s="18"/>
      <c r="B208" s="18"/>
      <c r="C208" s="18"/>
      <c r="E208" s="18"/>
    </row>
    <row r="209" ht="22.5" hidden="1" customHeight="1">
      <c r="A209" s="18"/>
      <c r="B209" s="18"/>
      <c r="C209" s="18"/>
      <c r="E209" s="18"/>
    </row>
    <row r="210" ht="22.5" hidden="1" customHeight="1">
      <c r="A210" s="18"/>
      <c r="B210" s="18"/>
      <c r="C210" s="18"/>
      <c r="E210" s="18"/>
    </row>
    <row r="211" ht="22.5" hidden="1" customHeight="1">
      <c r="A211" s="18"/>
      <c r="B211" s="18"/>
      <c r="C211" s="18"/>
      <c r="E211" s="18"/>
    </row>
    <row r="212" ht="22.5" hidden="1" customHeight="1">
      <c r="A212" s="18"/>
      <c r="B212" s="18"/>
      <c r="C212" s="18"/>
      <c r="E212" s="18"/>
    </row>
    <row r="213" ht="22.5" hidden="1" customHeight="1">
      <c r="A213" s="18"/>
      <c r="B213" s="18"/>
      <c r="C213" s="18"/>
      <c r="E213" s="18"/>
    </row>
    <row r="214" ht="22.5" hidden="1" customHeight="1">
      <c r="A214" s="18"/>
      <c r="B214" s="18"/>
      <c r="C214" s="18"/>
      <c r="E214" s="18"/>
    </row>
    <row r="215" ht="22.5" hidden="1" customHeight="1">
      <c r="A215" s="18"/>
      <c r="B215" s="18"/>
      <c r="C215" s="18"/>
      <c r="E215" s="18"/>
    </row>
    <row r="216" ht="22.5" hidden="1" customHeight="1">
      <c r="A216" s="18"/>
      <c r="B216" s="18"/>
      <c r="C216" s="18"/>
      <c r="E216" s="18"/>
    </row>
    <row r="217" ht="22.5" hidden="1" customHeight="1">
      <c r="A217" s="18"/>
      <c r="B217" s="18"/>
      <c r="C217" s="18"/>
      <c r="E217" s="18"/>
    </row>
    <row r="218" ht="22.5" hidden="1" customHeight="1">
      <c r="A218" s="18"/>
      <c r="B218" s="18"/>
      <c r="C218" s="18"/>
      <c r="E218" s="18"/>
    </row>
    <row r="219" ht="22.5" hidden="1" customHeight="1">
      <c r="A219" s="18"/>
      <c r="B219" s="18"/>
      <c r="C219" s="18"/>
      <c r="E219" s="18"/>
    </row>
    <row r="220" ht="22.5" hidden="1" customHeight="1">
      <c r="A220" s="18"/>
      <c r="B220" s="18"/>
      <c r="C220" s="18"/>
      <c r="E220" s="18"/>
    </row>
    <row r="221" ht="22.5" hidden="1" customHeight="1">
      <c r="A221" s="18"/>
      <c r="B221" s="18"/>
      <c r="C221" s="18"/>
      <c r="E221" s="18"/>
    </row>
    <row r="222" ht="22.5" hidden="1" customHeight="1">
      <c r="A222" s="18"/>
      <c r="B222" s="18"/>
      <c r="C222" s="18"/>
      <c r="E222" s="18"/>
    </row>
    <row r="223" ht="22.5" hidden="1" customHeight="1">
      <c r="A223" s="18"/>
      <c r="B223" s="18"/>
      <c r="C223" s="18"/>
      <c r="E223" s="18"/>
    </row>
    <row r="224" ht="22.5" hidden="1" customHeight="1">
      <c r="A224" s="18"/>
      <c r="B224" s="18"/>
      <c r="C224" s="18"/>
      <c r="E224" s="18"/>
    </row>
    <row r="225" ht="22.5" hidden="1" customHeight="1">
      <c r="A225" s="18"/>
      <c r="B225" s="18"/>
      <c r="C225" s="18"/>
      <c r="E225" s="18"/>
    </row>
    <row r="226" ht="22.5" hidden="1" customHeight="1">
      <c r="A226" s="18"/>
      <c r="B226" s="18"/>
      <c r="C226" s="18"/>
      <c r="E226" s="18"/>
    </row>
    <row r="227" ht="22.5" hidden="1" customHeight="1">
      <c r="A227" s="18"/>
      <c r="B227" s="18"/>
      <c r="C227" s="18"/>
      <c r="E227" s="18"/>
    </row>
    <row r="228" ht="22.5" hidden="1" customHeight="1">
      <c r="A228" s="18"/>
      <c r="B228" s="18"/>
      <c r="C228" s="18"/>
      <c r="E228" s="18"/>
    </row>
    <row r="229" ht="22.5" hidden="1" customHeight="1">
      <c r="A229" s="18"/>
      <c r="B229" s="18"/>
      <c r="C229" s="18"/>
      <c r="E229" s="18"/>
    </row>
    <row r="230" ht="22.5" hidden="1" customHeight="1">
      <c r="A230" s="18"/>
      <c r="B230" s="18"/>
      <c r="C230" s="18"/>
      <c r="E230" s="18"/>
    </row>
    <row r="231" ht="22.5" hidden="1" customHeight="1">
      <c r="A231" s="18"/>
      <c r="B231" s="18"/>
      <c r="C231" s="18"/>
      <c r="E231" s="18"/>
    </row>
    <row r="232" ht="22.5" hidden="1" customHeight="1">
      <c r="A232" s="18"/>
      <c r="B232" s="18"/>
      <c r="C232" s="18"/>
      <c r="E232" s="18"/>
    </row>
    <row r="233" ht="22.5" hidden="1" customHeight="1">
      <c r="A233" s="18"/>
      <c r="B233" s="18"/>
      <c r="C233" s="18"/>
      <c r="E233" s="18"/>
    </row>
    <row r="234" ht="22.5" hidden="1" customHeight="1">
      <c r="A234" s="18"/>
      <c r="B234" s="18"/>
      <c r="C234" s="18"/>
      <c r="E234" s="18"/>
    </row>
    <row r="235" ht="22.5" hidden="1" customHeight="1">
      <c r="A235" s="18"/>
      <c r="B235" s="18"/>
      <c r="C235" s="18"/>
      <c r="E235" s="18"/>
    </row>
    <row r="236" ht="22.5" hidden="1" customHeight="1">
      <c r="A236" s="18"/>
      <c r="B236" s="18"/>
      <c r="C236" s="18"/>
      <c r="E236" s="18"/>
    </row>
    <row r="237" ht="22.5" hidden="1" customHeight="1">
      <c r="A237" s="18"/>
      <c r="B237" s="18"/>
      <c r="C237" s="18"/>
      <c r="E237" s="18"/>
    </row>
    <row r="238" ht="22.5" hidden="1" customHeight="1">
      <c r="A238" s="18"/>
      <c r="B238" s="18"/>
      <c r="C238" s="18"/>
      <c r="E238" s="18"/>
    </row>
    <row r="239" ht="22.5" hidden="1" customHeight="1">
      <c r="A239" s="18"/>
      <c r="B239" s="18"/>
      <c r="C239" s="18"/>
      <c r="E239" s="18"/>
    </row>
    <row r="240" ht="22.5" hidden="1" customHeight="1">
      <c r="A240" s="18"/>
      <c r="B240" s="18"/>
      <c r="C240" s="18"/>
      <c r="E240" s="18"/>
    </row>
    <row r="241" ht="22.5" hidden="1" customHeight="1">
      <c r="A241" s="18"/>
      <c r="B241" s="18"/>
      <c r="C241" s="18"/>
      <c r="E241" s="18"/>
    </row>
    <row r="242" ht="22.5" hidden="1" customHeight="1">
      <c r="A242" s="18"/>
      <c r="B242" s="18"/>
      <c r="C242" s="18"/>
      <c r="E242" s="18"/>
    </row>
    <row r="243" ht="22.5" hidden="1" customHeight="1">
      <c r="A243" s="18"/>
      <c r="B243" s="18"/>
      <c r="C243" s="18"/>
      <c r="E243" s="18"/>
    </row>
    <row r="244" ht="22.5" hidden="1" customHeight="1">
      <c r="A244" s="18"/>
      <c r="B244" s="18"/>
      <c r="C244" s="18"/>
      <c r="E244" s="18"/>
    </row>
    <row r="245" ht="22.5" hidden="1" customHeight="1">
      <c r="A245" s="18"/>
      <c r="B245" s="18"/>
      <c r="C245" s="18"/>
      <c r="E245" s="18"/>
    </row>
    <row r="246" ht="22.5" hidden="1" customHeight="1">
      <c r="A246" s="18"/>
      <c r="B246" s="18"/>
      <c r="C246" s="18"/>
      <c r="E246" s="18"/>
    </row>
    <row r="247" ht="22.5" hidden="1" customHeight="1">
      <c r="A247" s="18"/>
      <c r="B247" s="18"/>
      <c r="C247" s="18"/>
      <c r="E247" s="18"/>
    </row>
    <row r="248" ht="22.5" hidden="1" customHeight="1">
      <c r="A248" s="18"/>
      <c r="B248" s="18"/>
      <c r="C248" s="18"/>
      <c r="E248" s="18"/>
    </row>
    <row r="249" ht="22.5" hidden="1" customHeight="1">
      <c r="A249" s="18"/>
      <c r="B249" s="18"/>
      <c r="C249" s="18"/>
      <c r="E249" s="18"/>
    </row>
    <row r="250" ht="22.5" hidden="1" customHeight="1">
      <c r="A250" s="18"/>
      <c r="B250" s="18"/>
      <c r="C250" s="18"/>
      <c r="E250" s="18"/>
    </row>
    <row r="251" ht="22.5" hidden="1" customHeight="1">
      <c r="A251" s="18"/>
      <c r="B251" s="18"/>
      <c r="C251" s="18"/>
      <c r="E251" s="18"/>
    </row>
    <row r="252" ht="22.5" hidden="1" customHeight="1">
      <c r="A252" s="18"/>
      <c r="B252" s="18"/>
      <c r="C252" s="18"/>
      <c r="E252" s="18"/>
    </row>
    <row r="253" ht="22.5" hidden="1" customHeight="1">
      <c r="A253" s="18"/>
      <c r="B253" s="18"/>
      <c r="C253" s="18"/>
      <c r="E253" s="18"/>
    </row>
    <row r="254" ht="22.5" hidden="1" customHeight="1">
      <c r="A254" s="18"/>
      <c r="B254" s="18"/>
      <c r="C254" s="18"/>
      <c r="E254" s="18"/>
    </row>
    <row r="255" ht="22.5" hidden="1" customHeight="1">
      <c r="A255" s="18"/>
      <c r="B255" s="18"/>
      <c r="C255" s="18"/>
      <c r="E255" s="18"/>
    </row>
    <row r="256" ht="22.5" hidden="1" customHeight="1">
      <c r="A256" s="18"/>
      <c r="B256" s="18"/>
      <c r="C256" s="18"/>
      <c r="E256" s="18"/>
    </row>
    <row r="257" ht="22.5" hidden="1" customHeight="1">
      <c r="A257" s="18"/>
      <c r="B257" s="18"/>
      <c r="C257" s="18"/>
      <c r="E257" s="18"/>
    </row>
    <row r="258" ht="22.5" hidden="1" customHeight="1">
      <c r="A258" s="18"/>
      <c r="B258" s="18"/>
      <c r="C258" s="18"/>
      <c r="E258" s="18"/>
    </row>
    <row r="259" ht="22.5" hidden="1" customHeight="1">
      <c r="A259" s="18"/>
      <c r="B259" s="18"/>
      <c r="C259" s="18"/>
      <c r="E259" s="18"/>
    </row>
    <row r="260" ht="22.5" hidden="1" customHeight="1">
      <c r="A260" s="18"/>
      <c r="B260" s="18"/>
      <c r="C260" s="18"/>
      <c r="E260" s="18"/>
    </row>
    <row r="261" ht="22.5" hidden="1" customHeight="1">
      <c r="A261" s="18"/>
      <c r="B261" s="18"/>
      <c r="C261" s="18"/>
      <c r="E261" s="18"/>
    </row>
    <row r="262" ht="22.5" hidden="1" customHeight="1">
      <c r="A262" s="18"/>
      <c r="B262" s="18"/>
      <c r="C262" s="18"/>
      <c r="E262" s="18"/>
    </row>
    <row r="263" ht="22.5" hidden="1" customHeight="1">
      <c r="A263" s="18"/>
      <c r="B263" s="18"/>
      <c r="C263" s="18"/>
      <c r="E263" s="18"/>
    </row>
    <row r="264" ht="22.5" hidden="1" customHeight="1">
      <c r="A264" s="18"/>
      <c r="B264" s="18"/>
      <c r="C264" s="18"/>
      <c r="E264" s="18"/>
    </row>
    <row r="265" ht="22.5" hidden="1" customHeight="1">
      <c r="A265" s="18"/>
      <c r="B265" s="18"/>
      <c r="C265" s="18"/>
      <c r="E265" s="18"/>
    </row>
    <row r="266" ht="22.5" hidden="1" customHeight="1">
      <c r="A266" s="18"/>
      <c r="B266" s="18"/>
      <c r="C266" s="18"/>
      <c r="E266" s="18"/>
    </row>
    <row r="267" ht="22.5" hidden="1" customHeight="1">
      <c r="A267" s="18"/>
      <c r="B267" s="18"/>
      <c r="C267" s="18"/>
      <c r="E267" s="18"/>
    </row>
    <row r="268" ht="22.5" hidden="1" customHeight="1">
      <c r="A268" s="18"/>
      <c r="B268" s="18"/>
      <c r="C268" s="18"/>
      <c r="E268" s="18"/>
    </row>
    <row r="269" ht="22.5" hidden="1" customHeight="1">
      <c r="A269" s="18"/>
      <c r="B269" s="18"/>
      <c r="C269" s="18"/>
      <c r="E269" s="18"/>
    </row>
    <row r="270" ht="22.5" hidden="1" customHeight="1">
      <c r="A270" s="18"/>
      <c r="B270" s="18"/>
      <c r="C270" s="18"/>
      <c r="E270" s="18"/>
    </row>
    <row r="271" ht="22.5" hidden="1" customHeight="1">
      <c r="A271" s="18"/>
      <c r="B271" s="18"/>
      <c r="C271" s="18"/>
      <c r="E271" s="18"/>
    </row>
    <row r="272" ht="22.5" hidden="1" customHeight="1">
      <c r="A272" s="18"/>
      <c r="B272" s="18"/>
      <c r="C272" s="18"/>
      <c r="E272" s="18"/>
    </row>
    <row r="273" ht="22.5" hidden="1" customHeight="1">
      <c r="A273" s="18"/>
      <c r="B273" s="18"/>
      <c r="C273" s="18"/>
      <c r="E273" s="18"/>
    </row>
    <row r="274" ht="22.5" hidden="1" customHeight="1">
      <c r="A274" s="18"/>
      <c r="B274" s="18"/>
      <c r="C274" s="18"/>
      <c r="E274" s="18"/>
    </row>
    <row r="275" ht="22.5" hidden="1" customHeight="1">
      <c r="A275" s="18"/>
      <c r="B275" s="18"/>
      <c r="C275" s="18"/>
      <c r="E275" s="18"/>
    </row>
    <row r="276" ht="22.5" hidden="1" customHeight="1">
      <c r="A276" s="18"/>
      <c r="B276" s="18"/>
      <c r="C276" s="18"/>
      <c r="E276" s="18"/>
    </row>
    <row r="277" ht="22.5" hidden="1" customHeight="1">
      <c r="A277" s="18"/>
      <c r="B277" s="18"/>
      <c r="C277" s="18"/>
      <c r="E277" s="18"/>
    </row>
    <row r="278" ht="22.5" hidden="1" customHeight="1">
      <c r="A278" s="18"/>
      <c r="B278" s="18"/>
      <c r="C278" s="18"/>
      <c r="E278" s="18"/>
    </row>
    <row r="279" ht="22.5" hidden="1" customHeight="1">
      <c r="A279" s="18"/>
      <c r="B279" s="18"/>
      <c r="C279" s="18"/>
      <c r="E279" s="18"/>
    </row>
    <row r="280" ht="22.5" hidden="1" customHeight="1">
      <c r="A280" s="18"/>
      <c r="B280" s="18"/>
      <c r="C280" s="18"/>
      <c r="E280" s="18"/>
    </row>
    <row r="281" ht="22.5" hidden="1" customHeight="1">
      <c r="A281" s="18"/>
      <c r="B281" s="18"/>
      <c r="C281" s="18"/>
      <c r="E281" s="18"/>
    </row>
    <row r="282" ht="22.5" hidden="1" customHeight="1">
      <c r="A282" s="18"/>
      <c r="B282" s="18"/>
      <c r="C282" s="18"/>
      <c r="E282" s="18"/>
    </row>
    <row r="283" ht="22.5" hidden="1" customHeight="1">
      <c r="A283" s="18"/>
      <c r="B283" s="18"/>
      <c r="C283" s="18"/>
      <c r="E283" s="18"/>
    </row>
    <row r="284" ht="22.5" hidden="1" customHeight="1">
      <c r="A284" s="18"/>
      <c r="B284" s="18"/>
      <c r="C284" s="18"/>
      <c r="E284" s="18"/>
    </row>
    <row r="285" ht="22.5" hidden="1" customHeight="1">
      <c r="A285" s="18"/>
      <c r="B285" s="18"/>
      <c r="C285" s="18"/>
      <c r="E285" s="18"/>
    </row>
    <row r="286" ht="22.5" hidden="1" customHeight="1">
      <c r="A286" s="18"/>
      <c r="B286" s="18"/>
      <c r="C286" s="18"/>
      <c r="E286" s="18"/>
    </row>
    <row r="287" ht="22.5" hidden="1" customHeight="1">
      <c r="A287" s="18"/>
      <c r="B287" s="18"/>
      <c r="C287" s="18"/>
      <c r="E287" s="18"/>
    </row>
    <row r="288" ht="22.5" hidden="1" customHeight="1">
      <c r="A288" s="18"/>
      <c r="B288" s="18"/>
      <c r="C288" s="18"/>
      <c r="E288" s="18"/>
    </row>
    <row r="289" ht="22.5" hidden="1" customHeight="1">
      <c r="A289" s="18"/>
      <c r="B289" s="18"/>
      <c r="C289" s="18"/>
      <c r="E289" s="18"/>
    </row>
    <row r="290" ht="22.5" hidden="1" customHeight="1">
      <c r="A290" s="18"/>
      <c r="B290" s="18"/>
      <c r="C290" s="18"/>
      <c r="E290" s="18"/>
    </row>
    <row r="291" ht="22.5" hidden="1" customHeight="1">
      <c r="A291" s="18"/>
      <c r="B291" s="18"/>
      <c r="C291" s="18"/>
      <c r="E291" s="18"/>
    </row>
    <row r="292" ht="22.5" hidden="1" customHeight="1">
      <c r="A292" s="18"/>
      <c r="B292" s="18"/>
      <c r="C292" s="18"/>
      <c r="E292" s="18"/>
    </row>
    <row r="293" ht="22.5" hidden="1" customHeight="1">
      <c r="A293" s="18"/>
      <c r="B293" s="18"/>
      <c r="C293" s="18"/>
      <c r="E293" s="18"/>
    </row>
    <row r="294" ht="22.5" hidden="1" customHeight="1">
      <c r="A294" s="18"/>
      <c r="B294" s="18"/>
      <c r="C294" s="18"/>
      <c r="E294" s="18"/>
    </row>
    <row r="295" ht="22.5" hidden="1" customHeight="1">
      <c r="A295" s="18"/>
      <c r="B295" s="18"/>
      <c r="C295" s="18"/>
      <c r="E295" s="18"/>
    </row>
    <row r="296" ht="22.5" hidden="1" customHeight="1">
      <c r="A296" s="18"/>
      <c r="B296" s="18"/>
      <c r="C296" s="18"/>
      <c r="E296" s="18"/>
    </row>
    <row r="297" ht="22.5" hidden="1" customHeight="1">
      <c r="A297" s="18"/>
      <c r="B297" s="18"/>
      <c r="C297" s="18"/>
      <c r="E297" s="18"/>
    </row>
    <row r="298" ht="22.5" hidden="1" customHeight="1">
      <c r="A298" s="18"/>
      <c r="B298" s="18"/>
      <c r="C298" s="18"/>
      <c r="E298" s="18"/>
    </row>
    <row r="299" ht="22.5" hidden="1" customHeight="1">
      <c r="A299" s="18"/>
      <c r="B299" s="18"/>
      <c r="C299" s="18"/>
      <c r="E299" s="18"/>
    </row>
    <row r="300" ht="22.5" hidden="1" customHeight="1">
      <c r="A300" s="18"/>
      <c r="B300" s="18"/>
      <c r="C300" s="18"/>
      <c r="E300" s="18"/>
    </row>
    <row r="301" ht="22.5" hidden="1" customHeight="1">
      <c r="A301" s="18"/>
      <c r="B301" s="18"/>
      <c r="C301" s="18"/>
      <c r="E301" s="18"/>
    </row>
    <row r="302" ht="22.5" hidden="1" customHeight="1">
      <c r="A302" s="18"/>
      <c r="B302" s="18"/>
      <c r="C302" s="18"/>
      <c r="E302" s="18"/>
    </row>
    <row r="303" ht="22.5" hidden="1" customHeight="1">
      <c r="A303" s="18"/>
      <c r="B303" s="18"/>
      <c r="C303" s="18"/>
      <c r="E303" s="18"/>
    </row>
    <row r="304" ht="22.5" hidden="1" customHeight="1">
      <c r="A304" s="18"/>
      <c r="B304" s="18"/>
      <c r="C304" s="18"/>
      <c r="E304" s="18"/>
    </row>
    <row r="305" ht="22.5" hidden="1" customHeight="1">
      <c r="A305" s="18"/>
      <c r="B305" s="18"/>
      <c r="C305" s="18"/>
      <c r="E305" s="18"/>
    </row>
    <row r="306" ht="22.5" hidden="1" customHeight="1">
      <c r="A306" s="18"/>
      <c r="B306" s="18"/>
      <c r="C306" s="18"/>
      <c r="E306" s="18"/>
    </row>
    <row r="307" ht="22.5" hidden="1" customHeight="1">
      <c r="A307" s="18"/>
      <c r="B307" s="18"/>
      <c r="C307" s="18"/>
      <c r="E307" s="18"/>
    </row>
    <row r="308" ht="22.5" hidden="1" customHeight="1">
      <c r="A308" s="18"/>
      <c r="B308" s="18"/>
      <c r="C308" s="18"/>
      <c r="E308" s="18"/>
    </row>
    <row r="309" ht="22.5" hidden="1" customHeight="1">
      <c r="A309" s="18"/>
      <c r="B309" s="18"/>
      <c r="C309" s="18"/>
      <c r="E309" s="18"/>
    </row>
    <row r="310" ht="22.5" hidden="1" customHeight="1">
      <c r="A310" s="18"/>
      <c r="B310" s="18"/>
      <c r="C310" s="18"/>
      <c r="E310" s="18"/>
    </row>
    <row r="311" ht="22.5" hidden="1" customHeight="1">
      <c r="A311" s="18"/>
      <c r="B311" s="18"/>
      <c r="C311" s="18"/>
      <c r="E311" s="18"/>
    </row>
    <row r="312" ht="22.5" hidden="1" customHeight="1">
      <c r="A312" s="18"/>
      <c r="B312" s="18"/>
      <c r="C312" s="18"/>
      <c r="E312" s="18"/>
    </row>
    <row r="313" ht="22.5" hidden="1" customHeight="1">
      <c r="A313" s="18"/>
      <c r="B313" s="18"/>
      <c r="C313" s="18"/>
      <c r="E313" s="18"/>
    </row>
    <row r="314" ht="22.5" hidden="1" customHeight="1">
      <c r="A314" s="18"/>
      <c r="B314" s="18"/>
      <c r="C314" s="18"/>
      <c r="E314" s="18"/>
    </row>
    <row r="315" ht="22.5" hidden="1" customHeight="1">
      <c r="A315" s="18"/>
      <c r="B315" s="18"/>
      <c r="C315" s="18"/>
      <c r="E315" s="18"/>
    </row>
    <row r="316" ht="22.5" hidden="1" customHeight="1">
      <c r="A316" s="18"/>
      <c r="B316" s="18"/>
      <c r="C316" s="18"/>
      <c r="E316" s="18"/>
    </row>
    <row r="317" ht="22.5" hidden="1" customHeight="1">
      <c r="A317" s="18"/>
      <c r="B317" s="18"/>
      <c r="C317" s="18"/>
      <c r="E317" s="18"/>
    </row>
    <row r="318" ht="22.5" hidden="1" customHeight="1">
      <c r="A318" s="18"/>
      <c r="B318" s="18"/>
      <c r="C318" s="18"/>
      <c r="E318" s="18"/>
    </row>
    <row r="319" ht="22.5" hidden="1" customHeight="1">
      <c r="A319" s="18"/>
      <c r="B319" s="18"/>
      <c r="C319" s="18"/>
      <c r="E319" s="18"/>
    </row>
    <row r="320" ht="22.5" hidden="1" customHeight="1">
      <c r="A320" s="18"/>
      <c r="B320" s="18"/>
      <c r="C320" s="18"/>
      <c r="E320" s="18"/>
    </row>
    <row r="321" ht="22.5" hidden="1" customHeight="1">
      <c r="A321" s="18"/>
      <c r="B321" s="18"/>
      <c r="C321" s="18"/>
      <c r="E321" s="18"/>
    </row>
    <row r="322" ht="22.5" hidden="1" customHeight="1">
      <c r="A322" s="18"/>
      <c r="B322" s="18"/>
      <c r="C322" s="18"/>
      <c r="E322" s="18"/>
    </row>
    <row r="323" ht="22.5" hidden="1" customHeight="1">
      <c r="A323" s="18"/>
      <c r="B323" s="18"/>
      <c r="C323" s="18"/>
      <c r="E323" s="18"/>
    </row>
    <row r="324" ht="22.5" hidden="1" customHeight="1">
      <c r="A324" s="18"/>
      <c r="B324" s="18"/>
      <c r="C324" s="18"/>
      <c r="E324" s="18"/>
    </row>
    <row r="325" ht="22.5" hidden="1" customHeight="1">
      <c r="A325" s="18"/>
      <c r="B325" s="18"/>
      <c r="C325" s="18"/>
      <c r="E325" s="18"/>
    </row>
    <row r="326" ht="22.5" hidden="1" customHeight="1">
      <c r="A326" s="18"/>
      <c r="B326" s="18"/>
      <c r="C326" s="18"/>
      <c r="E326" s="18"/>
    </row>
    <row r="327" ht="22.5" hidden="1" customHeight="1">
      <c r="A327" s="18"/>
      <c r="B327" s="18"/>
      <c r="C327" s="18"/>
      <c r="E327" s="18"/>
    </row>
    <row r="328" ht="22.5" hidden="1" customHeight="1">
      <c r="A328" s="18"/>
      <c r="B328" s="18"/>
      <c r="C328" s="18"/>
      <c r="E328" s="18"/>
    </row>
    <row r="329" ht="22.5" hidden="1" customHeight="1">
      <c r="A329" s="18"/>
      <c r="B329" s="18"/>
      <c r="C329" s="18"/>
      <c r="E329" s="18"/>
    </row>
    <row r="330" ht="22.5" hidden="1" customHeight="1">
      <c r="A330" s="18"/>
      <c r="B330" s="18"/>
      <c r="C330" s="18"/>
      <c r="E330" s="18"/>
    </row>
    <row r="331" ht="22.5" hidden="1" customHeight="1">
      <c r="A331" s="18"/>
      <c r="B331" s="18"/>
      <c r="C331" s="18"/>
      <c r="E331" s="18"/>
    </row>
    <row r="332" ht="22.5" hidden="1" customHeight="1">
      <c r="A332" s="18"/>
      <c r="B332" s="18"/>
      <c r="C332" s="18"/>
      <c r="E332" s="18"/>
    </row>
    <row r="333" ht="22.5" hidden="1" customHeight="1">
      <c r="A333" s="18"/>
      <c r="B333" s="18"/>
      <c r="C333" s="18"/>
      <c r="E333" s="18"/>
    </row>
    <row r="334" ht="22.5" hidden="1" customHeight="1">
      <c r="A334" s="18"/>
      <c r="B334" s="18"/>
      <c r="C334" s="18"/>
      <c r="E334" s="18"/>
    </row>
    <row r="335" ht="22.5" hidden="1" customHeight="1">
      <c r="A335" s="18"/>
      <c r="B335" s="18"/>
      <c r="C335" s="18"/>
      <c r="E335" s="18"/>
    </row>
    <row r="336" ht="22.5" hidden="1" customHeight="1">
      <c r="A336" s="18"/>
      <c r="B336" s="18"/>
      <c r="C336" s="18"/>
      <c r="E336" s="18"/>
    </row>
    <row r="337" ht="22.5" hidden="1" customHeight="1">
      <c r="A337" s="18"/>
      <c r="B337" s="18"/>
      <c r="C337" s="18"/>
      <c r="E337" s="18"/>
    </row>
    <row r="338" ht="22.5" hidden="1" customHeight="1">
      <c r="A338" s="18"/>
      <c r="B338" s="18"/>
      <c r="C338" s="18"/>
      <c r="E338" s="18"/>
    </row>
    <row r="339" ht="22.5" hidden="1" customHeight="1">
      <c r="A339" s="18"/>
      <c r="B339" s="18"/>
      <c r="C339" s="18"/>
      <c r="E339" s="18"/>
    </row>
    <row r="340" ht="22.5" hidden="1" customHeight="1">
      <c r="A340" s="18"/>
      <c r="B340" s="18"/>
      <c r="C340" s="18"/>
      <c r="E340" s="18"/>
    </row>
    <row r="341" ht="22.5" hidden="1" customHeight="1">
      <c r="A341" s="18"/>
      <c r="B341" s="18"/>
      <c r="C341" s="18"/>
      <c r="E341" s="18"/>
    </row>
    <row r="342" ht="22.5" hidden="1" customHeight="1">
      <c r="A342" s="18"/>
      <c r="B342" s="18"/>
      <c r="C342" s="18"/>
      <c r="E342" s="18"/>
    </row>
    <row r="343" ht="22.5" hidden="1" customHeight="1">
      <c r="A343" s="18"/>
      <c r="B343" s="18"/>
      <c r="C343" s="18"/>
      <c r="E343" s="18"/>
    </row>
    <row r="344" ht="22.5" hidden="1" customHeight="1">
      <c r="A344" s="18"/>
      <c r="B344" s="18"/>
      <c r="C344" s="18"/>
      <c r="E344" s="18"/>
    </row>
    <row r="345" ht="22.5" hidden="1" customHeight="1">
      <c r="A345" s="18"/>
      <c r="B345" s="18"/>
      <c r="C345" s="18"/>
      <c r="E345" s="18"/>
    </row>
    <row r="346" ht="22.5" hidden="1" customHeight="1">
      <c r="A346" s="18"/>
      <c r="B346" s="18"/>
      <c r="C346" s="18"/>
      <c r="E346" s="18"/>
    </row>
    <row r="347" ht="22.5" hidden="1" customHeight="1">
      <c r="A347" s="18"/>
      <c r="B347" s="18"/>
      <c r="C347" s="18"/>
      <c r="E347" s="18"/>
    </row>
    <row r="348" ht="22.5" hidden="1" customHeight="1">
      <c r="A348" s="18"/>
      <c r="B348" s="18"/>
      <c r="C348" s="18"/>
      <c r="E348" s="18"/>
    </row>
    <row r="349" ht="22.5" hidden="1" customHeight="1">
      <c r="A349" s="18"/>
      <c r="B349" s="18"/>
      <c r="C349" s="18"/>
      <c r="E349" s="18"/>
    </row>
    <row r="350" ht="22.5" hidden="1" customHeight="1">
      <c r="A350" s="18"/>
      <c r="B350" s="18"/>
      <c r="C350" s="18"/>
      <c r="E350" s="18"/>
    </row>
    <row r="351" ht="22.5" hidden="1" customHeight="1">
      <c r="A351" s="18"/>
      <c r="B351" s="18"/>
      <c r="C351" s="18"/>
      <c r="E351" s="18"/>
    </row>
    <row r="352" ht="22.5" hidden="1" customHeight="1">
      <c r="A352" s="18"/>
      <c r="B352" s="18"/>
      <c r="C352" s="18"/>
      <c r="E352" s="18"/>
    </row>
    <row r="353" ht="22.5" hidden="1" customHeight="1">
      <c r="A353" s="18"/>
      <c r="B353" s="18"/>
      <c r="C353" s="18"/>
      <c r="E353" s="18"/>
    </row>
    <row r="354" ht="22.5" hidden="1" customHeight="1">
      <c r="A354" s="18"/>
      <c r="B354" s="18"/>
      <c r="C354" s="18"/>
      <c r="E354" s="18"/>
    </row>
    <row r="355" ht="22.5" hidden="1" customHeight="1">
      <c r="A355" s="18"/>
      <c r="B355" s="18"/>
      <c r="C355" s="18"/>
      <c r="E355" s="18"/>
    </row>
    <row r="356" ht="22.5" hidden="1" customHeight="1">
      <c r="A356" s="18"/>
      <c r="B356" s="18"/>
      <c r="C356" s="18"/>
      <c r="E356" s="18"/>
    </row>
    <row r="357" ht="22.5" hidden="1" customHeight="1">
      <c r="A357" s="18"/>
      <c r="B357" s="18"/>
      <c r="C357" s="18"/>
      <c r="E357" s="18"/>
    </row>
    <row r="358" ht="22.5" hidden="1" customHeight="1">
      <c r="A358" s="18"/>
      <c r="B358" s="18"/>
      <c r="C358" s="18"/>
      <c r="E358" s="18"/>
    </row>
    <row r="359" ht="22.5" hidden="1" customHeight="1">
      <c r="A359" s="18"/>
      <c r="B359" s="18"/>
      <c r="C359" s="18"/>
      <c r="E359" s="18"/>
    </row>
    <row r="360" ht="22.5" hidden="1" customHeight="1">
      <c r="A360" s="18"/>
      <c r="B360" s="18"/>
      <c r="C360" s="18"/>
      <c r="E360" s="18"/>
    </row>
    <row r="361" ht="22.5" hidden="1" customHeight="1">
      <c r="A361" s="18"/>
      <c r="B361" s="18"/>
      <c r="C361" s="18"/>
      <c r="E361" s="18"/>
    </row>
    <row r="362" ht="22.5" hidden="1" customHeight="1">
      <c r="A362" s="18"/>
      <c r="B362" s="18"/>
      <c r="C362" s="18"/>
      <c r="E362" s="18"/>
    </row>
    <row r="363" ht="22.5" hidden="1" customHeight="1">
      <c r="A363" s="18"/>
      <c r="B363" s="18"/>
      <c r="C363" s="18"/>
      <c r="E363" s="18"/>
    </row>
    <row r="364" ht="22.5" hidden="1" customHeight="1">
      <c r="A364" s="18"/>
      <c r="B364" s="18"/>
      <c r="C364" s="18"/>
      <c r="E364" s="18"/>
    </row>
    <row r="365" ht="22.5" hidden="1" customHeight="1">
      <c r="A365" s="18"/>
      <c r="B365" s="18"/>
      <c r="C365" s="18"/>
      <c r="E365" s="18"/>
    </row>
    <row r="366" ht="22.5" hidden="1" customHeight="1">
      <c r="A366" s="18"/>
      <c r="B366" s="18"/>
      <c r="C366" s="18"/>
      <c r="E366" s="18"/>
    </row>
    <row r="367" ht="22.5" hidden="1" customHeight="1">
      <c r="A367" s="18"/>
      <c r="B367" s="18"/>
      <c r="C367" s="18"/>
      <c r="E367" s="18"/>
    </row>
    <row r="368" ht="22.5" hidden="1" customHeight="1">
      <c r="A368" s="18"/>
      <c r="B368" s="18"/>
      <c r="C368" s="18"/>
      <c r="E368" s="18"/>
    </row>
    <row r="369" ht="22.5" hidden="1" customHeight="1">
      <c r="A369" s="18"/>
      <c r="B369" s="18"/>
      <c r="C369" s="18"/>
      <c r="E369" s="18"/>
    </row>
    <row r="370" ht="22.5" hidden="1" customHeight="1">
      <c r="A370" s="18"/>
      <c r="B370" s="18"/>
      <c r="C370" s="18"/>
      <c r="E370" s="18"/>
    </row>
    <row r="371" ht="22.5" hidden="1" customHeight="1">
      <c r="A371" s="18"/>
      <c r="B371" s="18"/>
      <c r="C371" s="18"/>
      <c r="E371" s="18"/>
    </row>
    <row r="372" ht="22.5" hidden="1" customHeight="1">
      <c r="A372" s="18"/>
      <c r="B372" s="18"/>
      <c r="C372" s="18"/>
      <c r="E372" s="18"/>
    </row>
    <row r="373" ht="22.5" hidden="1" customHeight="1">
      <c r="A373" s="18"/>
      <c r="B373" s="18"/>
      <c r="C373" s="18"/>
      <c r="E373" s="18"/>
    </row>
    <row r="374" ht="22.5" hidden="1" customHeight="1">
      <c r="A374" s="18"/>
      <c r="B374" s="18"/>
      <c r="C374" s="18"/>
      <c r="E374" s="18"/>
    </row>
    <row r="375" ht="22.5" hidden="1" customHeight="1">
      <c r="A375" s="18"/>
      <c r="B375" s="18"/>
      <c r="C375" s="18"/>
      <c r="E375" s="18"/>
    </row>
    <row r="376" ht="22.5" hidden="1" customHeight="1">
      <c r="A376" s="18"/>
      <c r="B376" s="18"/>
      <c r="C376" s="18"/>
      <c r="E376" s="18"/>
    </row>
    <row r="377" ht="22.5" hidden="1" customHeight="1">
      <c r="A377" s="18"/>
      <c r="B377" s="18"/>
      <c r="C377" s="18"/>
      <c r="E377" s="18"/>
    </row>
    <row r="378" ht="22.5" hidden="1" customHeight="1">
      <c r="A378" s="18"/>
      <c r="B378" s="18"/>
      <c r="C378" s="18"/>
      <c r="E378" s="18"/>
    </row>
    <row r="379" ht="22.5" hidden="1" customHeight="1">
      <c r="A379" s="18"/>
      <c r="B379" s="18"/>
      <c r="C379" s="18"/>
      <c r="E379" s="18"/>
    </row>
    <row r="380" ht="22.5" hidden="1" customHeight="1">
      <c r="A380" s="18"/>
      <c r="B380" s="18"/>
      <c r="C380" s="18"/>
      <c r="E380" s="18"/>
    </row>
    <row r="381" ht="22.5" hidden="1" customHeight="1">
      <c r="A381" s="18"/>
      <c r="B381" s="18"/>
      <c r="C381" s="18"/>
      <c r="E381" s="18"/>
    </row>
    <row r="382" ht="22.5" hidden="1" customHeight="1">
      <c r="A382" s="18"/>
      <c r="B382" s="18"/>
      <c r="C382" s="18"/>
      <c r="E382" s="18"/>
    </row>
    <row r="383" ht="22.5" hidden="1" customHeight="1">
      <c r="A383" s="18"/>
      <c r="B383" s="18"/>
      <c r="C383" s="18"/>
      <c r="E383" s="18"/>
    </row>
    <row r="384" ht="22.5" hidden="1" customHeight="1">
      <c r="A384" s="18"/>
      <c r="B384" s="18"/>
      <c r="C384" s="18"/>
      <c r="E384" s="18"/>
    </row>
    <row r="385" ht="22.5" hidden="1" customHeight="1">
      <c r="A385" s="18"/>
      <c r="B385" s="18"/>
      <c r="C385" s="18"/>
      <c r="E385" s="18"/>
    </row>
    <row r="386" ht="22.5" hidden="1" customHeight="1">
      <c r="A386" s="18"/>
      <c r="B386" s="18"/>
      <c r="C386" s="18"/>
      <c r="E386" s="18"/>
    </row>
    <row r="387" ht="22.5" hidden="1" customHeight="1">
      <c r="A387" s="18"/>
      <c r="B387" s="18"/>
      <c r="C387" s="18"/>
      <c r="E387" s="18"/>
    </row>
    <row r="388" ht="22.5" hidden="1" customHeight="1">
      <c r="A388" s="18"/>
      <c r="B388" s="18"/>
      <c r="C388" s="18"/>
      <c r="E388" s="18"/>
    </row>
    <row r="389" ht="22.5" hidden="1" customHeight="1">
      <c r="A389" s="18"/>
      <c r="B389" s="18"/>
      <c r="C389" s="18"/>
      <c r="E389" s="18"/>
    </row>
    <row r="390" ht="22.5" hidden="1" customHeight="1">
      <c r="A390" s="18"/>
      <c r="B390" s="18"/>
      <c r="C390" s="18"/>
      <c r="E390" s="18"/>
    </row>
    <row r="391" ht="22.5" hidden="1" customHeight="1">
      <c r="A391" s="18"/>
      <c r="B391" s="18"/>
      <c r="C391" s="18"/>
      <c r="E391" s="18"/>
    </row>
    <row r="392" ht="22.5" hidden="1" customHeight="1">
      <c r="A392" s="18"/>
      <c r="B392" s="18"/>
      <c r="C392" s="18"/>
      <c r="E392" s="18"/>
    </row>
    <row r="393" ht="22.5" hidden="1" customHeight="1">
      <c r="A393" s="18"/>
      <c r="B393" s="18"/>
      <c r="C393" s="18"/>
      <c r="E393" s="18"/>
    </row>
    <row r="394" ht="22.5" hidden="1" customHeight="1">
      <c r="A394" s="18"/>
      <c r="B394" s="18"/>
      <c r="C394" s="18"/>
      <c r="E394" s="18"/>
    </row>
    <row r="395" ht="22.5" hidden="1" customHeight="1">
      <c r="A395" s="18"/>
      <c r="B395" s="18"/>
      <c r="C395" s="18"/>
      <c r="E395" s="18"/>
    </row>
    <row r="396" ht="22.5" hidden="1" customHeight="1">
      <c r="A396" s="18"/>
      <c r="B396" s="18"/>
      <c r="C396" s="18"/>
      <c r="E396" s="18"/>
    </row>
    <row r="397" ht="22.5" hidden="1" customHeight="1">
      <c r="A397" s="18"/>
      <c r="B397" s="18"/>
      <c r="C397" s="18"/>
      <c r="E397" s="18"/>
    </row>
    <row r="398" ht="22.5" hidden="1" customHeight="1">
      <c r="A398" s="18"/>
      <c r="B398" s="18"/>
      <c r="C398" s="18"/>
      <c r="E398" s="18"/>
    </row>
    <row r="399" ht="22.5" hidden="1" customHeight="1">
      <c r="A399" s="18"/>
      <c r="B399" s="18"/>
      <c r="C399" s="18"/>
      <c r="E399" s="18"/>
    </row>
    <row r="400" ht="22.5" hidden="1" customHeight="1">
      <c r="A400" s="18"/>
      <c r="B400" s="18"/>
      <c r="C400" s="18"/>
      <c r="E400" s="18"/>
    </row>
    <row r="401" ht="22.5" hidden="1" customHeight="1">
      <c r="A401" s="18"/>
      <c r="B401" s="18"/>
      <c r="C401" s="18"/>
      <c r="E401" s="18"/>
    </row>
    <row r="402" ht="22.5" hidden="1" customHeight="1">
      <c r="A402" s="18"/>
      <c r="B402" s="18"/>
      <c r="C402" s="18"/>
      <c r="E402" s="18"/>
    </row>
    <row r="403" ht="22.5" hidden="1" customHeight="1">
      <c r="A403" s="18"/>
      <c r="B403" s="18"/>
      <c r="C403" s="18"/>
      <c r="E403" s="18"/>
    </row>
    <row r="404" ht="22.5" hidden="1" customHeight="1">
      <c r="A404" s="18"/>
      <c r="B404" s="18"/>
      <c r="C404" s="18"/>
      <c r="E404" s="18"/>
    </row>
    <row r="405" ht="22.5" hidden="1" customHeight="1">
      <c r="A405" s="18"/>
      <c r="B405" s="18"/>
      <c r="C405" s="18"/>
      <c r="E405" s="18"/>
    </row>
    <row r="406" ht="22.5" hidden="1" customHeight="1">
      <c r="A406" s="18"/>
      <c r="B406" s="18"/>
      <c r="C406" s="18"/>
      <c r="E406" s="18"/>
    </row>
    <row r="407" ht="22.5" hidden="1" customHeight="1">
      <c r="A407" s="18"/>
      <c r="B407" s="18"/>
      <c r="C407" s="18"/>
      <c r="E407" s="18"/>
    </row>
    <row r="408" ht="22.5" hidden="1" customHeight="1">
      <c r="A408" s="18"/>
      <c r="B408" s="18"/>
      <c r="C408" s="18"/>
      <c r="E408" s="18"/>
    </row>
    <row r="409" ht="22.5" hidden="1" customHeight="1">
      <c r="A409" s="18"/>
      <c r="B409" s="18"/>
      <c r="C409" s="18"/>
      <c r="E409" s="18"/>
    </row>
    <row r="410" ht="22.5" hidden="1" customHeight="1">
      <c r="A410" s="18"/>
      <c r="B410" s="18"/>
      <c r="C410" s="18"/>
      <c r="E410" s="18"/>
    </row>
    <row r="411" ht="22.5" hidden="1" customHeight="1">
      <c r="A411" s="18"/>
      <c r="B411" s="18"/>
      <c r="C411" s="18"/>
      <c r="E411" s="18"/>
    </row>
    <row r="412" ht="22.5" hidden="1" customHeight="1">
      <c r="A412" s="18"/>
      <c r="B412" s="18"/>
      <c r="C412" s="18"/>
      <c r="E412" s="18"/>
    </row>
    <row r="413" ht="22.5" hidden="1" customHeight="1">
      <c r="A413" s="18"/>
      <c r="B413" s="18"/>
      <c r="C413" s="18"/>
      <c r="E413" s="18"/>
    </row>
    <row r="414" ht="22.5" hidden="1" customHeight="1">
      <c r="A414" s="18"/>
      <c r="B414" s="18"/>
      <c r="C414" s="18"/>
      <c r="E414" s="18"/>
    </row>
    <row r="415" ht="22.5" hidden="1" customHeight="1">
      <c r="A415" s="18"/>
      <c r="B415" s="18"/>
      <c r="C415" s="18"/>
      <c r="E415" s="18"/>
    </row>
    <row r="416" ht="22.5" hidden="1" customHeight="1">
      <c r="A416" s="18"/>
      <c r="B416" s="18"/>
      <c r="C416" s="18"/>
      <c r="E416" s="18"/>
    </row>
    <row r="417" ht="22.5" hidden="1" customHeight="1">
      <c r="A417" s="18"/>
      <c r="B417" s="18"/>
      <c r="C417" s="18"/>
      <c r="E417" s="18"/>
    </row>
    <row r="418" ht="22.5" hidden="1" customHeight="1">
      <c r="A418" s="18"/>
      <c r="B418" s="18"/>
      <c r="C418" s="18"/>
      <c r="E418" s="18"/>
    </row>
    <row r="419" ht="22.5" hidden="1" customHeight="1">
      <c r="A419" s="18"/>
      <c r="B419" s="18"/>
      <c r="C419" s="18"/>
      <c r="E419" s="18"/>
    </row>
    <row r="420" ht="22.5" hidden="1" customHeight="1">
      <c r="A420" s="18"/>
      <c r="B420" s="18"/>
      <c r="C420" s="18"/>
      <c r="E420" s="18"/>
    </row>
    <row r="421" ht="22.5" hidden="1" customHeight="1">
      <c r="A421" s="18"/>
      <c r="B421" s="18"/>
      <c r="C421" s="18"/>
      <c r="E421" s="18"/>
    </row>
    <row r="422" ht="22.5" hidden="1" customHeight="1">
      <c r="A422" s="18"/>
      <c r="B422" s="18"/>
      <c r="C422" s="18"/>
      <c r="E422" s="18"/>
    </row>
    <row r="423" ht="22.5" hidden="1" customHeight="1">
      <c r="A423" s="18"/>
      <c r="B423" s="18"/>
      <c r="C423" s="18"/>
      <c r="E423" s="18"/>
    </row>
    <row r="424" ht="22.5" hidden="1" customHeight="1">
      <c r="A424" s="18"/>
      <c r="B424" s="18"/>
      <c r="C424" s="18"/>
      <c r="E424" s="18"/>
    </row>
    <row r="425" ht="22.5" hidden="1" customHeight="1">
      <c r="A425" s="18"/>
      <c r="B425" s="18"/>
      <c r="C425" s="18"/>
      <c r="E425" s="18"/>
    </row>
    <row r="426" ht="22.5" hidden="1" customHeight="1">
      <c r="A426" s="18"/>
      <c r="B426" s="18"/>
      <c r="C426" s="18"/>
      <c r="E426" s="18"/>
    </row>
    <row r="427" ht="22.5" hidden="1" customHeight="1">
      <c r="A427" s="18"/>
      <c r="B427" s="18"/>
      <c r="C427" s="18"/>
      <c r="E427" s="18"/>
    </row>
    <row r="428" ht="22.5" hidden="1" customHeight="1">
      <c r="A428" s="18"/>
      <c r="B428" s="18"/>
      <c r="C428" s="18"/>
      <c r="E428" s="18"/>
    </row>
    <row r="429" ht="22.5" hidden="1" customHeight="1">
      <c r="A429" s="18"/>
      <c r="B429" s="18"/>
      <c r="C429" s="18"/>
      <c r="E429" s="18"/>
    </row>
    <row r="430" ht="22.5" hidden="1" customHeight="1">
      <c r="A430" s="18"/>
      <c r="B430" s="18"/>
      <c r="C430" s="18"/>
      <c r="E430" s="18"/>
    </row>
    <row r="431" ht="22.5" hidden="1" customHeight="1">
      <c r="A431" s="18"/>
      <c r="B431" s="18"/>
      <c r="C431" s="18"/>
      <c r="E431" s="18"/>
    </row>
    <row r="432" ht="22.5" hidden="1" customHeight="1">
      <c r="A432" s="18"/>
      <c r="B432" s="18"/>
      <c r="C432" s="18"/>
      <c r="E432" s="18"/>
    </row>
    <row r="433" ht="22.5" hidden="1" customHeight="1">
      <c r="A433" s="18"/>
      <c r="B433" s="18"/>
      <c r="C433" s="18"/>
      <c r="E433" s="18"/>
    </row>
    <row r="434" ht="22.5" hidden="1" customHeight="1">
      <c r="A434" s="18"/>
      <c r="B434" s="18"/>
      <c r="C434" s="18"/>
      <c r="E434" s="18"/>
    </row>
    <row r="435" ht="22.5" hidden="1" customHeight="1">
      <c r="A435" s="18"/>
      <c r="B435" s="18"/>
      <c r="C435" s="18"/>
      <c r="E435" s="18"/>
    </row>
    <row r="436" ht="22.5" hidden="1" customHeight="1">
      <c r="A436" s="18"/>
      <c r="B436" s="18"/>
      <c r="C436" s="18"/>
      <c r="E436" s="18"/>
    </row>
    <row r="437" ht="22.5" hidden="1" customHeight="1">
      <c r="A437" s="18"/>
      <c r="B437" s="18"/>
      <c r="C437" s="18"/>
      <c r="E437" s="18"/>
    </row>
    <row r="438" ht="22.5" hidden="1" customHeight="1">
      <c r="A438" s="18"/>
      <c r="B438" s="18"/>
      <c r="C438" s="18"/>
      <c r="E438" s="18"/>
    </row>
    <row r="439" ht="22.5" hidden="1" customHeight="1">
      <c r="A439" s="18"/>
      <c r="B439" s="18"/>
      <c r="C439" s="18"/>
      <c r="E439" s="18"/>
    </row>
    <row r="440" ht="22.5" hidden="1" customHeight="1">
      <c r="A440" s="18"/>
      <c r="B440" s="18"/>
      <c r="C440" s="18"/>
      <c r="E440" s="18"/>
    </row>
    <row r="441" ht="22.5" hidden="1" customHeight="1">
      <c r="A441" s="18"/>
      <c r="B441" s="18"/>
      <c r="C441" s="18"/>
      <c r="E441" s="18"/>
    </row>
    <row r="442" ht="22.5" hidden="1" customHeight="1">
      <c r="A442" s="18"/>
      <c r="B442" s="18"/>
      <c r="C442" s="18"/>
      <c r="E442" s="18"/>
    </row>
    <row r="443" ht="22.5" hidden="1" customHeight="1">
      <c r="A443" s="18"/>
      <c r="B443" s="18"/>
      <c r="C443" s="18"/>
      <c r="E443" s="18"/>
    </row>
    <row r="444" ht="22.5" hidden="1" customHeight="1">
      <c r="A444" s="18"/>
      <c r="B444" s="18"/>
      <c r="C444" s="18"/>
      <c r="E444" s="18"/>
    </row>
    <row r="445" ht="22.5" hidden="1" customHeight="1">
      <c r="A445" s="18"/>
      <c r="B445" s="18"/>
      <c r="C445" s="18"/>
      <c r="E445" s="18"/>
    </row>
    <row r="446" ht="22.5" hidden="1" customHeight="1">
      <c r="A446" s="18"/>
      <c r="B446" s="18"/>
      <c r="C446" s="18"/>
      <c r="E446" s="18"/>
    </row>
    <row r="447" ht="22.5" hidden="1" customHeight="1">
      <c r="A447" s="18"/>
      <c r="B447" s="18"/>
      <c r="C447" s="18"/>
      <c r="E447" s="18"/>
    </row>
    <row r="448" ht="22.5" hidden="1" customHeight="1">
      <c r="A448" s="18"/>
      <c r="B448" s="18"/>
      <c r="C448" s="18"/>
      <c r="E448" s="18"/>
    </row>
    <row r="449" ht="22.5" hidden="1" customHeight="1">
      <c r="A449" s="18"/>
      <c r="B449" s="18"/>
      <c r="C449" s="18"/>
      <c r="E449" s="18"/>
    </row>
    <row r="450" ht="22.5" hidden="1" customHeight="1">
      <c r="A450" s="18"/>
      <c r="B450" s="18"/>
      <c r="C450" s="18"/>
      <c r="E450" s="18"/>
    </row>
    <row r="451" ht="22.5" hidden="1" customHeight="1">
      <c r="A451" s="18"/>
      <c r="B451" s="18"/>
      <c r="C451" s="18"/>
      <c r="E451" s="18"/>
    </row>
    <row r="452" ht="22.5" hidden="1" customHeight="1">
      <c r="A452" s="18"/>
      <c r="B452" s="18"/>
      <c r="C452" s="18"/>
      <c r="E452" s="18"/>
    </row>
    <row r="453" ht="22.5" hidden="1" customHeight="1">
      <c r="A453" s="18"/>
      <c r="B453" s="18"/>
      <c r="C453" s="18"/>
      <c r="E453" s="18"/>
    </row>
    <row r="454" ht="22.5" hidden="1" customHeight="1">
      <c r="A454" s="18"/>
      <c r="B454" s="18"/>
      <c r="C454" s="18"/>
      <c r="E454" s="18"/>
    </row>
    <row r="455" ht="22.5" hidden="1" customHeight="1">
      <c r="A455" s="18"/>
      <c r="B455" s="18"/>
      <c r="C455" s="18"/>
      <c r="E455" s="18"/>
    </row>
    <row r="456" ht="22.5" hidden="1" customHeight="1">
      <c r="A456" s="18"/>
      <c r="B456" s="18"/>
      <c r="C456" s="18"/>
      <c r="E456" s="18"/>
    </row>
    <row r="457" ht="22.5" hidden="1" customHeight="1">
      <c r="A457" s="18"/>
      <c r="B457" s="18"/>
      <c r="C457" s="18"/>
      <c r="E457" s="18"/>
    </row>
    <row r="458" ht="22.5" hidden="1" customHeight="1">
      <c r="A458" s="18"/>
      <c r="B458" s="18"/>
      <c r="C458" s="18"/>
      <c r="E458" s="18"/>
    </row>
    <row r="459" ht="22.5" hidden="1" customHeight="1">
      <c r="A459" s="18"/>
      <c r="B459" s="18"/>
      <c r="C459" s="18"/>
      <c r="E459" s="18"/>
    </row>
    <row r="460" ht="22.5" hidden="1" customHeight="1">
      <c r="A460" s="18"/>
      <c r="B460" s="18"/>
      <c r="C460" s="18"/>
      <c r="E460" s="18"/>
    </row>
    <row r="461" ht="22.5" hidden="1" customHeight="1">
      <c r="A461" s="18"/>
      <c r="B461" s="18"/>
      <c r="C461" s="18"/>
      <c r="E461" s="18"/>
    </row>
    <row r="462" ht="22.5" hidden="1" customHeight="1">
      <c r="A462" s="18"/>
      <c r="B462" s="18"/>
      <c r="C462" s="18"/>
      <c r="E462" s="18"/>
    </row>
    <row r="463" ht="22.5" hidden="1" customHeight="1">
      <c r="A463" s="18"/>
      <c r="B463" s="18"/>
      <c r="C463" s="18"/>
      <c r="E463" s="18"/>
    </row>
    <row r="464" ht="22.5" hidden="1" customHeight="1">
      <c r="A464" s="18"/>
      <c r="B464" s="18"/>
      <c r="C464" s="18"/>
      <c r="E464" s="18"/>
    </row>
    <row r="465" ht="22.5" hidden="1" customHeight="1">
      <c r="A465" s="18"/>
      <c r="B465" s="18"/>
      <c r="C465" s="18"/>
      <c r="E465" s="18"/>
    </row>
    <row r="466" ht="22.5" hidden="1" customHeight="1">
      <c r="A466" s="18"/>
      <c r="B466" s="18"/>
      <c r="C466" s="18"/>
      <c r="E466" s="18"/>
    </row>
    <row r="467" ht="22.5" hidden="1" customHeight="1">
      <c r="A467" s="18"/>
      <c r="B467" s="18"/>
      <c r="C467" s="18"/>
      <c r="E467" s="18"/>
    </row>
    <row r="468" ht="22.5" hidden="1" customHeight="1">
      <c r="A468" s="18"/>
      <c r="B468" s="18"/>
      <c r="C468" s="18"/>
      <c r="E468" s="18"/>
    </row>
    <row r="469" ht="22.5" hidden="1" customHeight="1">
      <c r="A469" s="18"/>
      <c r="B469" s="18"/>
      <c r="C469" s="18"/>
      <c r="E469" s="18"/>
    </row>
    <row r="470" ht="22.5" hidden="1" customHeight="1">
      <c r="A470" s="18"/>
      <c r="B470" s="18"/>
      <c r="C470" s="18"/>
      <c r="E470" s="18"/>
    </row>
    <row r="471" ht="22.5" hidden="1" customHeight="1">
      <c r="A471" s="18"/>
      <c r="B471" s="18"/>
      <c r="C471" s="18"/>
      <c r="E471" s="18"/>
    </row>
    <row r="472" ht="22.5" hidden="1" customHeight="1">
      <c r="A472" s="18"/>
      <c r="B472" s="18"/>
      <c r="C472" s="18"/>
      <c r="E472" s="18"/>
    </row>
    <row r="473" ht="22.5" hidden="1" customHeight="1">
      <c r="A473" s="18"/>
      <c r="B473" s="18"/>
      <c r="C473" s="18"/>
      <c r="E473" s="18"/>
    </row>
    <row r="474" ht="22.5" hidden="1" customHeight="1">
      <c r="A474" s="18"/>
      <c r="B474" s="18"/>
      <c r="C474" s="18"/>
      <c r="E474" s="18"/>
    </row>
    <row r="475" ht="22.5" hidden="1" customHeight="1">
      <c r="A475" s="18"/>
      <c r="B475" s="18"/>
      <c r="C475" s="18"/>
      <c r="E475" s="18"/>
    </row>
    <row r="476" ht="22.5" hidden="1" customHeight="1">
      <c r="A476" s="18"/>
      <c r="B476" s="18"/>
      <c r="C476" s="18"/>
      <c r="E476" s="18"/>
    </row>
    <row r="477" ht="22.5" hidden="1" customHeight="1">
      <c r="A477" s="18"/>
      <c r="B477" s="18"/>
      <c r="C477" s="18"/>
      <c r="E477" s="18"/>
    </row>
    <row r="478" ht="22.5" hidden="1" customHeight="1">
      <c r="A478" s="18"/>
      <c r="B478" s="18"/>
      <c r="C478" s="18"/>
      <c r="E478" s="18"/>
    </row>
    <row r="479" ht="22.5" hidden="1" customHeight="1">
      <c r="A479" s="18"/>
      <c r="B479" s="18"/>
      <c r="C479" s="18"/>
      <c r="E479" s="18"/>
    </row>
    <row r="480" ht="22.5" hidden="1" customHeight="1">
      <c r="A480" s="18"/>
      <c r="B480" s="18"/>
      <c r="C480" s="18"/>
      <c r="E480" s="18"/>
    </row>
    <row r="481" ht="22.5" hidden="1" customHeight="1">
      <c r="A481" s="18"/>
      <c r="B481" s="18"/>
      <c r="C481" s="18"/>
      <c r="E481" s="18"/>
    </row>
    <row r="482" ht="22.5" hidden="1" customHeight="1">
      <c r="A482" s="18"/>
      <c r="B482" s="18"/>
      <c r="C482" s="18"/>
      <c r="E482" s="18"/>
    </row>
    <row r="483" ht="22.5" hidden="1" customHeight="1">
      <c r="A483" s="18"/>
      <c r="B483" s="18"/>
      <c r="C483" s="18"/>
      <c r="E483" s="18"/>
    </row>
    <row r="484" ht="22.5" hidden="1" customHeight="1">
      <c r="A484" s="18"/>
      <c r="B484" s="18"/>
      <c r="C484" s="18"/>
      <c r="E484" s="18"/>
    </row>
    <row r="485" ht="22.5" hidden="1" customHeight="1">
      <c r="A485" s="18"/>
      <c r="B485" s="18"/>
      <c r="C485" s="18"/>
      <c r="E485" s="18"/>
    </row>
    <row r="486" ht="22.5" hidden="1" customHeight="1">
      <c r="A486" s="18"/>
      <c r="B486" s="18"/>
      <c r="C486" s="18"/>
      <c r="E486" s="18"/>
    </row>
    <row r="487" ht="22.5" hidden="1" customHeight="1">
      <c r="A487" s="18"/>
      <c r="B487" s="18"/>
      <c r="C487" s="18"/>
      <c r="E487" s="18"/>
    </row>
    <row r="488" ht="22.5" hidden="1" customHeight="1">
      <c r="A488" s="18"/>
      <c r="B488" s="18"/>
      <c r="C488" s="18"/>
      <c r="E488" s="18"/>
    </row>
    <row r="489" ht="22.5" hidden="1" customHeight="1">
      <c r="A489" s="18"/>
      <c r="B489" s="18"/>
      <c r="C489" s="18"/>
      <c r="E489" s="18"/>
    </row>
    <row r="490" ht="22.5" hidden="1" customHeight="1">
      <c r="A490" s="18"/>
      <c r="B490" s="18"/>
      <c r="C490" s="18"/>
      <c r="E490" s="18"/>
    </row>
    <row r="491" ht="22.5" hidden="1" customHeight="1">
      <c r="A491" s="18"/>
      <c r="B491" s="18"/>
      <c r="C491" s="18"/>
      <c r="E491" s="18"/>
    </row>
    <row r="492" ht="22.5" hidden="1" customHeight="1">
      <c r="A492" s="18"/>
      <c r="B492" s="18"/>
      <c r="C492" s="18"/>
      <c r="E492" s="18"/>
    </row>
    <row r="493" ht="22.5" hidden="1" customHeight="1">
      <c r="A493" s="18"/>
      <c r="B493" s="18"/>
      <c r="C493" s="18"/>
      <c r="E493" s="18"/>
    </row>
    <row r="494" ht="22.5" hidden="1" customHeight="1">
      <c r="A494" s="18"/>
      <c r="B494" s="18"/>
      <c r="C494" s="18"/>
      <c r="E494" s="18"/>
    </row>
    <row r="495" ht="22.5" hidden="1" customHeight="1">
      <c r="A495" s="18"/>
      <c r="B495" s="18"/>
      <c r="C495" s="18"/>
      <c r="E495" s="18"/>
    </row>
    <row r="496" ht="22.5" hidden="1" customHeight="1">
      <c r="A496" s="18"/>
      <c r="B496" s="18"/>
      <c r="C496" s="18"/>
      <c r="E496" s="18"/>
    </row>
    <row r="497" ht="22.5" hidden="1" customHeight="1">
      <c r="A497" s="18"/>
      <c r="B497" s="18"/>
      <c r="C497" s="18"/>
      <c r="E497" s="18"/>
    </row>
    <row r="498" ht="22.5" hidden="1" customHeight="1">
      <c r="A498" s="18"/>
      <c r="B498" s="18"/>
      <c r="C498" s="18"/>
      <c r="E498" s="18"/>
    </row>
    <row r="499" ht="22.5" hidden="1" customHeight="1">
      <c r="A499" s="18"/>
      <c r="B499" s="18"/>
      <c r="C499" s="18"/>
      <c r="E499" s="18"/>
    </row>
    <row r="500" ht="22.5" hidden="1" customHeight="1">
      <c r="A500" s="18"/>
      <c r="B500" s="18"/>
      <c r="C500" s="18"/>
      <c r="E500" s="18"/>
    </row>
    <row r="501" ht="22.5" hidden="1" customHeight="1">
      <c r="A501" s="18"/>
      <c r="B501" s="18"/>
      <c r="C501" s="18"/>
      <c r="E501" s="18"/>
    </row>
    <row r="502" ht="22.5" hidden="1" customHeight="1">
      <c r="A502" s="18"/>
      <c r="B502" s="18"/>
      <c r="C502" s="18"/>
      <c r="E502" s="18"/>
    </row>
    <row r="503" ht="22.5" hidden="1" customHeight="1">
      <c r="A503" s="18"/>
      <c r="B503" s="18"/>
      <c r="C503" s="18"/>
      <c r="E503" s="18"/>
    </row>
    <row r="504" ht="22.5" hidden="1" customHeight="1">
      <c r="A504" s="18"/>
      <c r="B504" s="18"/>
      <c r="C504" s="18"/>
      <c r="E504" s="18"/>
    </row>
    <row r="505" ht="22.5" hidden="1" customHeight="1">
      <c r="A505" s="18"/>
      <c r="B505" s="18"/>
      <c r="C505" s="18"/>
      <c r="E505" s="18"/>
    </row>
    <row r="506" ht="22.5" hidden="1" customHeight="1">
      <c r="A506" s="18"/>
      <c r="B506" s="18"/>
      <c r="C506" s="18"/>
      <c r="E506" s="18"/>
    </row>
    <row r="507" ht="22.5" hidden="1" customHeight="1">
      <c r="A507" s="18"/>
      <c r="B507" s="18"/>
      <c r="C507" s="18"/>
      <c r="E507" s="18"/>
    </row>
    <row r="508" ht="22.5" hidden="1" customHeight="1">
      <c r="A508" s="18"/>
      <c r="B508" s="18"/>
      <c r="C508" s="18"/>
      <c r="E508" s="18"/>
    </row>
    <row r="509" ht="22.5" hidden="1" customHeight="1">
      <c r="A509" s="18"/>
      <c r="B509" s="18"/>
      <c r="C509" s="18"/>
      <c r="E509" s="18"/>
    </row>
    <row r="510" ht="22.5" hidden="1" customHeight="1">
      <c r="A510" s="18"/>
      <c r="B510" s="18"/>
      <c r="C510" s="18"/>
      <c r="E510" s="18"/>
    </row>
    <row r="511" ht="22.5" hidden="1" customHeight="1">
      <c r="A511" s="18"/>
      <c r="B511" s="18"/>
      <c r="C511" s="18"/>
      <c r="E511" s="18"/>
    </row>
    <row r="512" ht="22.5" hidden="1" customHeight="1">
      <c r="A512" s="18"/>
      <c r="B512" s="18"/>
      <c r="C512" s="18"/>
      <c r="E512" s="18"/>
    </row>
    <row r="513" ht="22.5" hidden="1" customHeight="1">
      <c r="A513" s="18"/>
      <c r="B513" s="18"/>
      <c r="C513" s="18"/>
      <c r="E513" s="18"/>
    </row>
    <row r="514" ht="22.5" hidden="1" customHeight="1">
      <c r="A514" s="18"/>
      <c r="B514" s="18"/>
      <c r="C514" s="18"/>
      <c r="E514" s="18"/>
    </row>
    <row r="515" ht="22.5" hidden="1" customHeight="1">
      <c r="A515" s="18"/>
      <c r="B515" s="18"/>
      <c r="C515" s="18"/>
      <c r="E515" s="18"/>
    </row>
    <row r="516" ht="22.5" hidden="1" customHeight="1">
      <c r="A516" s="18"/>
      <c r="B516" s="18"/>
      <c r="C516" s="18"/>
      <c r="E516" s="18"/>
    </row>
    <row r="517" ht="22.5" hidden="1" customHeight="1">
      <c r="A517" s="18"/>
      <c r="B517" s="18"/>
      <c r="C517" s="18"/>
      <c r="E517" s="18"/>
    </row>
    <row r="518" ht="22.5" hidden="1" customHeight="1">
      <c r="A518" s="18"/>
      <c r="B518" s="18"/>
      <c r="C518" s="18"/>
      <c r="E518" s="18"/>
    </row>
    <row r="519" ht="22.5" hidden="1" customHeight="1">
      <c r="A519" s="18"/>
      <c r="B519" s="18"/>
      <c r="C519" s="18"/>
      <c r="E519" s="18"/>
    </row>
    <row r="520" ht="22.5" hidden="1" customHeight="1">
      <c r="A520" s="18"/>
      <c r="B520" s="18"/>
      <c r="C520" s="18"/>
      <c r="E520" s="18"/>
    </row>
    <row r="521" ht="22.5" hidden="1" customHeight="1">
      <c r="A521" s="18"/>
      <c r="B521" s="18"/>
      <c r="C521" s="18"/>
      <c r="E521" s="18"/>
    </row>
    <row r="522" ht="22.5" hidden="1" customHeight="1">
      <c r="A522" s="18"/>
      <c r="B522" s="18"/>
      <c r="C522" s="18"/>
      <c r="E522" s="18"/>
    </row>
    <row r="523" ht="22.5" hidden="1" customHeight="1">
      <c r="A523" s="18"/>
      <c r="B523" s="18"/>
      <c r="C523" s="18"/>
      <c r="E523" s="18"/>
    </row>
    <row r="524" ht="22.5" hidden="1" customHeight="1">
      <c r="A524" s="18"/>
      <c r="B524" s="18"/>
      <c r="C524" s="18"/>
      <c r="E524" s="18"/>
    </row>
    <row r="525" ht="22.5" hidden="1" customHeight="1">
      <c r="A525" s="18"/>
      <c r="B525" s="18"/>
      <c r="C525" s="18"/>
      <c r="E525" s="18"/>
    </row>
    <row r="526" ht="22.5" hidden="1" customHeight="1">
      <c r="A526" s="18"/>
      <c r="B526" s="18"/>
      <c r="C526" s="18"/>
      <c r="E526" s="18"/>
    </row>
    <row r="527" ht="22.5" hidden="1" customHeight="1">
      <c r="A527" s="18"/>
      <c r="B527" s="18"/>
      <c r="C527" s="18"/>
      <c r="E527" s="18"/>
    </row>
    <row r="528" ht="22.5" hidden="1" customHeight="1">
      <c r="A528" s="18"/>
      <c r="B528" s="18"/>
      <c r="C528" s="18"/>
      <c r="E528" s="18"/>
    </row>
    <row r="529" ht="22.5" hidden="1" customHeight="1">
      <c r="A529" s="18"/>
      <c r="B529" s="18"/>
      <c r="C529" s="18"/>
      <c r="E529" s="18"/>
    </row>
    <row r="530" ht="22.5" hidden="1" customHeight="1">
      <c r="A530" s="18"/>
      <c r="B530" s="18"/>
      <c r="C530" s="18"/>
      <c r="E530" s="18"/>
    </row>
    <row r="531" ht="22.5" hidden="1" customHeight="1">
      <c r="A531" s="18"/>
      <c r="B531" s="18"/>
      <c r="C531" s="18"/>
      <c r="E531" s="18"/>
    </row>
    <row r="532" ht="22.5" hidden="1" customHeight="1">
      <c r="A532" s="18"/>
      <c r="B532" s="18"/>
      <c r="C532" s="18"/>
      <c r="E532" s="18"/>
    </row>
    <row r="533" ht="22.5" hidden="1" customHeight="1">
      <c r="A533" s="18"/>
      <c r="B533" s="18"/>
      <c r="C533" s="18"/>
      <c r="E533" s="18"/>
    </row>
    <row r="534" ht="22.5" hidden="1" customHeight="1">
      <c r="A534" s="18"/>
      <c r="B534" s="18"/>
      <c r="C534" s="18"/>
      <c r="E534" s="18"/>
    </row>
    <row r="535" ht="22.5" hidden="1" customHeight="1">
      <c r="A535" s="18"/>
      <c r="B535" s="18"/>
      <c r="C535" s="18"/>
      <c r="E535" s="18"/>
    </row>
    <row r="536" ht="22.5" hidden="1" customHeight="1">
      <c r="A536" s="18"/>
      <c r="B536" s="18"/>
      <c r="C536" s="18"/>
      <c r="E536" s="18"/>
    </row>
    <row r="537" ht="22.5" hidden="1" customHeight="1">
      <c r="A537" s="18"/>
      <c r="B537" s="18"/>
      <c r="C537" s="18"/>
      <c r="E537" s="18"/>
    </row>
    <row r="538" ht="22.5" hidden="1" customHeight="1">
      <c r="A538" s="18"/>
      <c r="B538" s="18"/>
      <c r="C538" s="18"/>
      <c r="E538" s="18"/>
    </row>
    <row r="539" ht="22.5" hidden="1" customHeight="1">
      <c r="A539" s="18"/>
      <c r="B539" s="18"/>
      <c r="C539" s="18"/>
      <c r="E539" s="18"/>
    </row>
    <row r="540" ht="22.5" hidden="1" customHeight="1">
      <c r="A540" s="18"/>
      <c r="B540" s="18"/>
      <c r="C540" s="18"/>
      <c r="E540" s="18"/>
    </row>
    <row r="541" ht="22.5" hidden="1" customHeight="1">
      <c r="A541" s="18"/>
      <c r="B541" s="18"/>
      <c r="C541" s="18"/>
      <c r="E541" s="18"/>
    </row>
    <row r="542" ht="22.5" hidden="1" customHeight="1">
      <c r="A542" s="18"/>
      <c r="B542" s="18"/>
      <c r="C542" s="18"/>
      <c r="E542" s="18"/>
    </row>
    <row r="543" ht="22.5" hidden="1" customHeight="1">
      <c r="A543" s="18"/>
      <c r="B543" s="18"/>
      <c r="C543" s="18"/>
      <c r="E543" s="18"/>
    </row>
    <row r="544" ht="22.5" hidden="1" customHeight="1">
      <c r="A544" s="18"/>
      <c r="B544" s="18"/>
      <c r="C544" s="18"/>
      <c r="E544" s="18"/>
    </row>
    <row r="545" ht="22.5" hidden="1" customHeight="1">
      <c r="A545" s="18"/>
      <c r="B545" s="18"/>
      <c r="C545" s="18"/>
      <c r="E545" s="18"/>
    </row>
    <row r="546" ht="22.5" hidden="1" customHeight="1">
      <c r="A546" s="18"/>
      <c r="B546" s="18"/>
      <c r="C546" s="18"/>
      <c r="E546" s="18"/>
    </row>
    <row r="547" ht="22.5" hidden="1" customHeight="1">
      <c r="A547" s="18"/>
      <c r="B547" s="18"/>
      <c r="C547" s="18"/>
      <c r="E547" s="18"/>
    </row>
    <row r="548" ht="22.5" hidden="1" customHeight="1">
      <c r="A548" s="18"/>
      <c r="B548" s="18"/>
      <c r="C548" s="18"/>
      <c r="E548" s="18"/>
    </row>
    <row r="549" ht="22.5" hidden="1" customHeight="1">
      <c r="A549" s="18"/>
      <c r="B549" s="18"/>
      <c r="C549" s="18"/>
      <c r="E549" s="18"/>
    </row>
    <row r="550" ht="22.5" hidden="1" customHeight="1">
      <c r="A550" s="18"/>
      <c r="B550" s="18"/>
      <c r="C550" s="18"/>
      <c r="E550" s="18"/>
    </row>
    <row r="551" ht="22.5" hidden="1" customHeight="1">
      <c r="A551" s="18"/>
      <c r="B551" s="18"/>
      <c r="C551" s="18"/>
      <c r="E551" s="18"/>
    </row>
    <row r="552" ht="22.5" hidden="1" customHeight="1">
      <c r="A552" s="18"/>
      <c r="B552" s="18"/>
      <c r="C552" s="18"/>
      <c r="E552" s="18"/>
    </row>
    <row r="553" ht="22.5" hidden="1" customHeight="1">
      <c r="A553" s="18"/>
      <c r="B553" s="18"/>
      <c r="C553" s="18"/>
      <c r="E553" s="18"/>
    </row>
    <row r="554" ht="22.5" hidden="1" customHeight="1">
      <c r="A554" s="18"/>
      <c r="B554" s="18"/>
      <c r="C554" s="18"/>
      <c r="E554" s="18"/>
    </row>
    <row r="555" ht="22.5" hidden="1" customHeight="1">
      <c r="A555" s="18"/>
      <c r="B555" s="18"/>
      <c r="C555" s="18"/>
      <c r="E555" s="18"/>
    </row>
    <row r="556" ht="22.5" hidden="1" customHeight="1">
      <c r="A556" s="18"/>
      <c r="B556" s="18"/>
      <c r="C556" s="18"/>
      <c r="E556" s="18"/>
    </row>
    <row r="557" ht="22.5" hidden="1" customHeight="1">
      <c r="A557" s="18"/>
      <c r="B557" s="18"/>
      <c r="C557" s="18"/>
      <c r="E557" s="18"/>
    </row>
    <row r="558" ht="22.5" hidden="1" customHeight="1">
      <c r="A558" s="18"/>
      <c r="B558" s="18"/>
      <c r="C558" s="18"/>
      <c r="E558" s="18"/>
    </row>
    <row r="559" ht="22.5" hidden="1" customHeight="1">
      <c r="A559" s="18"/>
      <c r="B559" s="18"/>
      <c r="C559" s="18"/>
      <c r="E559" s="18"/>
    </row>
    <row r="560" ht="22.5" hidden="1" customHeight="1">
      <c r="A560" s="18"/>
      <c r="B560" s="18"/>
      <c r="C560" s="18"/>
      <c r="E560" s="18"/>
    </row>
    <row r="561" ht="22.5" hidden="1" customHeight="1">
      <c r="A561" s="18"/>
      <c r="B561" s="18"/>
      <c r="C561" s="18"/>
      <c r="E561" s="18"/>
    </row>
    <row r="562" ht="22.5" hidden="1" customHeight="1">
      <c r="A562" s="18"/>
      <c r="B562" s="18"/>
      <c r="C562" s="18"/>
      <c r="E562" s="18"/>
    </row>
    <row r="563" ht="22.5" hidden="1" customHeight="1">
      <c r="A563" s="18"/>
      <c r="B563" s="18"/>
      <c r="C563" s="18"/>
      <c r="E563" s="18"/>
    </row>
    <row r="564" ht="22.5" hidden="1" customHeight="1">
      <c r="A564" s="18"/>
      <c r="B564" s="18"/>
      <c r="C564" s="18"/>
      <c r="E564" s="18"/>
    </row>
    <row r="565" ht="22.5" hidden="1" customHeight="1">
      <c r="A565" s="18"/>
      <c r="B565" s="18"/>
      <c r="C565" s="18"/>
      <c r="E565" s="18"/>
    </row>
    <row r="566" ht="22.5" hidden="1" customHeight="1">
      <c r="A566" s="18"/>
      <c r="B566" s="18"/>
      <c r="C566" s="18"/>
      <c r="E566" s="18"/>
    </row>
    <row r="567" ht="22.5" hidden="1" customHeight="1">
      <c r="A567" s="18"/>
      <c r="B567" s="18"/>
      <c r="C567" s="18"/>
      <c r="E567" s="18"/>
    </row>
    <row r="568" ht="22.5" hidden="1" customHeight="1">
      <c r="A568" s="18"/>
      <c r="B568" s="18"/>
      <c r="C568" s="18"/>
      <c r="E568" s="18"/>
    </row>
    <row r="569" ht="22.5" hidden="1" customHeight="1">
      <c r="A569" s="18"/>
      <c r="B569" s="18"/>
      <c r="C569" s="18"/>
      <c r="E569" s="18"/>
    </row>
    <row r="570" ht="22.5" hidden="1" customHeight="1">
      <c r="A570" s="18"/>
      <c r="B570" s="18"/>
      <c r="C570" s="18"/>
      <c r="E570" s="18"/>
    </row>
    <row r="571" ht="22.5" hidden="1" customHeight="1">
      <c r="A571" s="18"/>
      <c r="B571" s="18"/>
      <c r="C571" s="18"/>
      <c r="E571" s="18"/>
    </row>
    <row r="572" ht="22.5" hidden="1" customHeight="1">
      <c r="A572" s="18"/>
      <c r="B572" s="18"/>
      <c r="C572" s="18"/>
      <c r="E572" s="18"/>
    </row>
    <row r="573" ht="22.5" hidden="1" customHeight="1">
      <c r="A573" s="18"/>
      <c r="B573" s="18"/>
      <c r="C573" s="18"/>
      <c r="E573" s="18"/>
    </row>
    <row r="574" ht="22.5" hidden="1" customHeight="1">
      <c r="A574" s="18"/>
      <c r="B574" s="18"/>
      <c r="C574" s="18"/>
      <c r="E574" s="18"/>
    </row>
    <row r="575" ht="22.5" hidden="1" customHeight="1">
      <c r="A575" s="18"/>
      <c r="B575" s="18"/>
      <c r="C575" s="18"/>
      <c r="E575" s="18"/>
    </row>
    <row r="576" ht="22.5" hidden="1" customHeight="1">
      <c r="A576" s="18"/>
      <c r="B576" s="18"/>
      <c r="C576" s="18"/>
      <c r="E576" s="18"/>
    </row>
    <row r="577" ht="22.5" hidden="1" customHeight="1">
      <c r="A577" s="18"/>
      <c r="B577" s="18"/>
      <c r="C577" s="18"/>
      <c r="E577" s="18"/>
    </row>
    <row r="578" ht="22.5" hidden="1" customHeight="1">
      <c r="A578" s="18"/>
      <c r="B578" s="18"/>
      <c r="C578" s="18"/>
      <c r="E578" s="18"/>
    </row>
    <row r="579" ht="22.5" hidden="1" customHeight="1">
      <c r="A579" s="18"/>
      <c r="B579" s="18"/>
      <c r="C579" s="18"/>
      <c r="E579" s="18"/>
    </row>
    <row r="580" ht="22.5" hidden="1" customHeight="1">
      <c r="A580" s="18"/>
      <c r="B580" s="18"/>
      <c r="C580" s="18"/>
      <c r="E580" s="18"/>
    </row>
    <row r="581" ht="22.5" hidden="1" customHeight="1">
      <c r="A581" s="18"/>
      <c r="B581" s="18"/>
      <c r="C581" s="18"/>
      <c r="E581" s="18"/>
    </row>
    <row r="582" ht="22.5" hidden="1" customHeight="1">
      <c r="A582" s="18"/>
      <c r="B582" s="18"/>
      <c r="C582" s="18"/>
      <c r="E582" s="18"/>
    </row>
    <row r="583" ht="22.5" hidden="1" customHeight="1">
      <c r="A583" s="18"/>
      <c r="B583" s="18"/>
      <c r="C583" s="18"/>
      <c r="E583" s="18"/>
    </row>
    <row r="584" ht="22.5" hidden="1" customHeight="1">
      <c r="A584" s="18"/>
      <c r="B584" s="18"/>
      <c r="C584" s="18"/>
      <c r="E584" s="18"/>
    </row>
    <row r="585" ht="22.5" hidden="1" customHeight="1">
      <c r="A585" s="18"/>
      <c r="B585" s="18"/>
      <c r="C585" s="18"/>
      <c r="E585" s="18"/>
    </row>
    <row r="586" ht="22.5" hidden="1" customHeight="1">
      <c r="A586" s="18"/>
      <c r="B586" s="18"/>
      <c r="C586" s="18"/>
      <c r="E586" s="18"/>
    </row>
    <row r="587" ht="22.5" hidden="1" customHeight="1">
      <c r="A587" s="18"/>
      <c r="B587" s="18"/>
      <c r="C587" s="18"/>
      <c r="E587" s="18"/>
    </row>
    <row r="588" ht="22.5" hidden="1" customHeight="1">
      <c r="A588" s="18"/>
      <c r="B588" s="18"/>
      <c r="C588" s="18"/>
      <c r="E588" s="18"/>
    </row>
    <row r="589" ht="22.5" hidden="1" customHeight="1">
      <c r="A589" s="18"/>
      <c r="B589" s="18"/>
      <c r="C589" s="18"/>
      <c r="E589" s="18"/>
    </row>
    <row r="590" ht="22.5" hidden="1" customHeight="1">
      <c r="A590" s="18"/>
      <c r="B590" s="18"/>
      <c r="C590" s="18"/>
      <c r="E590" s="18"/>
    </row>
    <row r="591" ht="22.5" hidden="1" customHeight="1">
      <c r="A591" s="18"/>
      <c r="B591" s="18"/>
      <c r="C591" s="18"/>
      <c r="E591" s="18"/>
    </row>
    <row r="592" ht="22.5" hidden="1" customHeight="1">
      <c r="A592" s="18"/>
      <c r="B592" s="18"/>
      <c r="C592" s="18"/>
      <c r="E592" s="18"/>
    </row>
    <row r="593" ht="22.5" hidden="1" customHeight="1">
      <c r="A593" s="18"/>
      <c r="B593" s="18"/>
      <c r="C593" s="18"/>
      <c r="E593" s="18"/>
    </row>
    <row r="594" ht="22.5" hidden="1" customHeight="1">
      <c r="A594" s="18"/>
      <c r="B594" s="18"/>
      <c r="C594" s="18"/>
      <c r="E594" s="18"/>
    </row>
    <row r="595" ht="22.5" hidden="1" customHeight="1">
      <c r="A595" s="18"/>
      <c r="B595" s="18"/>
      <c r="C595" s="18"/>
      <c r="E595" s="18"/>
    </row>
    <row r="596" ht="22.5" hidden="1" customHeight="1">
      <c r="A596" s="18"/>
      <c r="B596" s="18"/>
      <c r="C596" s="18"/>
      <c r="E596" s="18"/>
    </row>
    <row r="597" ht="22.5" hidden="1" customHeight="1">
      <c r="A597" s="18"/>
      <c r="B597" s="18"/>
      <c r="C597" s="18"/>
      <c r="E597" s="18"/>
    </row>
    <row r="598" ht="22.5" hidden="1" customHeight="1">
      <c r="A598" s="18"/>
      <c r="B598" s="18"/>
      <c r="C598" s="18"/>
      <c r="E598" s="18"/>
    </row>
    <row r="599" ht="22.5" hidden="1" customHeight="1">
      <c r="A599" s="18"/>
      <c r="B599" s="18"/>
      <c r="C599" s="18"/>
      <c r="E599" s="18"/>
    </row>
    <row r="600" ht="22.5" hidden="1" customHeight="1">
      <c r="A600" s="18"/>
      <c r="B600" s="18"/>
      <c r="C600" s="18"/>
      <c r="E600" s="18"/>
    </row>
    <row r="601" ht="22.5" hidden="1" customHeight="1">
      <c r="A601" s="18"/>
      <c r="B601" s="18"/>
      <c r="C601" s="18"/>
      <c r="E601" s="18"/>
    </row>
    <row r="602" ht="22.5" hidden="1" customHeight="1">
      <c r="A602" s="18"/>
      <c r="B602" s="18"/>
      <c r="C602" s="18"/>
      <c r="E602" s="18"/>
    </row>
    <row r="603" ht="22.5" hidden="1" customHeight="1">
      <c r="A603" s="18"/>
      <c r="B603" s="18"/>
      <c r="C603" s="18"/>
      <c r="E603" s="18"/>
    </row>
    <row r="604" ht="22.5" hidden="1" customHeight="1">
      <c r="A604" s="18"/>
      <c r="B604" s="18"/>
      <c r="C604" s="18"/>
      <c r="E604" s="18"/>
    </row>
    <row r="605" ht="22.5" hidden="1" customHeight="1">
      <c r="A605" s="18"/>
      <c r="B605" s="18"/>
      <c r="C605" s="18"/>
      <c r="E605" s="18"/>
    </row>
    <row r="606" ht="22.5" hidden="1" customHeight="1">
      <c r="A606" s="18"/>
      <c r="B606" s="18"/>
      <c r="C606" s="18"/>
      <c r="E606" s="18"/>
    </row>
    <row r="607" ht="22.5" hidden="1" customHeight="1">
      <c r="A607" s="18"/>
      <c r="B607" s="18"/>
      <c r="C607" s="18"/>
      <c r="E607" s="18"/>
    </row>
    <row r="608" ht="22.5" hidden="1" customHeight="1">
      <c r="A608" s="18"/>
      <c r="B608" s="18"/>
      <c r="C608" s="18"/>
      <c r="E608" s="18"/>
    </row>
    <row r="609" ht="22.5" hidden="1" customHeight="1">
      <c r="A609" s="18"/>
      <c r="B609" s="18"/>
      <c r="C609" s="18"/>
      <c r="E609" s="18"/>
    </row>
    <row r="610" ht="22.5" hidden="1" customHeight="1">
      <c r="A610" s="18"/>
      <c r="B610" s="18"/>
      <c r="C610" s="18"/>
      <c r="E610" s="18"/>
    </row>
    <row r="611" ht="22.5" hidden="1" customHeight="1">
      <c r="A611" s="18"/>
      <c r="B611" s="18"/>
      <c r="C611" s="18"/>
      <c r="E611" s="18"/>
    </row>
    <row r="612" ht="22.5" hidden="1" customHeight="1">
      <c r="A612" s="18"/>
      <c r="B612" s="18"/>
      <c r="C612" s="18"/>
      <c r="E612" s="18"/>
    </row>
    <row r="613" ht="22.5" hidden="1" customHeight="1">
      <c r="A613" s="18"/>
      <c r="B613" s="18"/>
      <c r="C613" s="18"/>
      <c r="E613" s="18"/>
    </row>
    <row r="614" ht="22.5" hidden="1" customHeight="1">
      <c r="A614" s="18"/>
      <c r="B614" s="18"/>
      <c r="C614" s="18"/>
      <c r="E614" s="18"/>
    </row>
    <row r="615" ht="22.5" hidden="1" customHeight="1">
      <c r="A615" s="18"/>
      <c r="B615" s="18"/>
      <c r="C615" s="18"/>
      <c r="E615" s="18"/>
    </row>
    <row r="616" ht="22.5" hidden="1" customHeight="1">
      <c r="A616" s="18"/>
      <c r="B616" s="18"/>
      <c r="C616" s="18"/>
      <c r="E616" s="18"/>
    </row>
    <row r="617" ht="22.5" hidden="1" customHeight="1">
      <c r="A617" s="18"/>
      <c r="B617" s="18"/>
      <c r="C617" s="18"/>
      <c r="E617" s="18"/>
    </row>
    <row r="618" ht="22.5" hidden="1" customHeight="1">
      <c r="A618" s="18"/>
      <c r="B618" s="18"/>
      <c r="C618" s="18"/>
      <c r="E618" s="18"/>
    </row>
    <row r="619" ht="22.5" hidden="1" customHeight="1">
      <c r="A619" s="18"/>
      <c r="B619" s="18"/>
      <c r="C619" s="18"/>
      <c r="E619" s="18"/>
    </row>
    <row r="620" ht="22.5" hidden="1" customHeight="1">
      <c r="A620" s="18"/>
      <c r="B620" s="18"/>
      <c r="C620" s="18"/>
      <c r="E620" s="18"/>
    </row>
    <row r="621" ht="22.5" hidden="1" customHeight="1">
      <c r="A621" s="18"/>
      <c r="B621" s="18"/>
      <c r="C621" s="18"/>
      <c r="E621" s="18"/>
    </row>
    <row r="622" ht="22.5" hidden="1" customHeight="1">
      <c r="A622" s="18"/>
      <c r="B622" s="18"/>
      <c r="C622" s="18"/>
      <c r="E622" s="18"/>
    </row>
    <row r="623" ht="22.5" hidden="1" customHeight="1">
      <c r="A623" s="18"/>
      <c r="B623" s="18"/>
      <c r="C623" s="18"/>
      <c r="E623" s="18"/>
    </row>
    <row r="624" ht="22.5" hidden="1" customHeight="1">
      <c r="A624" s="18"/>
      <c r="B624" s="18"/>
      <c r="C624" s="18"/>
      <c r="E624" s="18"/>
    </row>
    <row r="625" ht="22.5" hidden="1" customHeight="1">
      <c r="A625" s="18"/>
      <c r="B625" s="18"/>
      <c r="C625" s="18"/>
      <c r="E625" s="18"/>
    </row>
    <row r="626" ht="22.5" hidden="1" customHeight="1">
      <c r="A626" s="18"/>
      <c r="B626" s="18"/>
      <c r="C626" s="18"/>
      <c r="E626" s="18"/>
    </row>
    <row r="627" ht="22.5" hidden="1" customHeight="1">
      <c r="A627" s="18"/>
      <c r="B627" s="18"/>
      <c r="C627" s="18"/>
      <c r="E627" s="18"/>
    </row>
    <row r="628" ht="22.5" hidden="1" customHeight="1">
      <c r="A628" s="18"/>
      <c r="B628" s="18"/>
      <c r="C628" s="18"/>
      <c r="E628" s="18"/>
    </row>
    <row r="629" ht="22.5" hidden="1" customHeight="1">
      <c r="A629" s="18"/>
      <c r="B629" s="18"/>
      <c r="C629" s="18"/>
      <c r="E629" s="18"/>
    </row>
    <row r="630" ht="22.5" hidden="1" customHeight="1">
      <c r="A630" s="18"/>
      <c r="B630" s="18"/>
      <c r="C630" s="18"/>
      <c r="E630" s="18"/>
    </row>
    <row r="631" ht="22.5" hidden="1" customHeight="1">
      <c r="A631" s="18"/>
      <c r="B631" s="18"/>
      <c r="C631" s="18"/>
      <c r="E631" s="18"/>
    </row>
    <row r="632" ht="22.5" hidden="1" customHeight="1">
      <c r="A632" s="18"/>
      <c r="B632" s="18"/>
      <c r="C632" s="18"/>
      <c r="E632" s="18"/>
    </row>
    <row r="633" ht="22.5" hidden="1" customHeight="1">
      <c r="A633" s="18"/>
      <c r="B633" s="18"/>
      <c r="C633" s="18"/>
      <c r="E633" s="18"/>
    </row>
    <row r="634" ht="22.5" hidden="1" customHeight="1">
      <c r="A634" s="18"/>
      <c r="B634" s="18"/>
      <c r="C634" s="18"/>
      <c r="E634" s="18"/>
    </row>
    <row r="635" ht="22.5" hidden="1" customHeight="1">
      <c r="A635" s="18"/>
      <c r="B635" s="18"/>
      <c r="C635" s="18"/>
      <c r="E635" s="18"/>
    </row>
    <row r="636" ht="22.5" hidden="1" customHeight="1">
      <c r="A636" s="18"/>
      <c r="B636" s="18"/>
      <c r="C636" s="18"/>
      <c r="E636" s="18"/>
    </row>
    <row r="637" ht="22.5" hidden="1" customHeight="1">
      <c r="A637" s="18"/>
      <c r="B637" s="18"/>
      <c r="C637" s="18"/>
      <c r="E637" s="18"/>
    </row>
    <row r="638" ht="22.5" hidden="1" customHeight="1">
      <c r="A638" s="18"/>
      <c r="B638" s="18"/>
      <c r="C638" s="18"/>
      <c r="E638" s="18"/>
    </row>
    <row r="639" ht="22.5" hidden="1" customHeight="1">
      <c r="A639" s="18"/>
      <c r="B639" s="18"/>
      <c r="C639" s="18"/>
      <c r="E639" s="18"/>
    </row>
    <row r="640" ht="22.5" hidden="1" customHeight="1">
      <c r="A640" s="18"/>
      <c r="B640" s="18"/>
      <c r="C640" s="18"/>
      <c r="E640" s="18"/>
    </row>
    <row r="641" ht="22.5" hidden="1" customHeight="1">
      <c r="A641" s="18"/>
      <c r="B641" s="18"/>
      <c r="C641" s="18"/>
      <c r="E641" s="18"/>
    </row>
    <row r="642" ht="22.5" hidden="1" customHeight="1">
      <c r="A642" s="18"/>
      <c r="B642" s="18"/>
      <c r="C642" s="18"/>
      <c r="E642" s="18"/>
    </row>
    <row r="643" ht="22.5" hidden="1" customHeight="1">
      <c r="A643" s="18"/>
      <c r="B643" s="18"/>
      <c r="C643" s="18"/>
      <c r="E643" s="18"/>
    </row>
    <row r="644" ht="22.5" hidden="1" customHeight="1">
      <c r="A644" s="18"/>
      <c r="B644" s="18"/>
      <c r="C644" s="18"/>
      <c r="E644" s="18"/>
    </row>
    <row r="645" ht="22.5" hidden="1" customHeight="1">
      <c r="A645" s="18"/>
      <c r="B645" s="18"/>
      <c r="C645" s="18"/>
      <c r="E645" s="18"/>
    </row>
    <row r="646" ht="22.5" hidden="1" customHeight="1">
      <c r="A646" s="18"/>
      <c r="B646" s="18"/>
      <c r="C646" s="18"/>
      <c r="E646" s="18"/>
    </row>
    <row r="647" ht="22.5" hidden="1" customHeight="1">
      <c r="A647" s="18"/>
      <c r="B647" s="18"/>
      <c r="C647" s="18"/>
      <c r="E647" s="18"/>
    </row>
    <row r="648" ht="22.5" hidden="1" customHeight="1">
      <c r="A648" s="18"/>
      <c r="B648" s="18"/>
      <c r="C648" s="18"/>
      <c r="E648" s="18"/>
    </row>
    <row r="649" ht="22.5" hidden="1" customHeight="1">
      <c r="A649" s="18"/>
      <c r="B649" s="18"/>
      <c r="C649" s="18"/>
      <c r="E649" s="18"/>
    </row>
    <row r="650" ht="22.5" hidden="1" customHeight="1">
      <c r="A650" s="18"/>
      <c r="B650" s="18"/>
      <c r="C650" s="18"/>
      <c r="E650" s="18"/>
    </row>
    <row r="651" ht="22.5" hidden="1" customHeight="1">
      <c r="A651" s="18"/>
      <c r="B651" s="18"/>
      <c r="C651" s="18"/>
      <c r="E651" s="18"/>
    </row>
    <row r="652" ht="22.5" hidden="1" customHeight="1">
      <c r="A652" s="18"/>
      <c r="B652" s="18"/>
      <c r="C652" s="18"/>
      <c r="E652" s="18"/>
    </row>
    <row r="653" ht="22.5" hidden="1" customHeight="1">
      <c r="A653" s="18"/>
      <c r="B653" s="18"/>
      <c r="C653" s="18"/>
      <c r="E653" s="18"/>
    </row>
    <row r="654" ht="22.5" hidden="1" customHeight="1">
      <c r="A654" s="18"/>
      <c r="B654" s="18"/>
      <c r="C654" s="18"/>
      <c r="E654" s="18"/>
    </row>
    <row r="655" ht="22.5" hidden="1" customHeight="1">
      <c r="A655" s="18"/>
      <c r="B655" s="18"/>
      <c r="C655" s="18"/>
      <c r="E655" s="18"/>
    </row>
    <row r="656" ht="22.5" hidden="1" customHeight="1">
      <c r="A656" s="18"/>
      <c r="B656" s="18"/>
      <c r="C656" s="18"/>
      <c r="E656" s="18"/>
    </row>
    <row r="657" ht="22.5" hidden="1" customHeight="1">
      <c r="A657" s="18"/>
      <c r="B657" s="18"/>
      <c r="C657" s="18"/>
      <c r="E657" s="18"/>
    </row>
    <row r="658" ht="22.5" hidden="1" customHeight="1">
      <c r="A658" s="18"/>
      <c r="B658" s="18"/>
      <c r="C658" s="18"/>
      <c r="E658" s="18"/>
    </row>
    <row r="659" ht="22.5" hidden="1" customHeight="1">
      <c r="A659" s="18"/>
      <c r="B659" s="18"/>
      <c r="C659" s="18"/>
      <c r="E659" s="18"/>
    </row>
    <row r="660" ht="22.5" hidden="1" customHeight="1">
      <c r="A660" s="18"/>
      <c r="B660" s="18"/>
      <c r="C660" s="18"/>
      <c r="E660" s="18"/>
    </row>
    <row r="661" ht="22.5" hidden="1" customHeight="1">
      <c r="A661" s="18"/>
      <c r="B661" s="18"/>
      <c r="C661" s="18"/>
      <c r="E661" s="18"/>
    </row>
    <row r="662" ht="22.5" hidden="1" customHeight="1">
      <c r="A662" s="18"/>
      <c r="B662" s="18"/>
      <c r="C662" s="18"/>
      <c r="E662" s="18"/>
    </row>
    <row r="663" ht="22.5" hidden="1" customHeight="1">
      <c r="A663" s="18"/>
      <c r="B663" s="18"/>
      <c r="C663" s="18"/>
      <c r="E663" s="18"/>
    </row>
    <row r="664" ht="22.5" hidden="1" customHeight="1">
      <c r="A664" s="18"/>
      <c r="B664" s="18"/>
      <c r="C664" s="18"/>
      <c r="E664" s="18"/>
    </row>
    <row r="665" ht="22.5" hidden="1" customHeight="1">
      <c r="A665" s="18"/>
      <c r="B665" s="18"/>
      <c r="C665" s="18"/>
      <c r="E665" s="18"/>
    </row>
    <row r="666" ht="22.5" hidden="1" customHeight="1">
      <c r="A666" s="18"/>
      <c r="B666" s="18"/>
      <c r="C666" s="18"/>
      <c r="E666" s="18"/>
    </row>
    <row r="667" ht="22.5" hidden="1" customHeight="1">
      <c r="A667" s="18"/>
      <c r="B667" s="18"/>
      <c r="C667" s="18"/>
      <c r="E667" s="18"/>
    </row>
    <row r="668" ht="22.5" hidden="1" customHeight="1">
      <c r="A668" s="18"/>
      <c r="B668" s="18"/>
      <c r="C668" s="18"/>
      <c r="E668" s="18"/>
    </row>
    <row r="669" ht="22.5" hidden="1" customHeight="1">
      <c r="A669" s="18"/>
      <c r="B669" s="18"/>
      <c r="C669" s="18"/>
      <c r="E669" s="18"/>
    </row>
    <row r="670" ht="22.5" hidden="1" customHeight="1">
      <c r="A670" s="18"/>
      <c r="B670" s="18"/>
      <c r="C670" s="18"/>
      <c r="E670" s="18"/>
    </row>
    <row r="671" ht="22.5" hidden="1" customHeight="1">
      <c r="A671" s="18"/>
      <c r="B671" s="18"/>
      <c r="C671" s="18"/>
      <c r="E671" s="18"/>
    </row>
    <row r="672" ht="22.5" hidden="1" customHeight="1">
      <c r="A672" s="18"/>
      <c r="B672" s="18"/>
      <c r="C672" s="18"/>
      <c r="E672" s="18"/>
    </row>
    <row r="673" ht="22.5" hidden="1" customHeight="1">
      <c r="A673" s="18"/>
      <c r="B673" s="18"/>
      <c r="C673" s="18"/>
      <c r="E673" s="18"/>
    </row>
    <row r="674" ht="22.5" hidden="1" customHeight="1">
      <c r="A674" s="18"/>
      <c r="B674" s="18"/>
      <c r="C674" s="18"/>
      <c r="E674" s="18"/>
    </row>
    <row r="675" ht="22.5" hidden="1" customHeight="1">
      <c r="A675" s="18"/>
      <c r="B675" s="18"/>
      <c r="C675" s="18"/>
      <c r="E675" s="18"/>
    </row>
    <row r="676" ht="22.5" hidden="1" customHeight="1">
      <c r="A676" s="18"/>
      <c r="B676" s="18"/>
      <c r="C676" s="18"/>
      <c r="E676" s="18"/>
    </row>
    <row r="677" ht="22.5" hidden="1" customHeight="1">
      <c r="A677" s="18"/>
      <c r="B677" s="18"/>
      <c r="C677" s="18"/>
      <c r="E677" s="18"/>
    </row>
    <row r="678" ht="22.5" hidden="1" customHeight="1">
      <c r="A678" s="18"/>
      <c r="B678" s="18"/>
      <c r="C678" s="18"/>
      <c r="E678" s="18"/>
    </row>
    <row r="679" ht="22.5" hidden="1" customHeight="1">
      <c r="A679" s="18"/>
      <c r="B679" s="18"/>
      <c r="C679" s="18"/>
      <c r="E679" s="18"/>
    </row>
    <row r="680" ht="22.5" hidden="1" customHeight="1">
      <c r="A680" s="18"/>
      <c r="B680" s="18"/>
      <c r="C680" s="18"/>
      <c r="E680" s="18"/>
    </row>
    <row r="681" ht="22.5" hidden="1" customHeight="1">
      <c r="A681" s="18"/>
      <c r="B681" s="18"/>
      <c r="C681" s="18"/>
      <c r="E681" s="18"/>
    </row>
    <row r="682" ht="22.5" hidden="1" customHeight="1">
      <c r="A682" s="18"/>
      <c r="B682" s="18"/>
      <c r="C682" s="18"/>
      <c r="E682" s="18"/>
    </row>
    <row r="683" ht="22.5" hidden="1" customHeight="1">
      <c r="A683" s="18"/>
      <c r="B683" s="18"/>
      <c r="C683" s="18"/>
      <c r="E683" s="18"/>
    </row>
    <row r="684" ht="22.5" hidden="1" customHeight="1">
      <c r="A684" s="18"/>
      <c r="B684" s="18"/>
      <c r="C684" s="18"/>
      <c r="E684" s="18"/>
    </row>
    <row r="685" ht="22.5" hidden="1" customHeight="1">
      <c r="A685" s="18"/>
      <c r="B685" s="18"/>
      <c r="C685" s="18"/>
      <c r="E685" s="18"/>
    </row>
    <row r="686" ht="22.5" hidden="1" customHeight="1">
      <c r="A686" s="18"/>
      <c r="B686" s="18"/>
      <c r="C686" s="18"/>
      <c r="E686" s="18"/>
    </row>
    <row r="687" ht="22.5" hidden="1" customHeight="1">
      <c r="A687" s="18"/>
      <c r="B687" s="18"/>
      <c r="C687" s="18"/>
      <c r="E687" s="18"/>
    </row>
    <row r="688" ht="22.5" hidden="1" customHeight="1">
      <c r="A688" s="18"/>
      <c r="B688" s="18"/>
      <c r="C688" s="18"/>
      <c r="E688" s="18"/>
    </row>
    <row r="689" ht="22.5" hidden="1" customHeight="1">
      <c r="A689" s="18"/>
      <c r="B689" s="18"/>
      <c r="C689" s="18"/>
      <c r="E689" s="18"/>
    </row>
    <row r="690" ht="22.5" hidden="1" customHeight="1">
      <c r="A690" s="18"/>
      <c r="B690" s="18"/>
      <c r="C690" s="18"/>
      <c r="E690" s="18"/>
    </row>
    <row r="691" ht="22.5" hidden="1" customHeight="1">
      <c r="A691" s="18"/>
      <c r="B691" s="18"/>
      <c r="C691" s="18"/>
      <c r="E691" s="18"/>
    </row>
    <row r="692" ht="22.5" hidden="1" customHeight="1">
      <c r="A692" s="18"/>
      <c r="B692" s="18"/>
      <c r="C692" s="18"/>
      <c r="E692" s="18"/>
    </row>
    <row r="693" ht="22.5" hidden="1" customHeight="1">
      <c r="A693" s="18"/>
      <c r="B693" s="18"/>
      <c r="C693" s="18"/>
      <c r="E693" s="18"/>
    </row>
    <row r="694" ht="22.5" hidden="1" customHeight="1">
      <c r="A694" s="18"/>
      <c r="B694" s="18"/>
      <c r="C694" s="18"/>
      <c r="E694" s="18"/>
    </row>
    <row r="695" ht="22.5" hidden="1" customHeight="1">
      <c r="A695" s="18"/>
      <c r="B695" s="18"/>
      <c r="C695" s="18"/>
      <c r="E695" s="18"/>
    </row>
    <row r="696" ht="22.5" hidden="1" customHeight="1">
      <c r="A696" s="18"/>
      <c r="B696" s="18"/>
      <c r="C696" s="18"/>
      <c r="E696" s="18"/>
    </row>
    <row r="697" ht="22.5" hidden="1" customHeight="1">
      <c r="A697" s="18"/>
      <c r="B697" s="18"/>
      <c r="C697" s="18"/>
      <c r="E697" s="18"/>
    </row>
    <row r="698" ht="22.5" hidden="1" customHeight="1">
      <c r="A698" s="18"/>
      <c r="B698" s="18"/>
      <c r="C698" s="18"/>
      <c r="E698" s="18"/>
    </row>
    <row r="699" ht="22.5" hidden="1" customHeight="1">
      <c r="A699" s="18"/>
      <c r="B699" s="18"/>
      <c r="C699" s="18"/>
      <c r="E699" s="18"/>
    </row>
    <row r="700" ht="22.5" hidden="1" customHeight="1">
      <c r="A700" s="18"/>
      <c r="B700" s="18"/>
      <c r="C700" s="18"/>
      <c r="E700" s="18"/>
    </row>
    <row r="701" ht="22.5" hidden="1" customHeight="1">
      <c r="A701" s="18"/>
      <c r="B701" s="18"/>
      <c r="C701" s="18"/>
      <c r="E701" s="18"/>
    </row>
    <row r="702" ht="22.5" hidden="1" customHeight="1">
      <c r="A702" s="18"/>
      <c r="B702" s="18"/>
      <c r="C702" s="18"/>
      <c r="E702" s="18"/>
    </row>
    <row r="703" ht="22.5" hidden="1" customHeight="1">
      <c r="A703" s="18"/>
      <c r="B703" s="18"/>
      <c r="C703" s="18"/>
      <c r="E703" s="18"/>
    </row>
    <row r="704" ht="22.5" hidden="1" customHeight="1">
      <c r="A704" s="18"/>
      <c r="B704" s="18"/>
      <c r="C704" s="18"/>
      <c r="E704" s="18"/>
    </row>
    <row r="705" ht="22.5" hidden="1" customHeight="1">
      <c r="A705" s="18"/>
      <c r="B705" s="18"/>
      <c r="C705" s="18"/>
      <c r="E705" s="18"/>
    </row>
    <row r="706" ht="22.5" hidden="1" customHeight="1">
      <c r="A706" s="18"/>
      <c r="B706" s="18"/>
      <c r="C706" s="18"/>
      <c r="E706" s="18"/>
    </row>
    <row r="707" ht="22.5" hidden="1" customHeight="1">
      <c r="A707" s="18"/>
      <c r="B707" s="18"/>
      <c r="C707" s="18"/>
      <c r="E707" s="18"/>
    </row>
    <row r="708" ht="22.5" hidden="1" customHeight="1">
      <c r="A708" s="18"/>
      <c r="B708" s="18"/>
      <c r="C708" s="18"/>
      <c r="E708" s="18"/>
    </row>
    <row r="709" ht="22.5" hidden="1" customHeight="1">
      <c r="A709" s="18"/>
      <c r="B709" s="18"/>
      <c r="C709" s="18"/>
      <c r="E709" s="18"/>
    </row>
    <row r="710" ht="22.5" hidden="1" customHeight="1">
      <c r="A710" s="18"/>
      <c r="B710" s="18"/>
      <c r="C710" s="18"/>
      <c r="E710" s="18"/>
    </row>
    <row r="711" ht="22.5" hidden="1" customHeight="1">
      <c r="A711" s="18"/>
      <c r="B711" s="18"/>
      <c r="C711" s="18"/>
      <c r="E711" s="18"/>
    </row>
    <row r="712" ht="22.5" hidden="1" customHeight="1">
      <c r="A712" s="18"/>
      <c r="B712" s="18"/>
      <c r="C712" s="18"/>
      <c r="E712" s="18"/>
    </row>
    <row r="713" ht="22.5" hidden="1" customHeight="1">
      <c r="A713" s="18"/>
      <c r="B713" s="18"/>
      <c r="C713" s="18"/>
      <c r="E713" s="18"/>
    </row>
    <row r="714" ht="22.5" hidden="1" customHeight="1">
      <c r="A714" s="18"/>
      <c r="B714" s="18"/>
      <c r="C714" s="18"/>
      <c r="E714" s="18"/>
    </row>
    <row r="715" ht="22.5" hidden="1" customHeight="1">
      <c r="A715" s="18"/>
      <c r="B715" s="18"/>
      <c r="C715" s="18"/>
      <c r="E715" s="18"/>
    </row>
    <row r="716" ht="22.5" hidden="1" customHeight="1">
      <c r="A716" s="18"/>
      <c r="B716" s="18"/>
      <c r="C716" s="18"/>
      <c r="E716" s="18"/>
    </row>
    <row r="717" ht="22.5" hidden="1" customHeight="1">
      <c r="A717" s="18"/>
      <c r="B717" s="18"/>
      <c r="C717" s="18"/>
      <c r="E717" s="18"/>
    </row>
    <row r="718" ht="22.5" hidden="1" customHeight="1">
      <c r="A718" s="18"/>
      <c r="B718" s="18"/>
      <c r="C718" s="18"/>
      <c r="E718" s="18"/>
    </row>
    <row r="719" ht="22.5" hidden="1" customHeight="1">
      <c r="A719" s="18"/>
      <c r="B719" s="18"/>
      <c r="C719" s="18"/>
      <c r="E719" s="18"/>
    </row>
    <row r="720" ht="22.5" hidden="1" customHeight="1">
      <c r="A720" s="18"/>
      <c r="B720" s="18"/>
      <c r="C720" s="18"/>
      <c r="E720" s="18"/>
    </row>
    <row r="721" ht="22.5" hidden="1" customHeight="1">
      <c r="A721" s="18"/>
      <c r="B721" s="18"/>
      <c r="C721" s="18"/>
      <c r="E721" s="18"/>
    </row>
    <row r="722" ht="22.5" hidden="1" customHeight="1">
      <c r="A722" s="18"/>
      <c r="B722" s="18"/>
      <c r="C722" s="18"/>
      <c r="E722" s="18"/>
    </row>
    <row r="723" ht="22.5" hidden="1" customHeight="1">
      <c r="A723" s="18"/>
      <c r="B723" s="18"/>
      <c r="C723" s="18"/>
      <c r="E723" s="18"/>
    </row>
    <row r="724" ht="22.5" hidden="1" customHeight="1">
      <c r="A724" s="18"/>
      <c r="B724" s="18"/>
      <c r="C724" s="18"/>
      <c r="E724" s="18"/>
    </row>
    <row r="725" ht="22.5" hidden="1" customHeight="1">
      <c r="A725" s="18"/>
      <c r="B725" s="18"/>
      <c r="C725" s="18"/>
      <c r="E725" s="18"/>
    </row>
    <row r="726" ht="22.5" hidden="1" customHeight="1">
      <c r="A726" s="18"/>
      <c r="B726" s="18"/>
      <c r="C726" s="18"/>
      <c r="E726" s="18"/>
    </row>
    <row r="727" ht="22.5" hidden="1" customHeight="1">
      <c r="A727" s="18"/>
      <c r="B727" s="18"/>
      <c r="C727" s="18"/>
      <c r="E727" s="18"/>
    </row>
    <row r="728" ht="22.5" hidden="1" customHeight="1">
      <c r="A728" s="18"/>
      <c r="B728" s="18"/>
      <c r="C728" s="18"/>
      <c r="E728" s="18"/>
    </row>
    <row r="729" ht="22.5" hidden="1" customHeight="1">
      <c r="A729" s="18"/>
      <c r="B729" s="18"/>
      <c r="C729" s="18"/>
      <c r="E729" s="18"/>
    </row>
    <row r="730" ht="22.5" hidden="1" customHeight="1">
      <c r="A730" s="18"/>
      <c r="B730" s="18"/>
      <c r="C730" s="18"/>
      <c r="E730" s="18"/>
    </row>
    <row r="731" ht="22.5" hidden="1" customHeight="1">
      <c r="A731" s="18"/>
      <c r="B731" s="18"/>
      <c r="C731" s="18"/>
      <c r="E731" s="18"/>
    </row>
    <row r="732" ht="22.5" hidden="1" customHeight="1">
      <c r="A732" s="18"/>
      <c r="B732" s="18"/>
      <c r="C732" s="18"/>
      <c r="E732" s="18"/>
    </row>
    <row r="733" ht="22.5" hidden="1" customHeight="1">
      <c r="A733" s="18"/>
      <c r="B733" s="18"/>
      <c r="C733" s="18"/>
      <c r="E733" s="18"/>
    </row>
    <row r="734" ht="22.5" hidden="1" customHeight="1">
      <c r="A734" s="18"/>
      <c r="B734" s="18"/>
      <c r="C734" s="18"/>
      <c r="E734" s="18"/>
    </row>
    <row r="735" ht="22.5" hidden="1" customHeight="1">
      <c r="A735" s="18"/>
      <c r="B735" s="18"/>
      <c r="C735" s="18"/>
      <c r="E735" s="18"/>
    </row>
    <row r="736" ht="22.5" hidden="1" customHeight="1">
      <c r="A736" s="18"/>
      <c r="B736" s="18"/>
      <c r="C736" s="18"/>
      <c r="E736" s="18"/>
    </row>
    <row r="737" ht="22.5" hidden="1" customHeight="1">
      <c r="A737" s="18"/>
      <c r="B737" s="18"/>
      <c r="C737" s="18"/>
      <c r="E737" s="18"/>
    </row>
    <row r="738" ht="22.5" hidden="1" customHeight="1">
      <c r="A738" s="18"/>
      <c r="B738" s="18"/>
      <c r="C738" s="18"/>
      <c r="E738" s="18"/>
    </row>
    <row r="739" ht="22.5" hidden="1" customHeight="1">
      <c r="A739" s="18"/>
      <c r="B739" s="18"/>
      <c r="C739" s="18"/>
      <c r="E739" s="18"/>
    </row>
    <row r="740" ht="22.5" hidden="1" customHeight="1">
      <c r="A740" s="18"/>
      <c r="B740" s="18"/>
      <c r="C740" s="18"/>
      <c r="E740" s="18"/>
    </row>
    <row r="741" ht="22.5" hidden="1" customHeight="1">
      <c r="A741" s="18"/>
      <c r="B741" s="18"/>
      <c r="C741" s="18"/>
      <c r="E741" s="18"/>
    </row>
    <row r="742" ht="22.5" hidden="1" customHeight="1">
      <c r="A742" s="18"/>
      <c r="B742" s="18"/>
      <c r="C742" s="18"/>
      <c r="E742" s="18"/>
    </row>
    <row r="743" ht="22.5" hidden="1" customHeight="1">
      <c r="A743" s="18"/>
      <c r="B743" s="18"/>
      <c r="C743" s="18"/>
      <c r="E743" s="18"/>
    </row>
    <row r="744" ht="22.5" hidden="1" customHeight="1">
      <c r="A744" s="18"/>
      <c r="B744" s="18"/>
      <c r="C744" s="18"/>
      <c r="E744" s="18"/>
    </row>
    <row r="745" ht="22.5" hidden="1" customHeight="1">
      <c r="A745" s="18"/>
      <c r="B745" s="18"/>
      <c r="C745" s="18"/>
      <c r="E745" s="18"/>
    </row>
    <row r="746" ht="22.5" hidden="1" customHeight="1">
      <c r="A746" s="18"/>
      <c r="B746" s="18"/>
      <c r="C746" s="18"/>
      <c r="E746" s="18"/>
    </row>
    <row r="747" ht="22.5" hidden="1" customHeight="1">
      <c r="A747" s="18"/>
      <c r="B747" s="18"/>
      <c r="C747" s="18"/>
      <c r="E747" s="18"/>
    </row>
    <row r="748" ht="22.5" hidden="1" customHeight="1">
      <c r="A748" s="18"/>
      <c r="B748" s="18"/>
      <c r="C748" s="18"/>
      <c r="E748" s="18"/>
    </row>
    <row r="749" ht="22.5" hidden="1" customHeight="1">
      <c r="A749" s="18"/>
      <c r="B749" s="18"/>
      <c r="C749" s="18"/>
      <c r="E749" s="18"/>
    </row>
    <row r="750" ht="22.5" hidden="1" customHeight="1">
      <c r="A750" s="18"/>
      <c r="B750" s="18"/>
      <c r="C750" s="18"/>
      <c r="E750" s="18"/>
    </row>
    <row r="751" ht="22.5" hidden="1" customHeight="1">
      <c r="A751" s="18"/>
      <c r="B751" s="18"/>
      <c r="C751" s="18"/>
      <c r="E751" s="18"/>
    </row>
    <row r="752" ht="22.5" hidden="1" customHeight="1">
      <c r="A752" s="18"/>
      <c r="B752" s="18"/>
      <c r="C752" s="18"/>
      <c r="E752" s="18"/>
    </row>
    <row r="753" ht="22.5" hidden="1" customHeight="1">
      <c r="A753" s="18"/>
      <c r="B753" s="18"/>
      <c r="C753" s="18"/>
      <c r="E753" s="18"/>
    </row>
    <row r="754" ht="22.5" hidden="1" customHeight="1">
      <c r="A754" s="18"/>
      <c r="B754" s="18"/>
      <c r="C754" s="18"/>
      <c r="E754" s="18"/>
    </row>
    <row r="755" ht="22.5" hidden="1" customHeight="1">
      <c r="A755" s="18"/>
      <c r="B755" s="18"/>
      <c r="C755" s="18"/>
      <c r="E755" s="18"/>
    </row>
    <row r="756" ht="22.5" hidden="1" customHeight="1">
      <c r="A756" s="18"/>
      <c r="B756" s="18"/>
      <c r="C756" s="18"/>
      <c r="E756" s="18"/>
    </row>
    <row r="757" ht="22.5" hidden="1" customHeight="1">
      <c r="A757" s="18"/>
      <c r="B757" s="18"/>
      <c r="C757" s="18"/>
      <c r="E757" s="18"/>
    </row>
    <row r="758" ht="22.5" hidden="1" customHeight="1">
      <c r="A758" s="18"/>
      <c r="B758" s="18"/>
      <c r="C758" s="18"/>
      <c r="E758" s="18"/>
    </row>
    <row r="759" ht="22.5" hidden="1" customHeight="1">
      <c r="A759" s="18"/>
      <c r="B759" s="18"/>
      <c r="C759" s="18"/>
      <c r="E759" s="18"/>
    </row>
    <row r="760" ht="22.5" hidden="1" customHeight="1">
      <c r="A760" s="18"/>
      <c r="B760" s="18"/>
      <c r="C760" s="18"/>
      <c r="E760" s="18"/>
    </row>
    <row r="761" ht="22.5" hidden="1" customHeight="1">
      <c r="A761" s="18"/>
      <c r="B761" s="18"/>
      <c r="C761" s="18"/>
      <c r="E761" s="18"/>
    </row>
    <row r="762" ht="22.5" hidden="1" customHeight="1">
      <c r="A762" s="18"/>
      <c r="B762" s="18"/>
      <c r="C762" s="18"/>
      <c r="E762" s="18"/>
    </row>
    <row r="763" ht="22.5" hidden="1" customHeight="1">
      <c r="A763" s="18"/>
      <c r="B763" s="18"/>
      <c r="C763" s="18"/>
      <c r="E763" s="18"/>
    </row>
    <row r="764" ht="22.5" hidden="1" customHeight="1">
      <c r="A764" s="18"/>
      <c r="B764" s="18"/>
      <c r="C764" s="18"/>
      <c r="E764" s="18"/>
    </row>
    <row r="765" ht="22.5" hidden="1" customHeight="1">
      <c r="A765" s="18"/>
      <c r="B765" s="18"/>
      <c r="C765" s="18"/>
      <c r="E765" s="18"/>
    </row>
    <row r="766" ht="22.5" hidden="1" customHeight="1">
      <c r="A766" s="18"/>
      <c r="B766" s="18"/>
      <c r="C766" s="18"/>
      <c r="E766" s="18"/>
    </row>
    <row r="767" ht="22.5" hidden="1" customHeight="1">
      <c r="A767" s="18"/>
      <c r="B767" s="18"/>
      <c r="C767" s="18"/>
      <c r="E767" s="18"/>
    </row>
    <row r="768" ht="22.5" hidden="1" customHeight="1">
      <c r="A768" s="18"/>
      <c r="B768" s="18"/>
      <c r="C768" s="18"/>
      <c r="E768" s="18"/>
    </row>
    <row r="769" ht="22.5" hidden="1" customHeight="1">
      <c r="A769" s="18"/>
      <c r="B769" s="18"/>
      <c r="C769" s="18"/>
      <c r="E769" s="18"/>
    </row>
    <row r="770" ht="22.5" hidden="1" customHeight="1">
      <c r="A770" s="18"/>
      <c r="B770" s="18"/>
      <c r="C770" s="18"/>
      <c r="E770" s="18"/>
    </row>
    <row r="771" ht="22.5" hidden="1" customHeight="1">
      <c r="A771" s="18"/>
      <c r="B771" s="18"/>
      <c r="C771" s="18"/>
      <c r="E771" s="18"/>
    </row>
    <row r="772" ht="22.5" hidden="1" customHeight="1">
      <c r="A772" s="18"/>
      <c r="B772" s="18"/>
      <c r="C772" s="18"/>
      <c r="E772" s="18"/>
    </row>
    <row r="773" ht="22.5" hidden="1" customHeight="1">
      <c r="A773" s="18"/>
      <c r="B773" s="18"/>
      <c r="C773" s="18"/>
      <c r="E773" s="18"/>
    </row>
    <row r="774" ht="22.5" hidden="1" customHeight="1">
      <c r="A774" s="18"/>
      <c r="B774" s="18"/>
      <c r="C774" s="18"/>
      <c r="E774" s="18"/>
    </row>
    <row r="775" ht="22.5" hidden="1" customHeight="1">
      <c r="A775" s="18"/>
      <c r="B775" s="18"/>
      <c r="C775" s="18"/>
      <c r="E775" s="18"/>
    </row>
    <row r="776" ht="22.5" hidden="1" customHeight="1">
      <c r="A776" s="18"/>
      <c r="B776" s="18"/>
      <c r="C776" s="18"/>
      <c r="E776" s="18"/>
    </row>
    <row r="777" ht="22.5" hidden="1" customHeight="1">
      <c r="A777" s="18"/>
      <c r="B777" s="18"/>
      <c r="C777" s="18"/>
      <c r="E777" s="18"/>
    </row>
    <row r="778" ht="22.5" hidden="1" customHeight="1">
      <c r="A778" s="18"/>
      <c r="B778" s="18"/>
      <c r="C778" s="18"/>
      <c r="E778" s="18"/>
    </row>
    <row r="779" ht="22.5" hidden="1" customHeight="1">
      <c r="A779" s="18"/>
      <c r="B779" s="18"/>
      <c r="C779" s="18"/>
      <c r="E779" s="18"/>
    </row>
    <row r="780" ht="22.5" hidden="1" customHeight="1">
      <c r="A780" s="18"/>
      <c r="B780" s="18"/>
      <c r="C780" s="18"/>
      <c r="E780" s="18"/>
    </row>
    <row r="781" ht="22.5" hidden="1" customHeight="1">
      <c r="A781" s="18"/>
      <c r="B781" s="18"/>
      <c r="C781" s="18"/>
      <c r="E781" s="18"/>
    </row>
    <row r="782" ht="22.5" hidden="1" customHeight="1">
      <c r="A782" s="18"/>
      <c r="B782" s="18"/>
      <c r="C782" s="18"/>
      <c r="E782" s="18"/>
    </row>
    <row r="783" ht="22.5" hidden="1" customHeight="1">
      <c r="A783" s="18"/>
      <c r="B783" s="18"/>
      <c r="C783" s="18"/>
      <c r="E783" s="18"/>
    </row>
    <row r="784" ht="22.5" hidden="1" customHeight="1">
      <c r="A784" s="18"/>
      <c r="B784" s="18"/>
      <c r="C784" s="18"/>
      <c r="E784" s="18"/>
    </row>
    <row r="785" ht="22.5" hidden="1" customHeight="1">
      <c r="A785" s="18"/>
      <c r="B785" s="18"/>
      <c r="C785" s="18"/>
      <c r="E785" s="18"/>
    </row>
    <row r="786" ht="22.5" hidden="1" customHeight="1">
      <c r="A786" s="18"/>
      <c r="B786" s="18"/>
      <c r="C786" s="18"/>
      <c r="E786" s="18"/>
    </row>
    <row r="787" ht="22.5" hidden="1" customHeight="1">
      <c r="A787" s="18"/>
      <c r="B787" s="18"/>
      <c r="C787" s="18"/>
      <c r="E787" s="18"/>
    </row>
    <row r="788" ht="22.5" hidden="1" customHeight="1">
      <c r="A788" s="18"/>
      <c r="B788" s="18"/>
      <c r="C788" s="18"/>
      <c r="E788" s="18"/>
    </row>
    <row r="789" ht="22.5" hidden="1" customHeight="1">
      <c r="A789" s="18"/>
      <c r="B789" s="18"/>
      <c r="C789" s="18"/>
      <c r="E789" s="18"/>
    </row>
    <row r="790" ht="22.5" hidden="1" customHeight="1">
      <c r="A790" s="18"/>
      <c r="B790" s="18"/>
      <c r="C790" s="18"/>
      <c r="E790" s="18"/>
    </row>
    <row r="791" ht="22.5" hidden="1" customHeight="1">
      <c r="A791" s="18"/>
      <c r="B791" s="18"/>
      <c r="C791" s="18"/>
      <c r="E791" s="18"/>
    </row>
    <row r="792" ht="22.5" hidden="1" customHeight="1">
      <c r="A792" s="18"/>
      <c r="B792" s="18"/>
      <c r="C792" s="18"/>
      <c r="E792" s="18"/>
    </row>
    <row r="793" ht="22.5" hidden="1" customHeight="1">
      <c r="A793" s="18"/>
      <c r="B793" s="18"/>
      <c r="C793" s="18"/>
      <c r="E793" s="18"/>
    </row>
    <row r="794" ht="22.5" hidden="1" customHeight="1">
      <c r="A794" s="18"/>
      <c r="B794" s="18"/>
      <c r="C794" s="18"/>
      <c r="E794" s="18"/>
    </row>
    <row r="795" ht="22.5" hidden="1" customHeight="1">
      <c r="A795" s="18"/>
      <c r="B795" s="18"/>
      <c r="C795" s="18"/>
      <c r="E795" s="18"/>
    </row>
    <row r="796" ht="22.5" hidden="1" customHeight="1">
      <c r="A796" s="18"/>
      <c r="B796" s="18"/>
      <c r="C796" s="18"/>
      <c r="E796" s="18"/>
    </row>
    <row r="797" ht="22.5" hidden="1" customHeight="1">
      <c r="A797" s="18"/>
      <c r="B797" s="18"/>
      <c r="C797" s="18"/>
      <c r="E797" s="18"/>
    </row>
    <row r="798" ht="22.5" hidden="1" customHeight="1">
      <c r="A798" s="18"/>
      <c r="B798" s="18"/>
      <c r="C798" s="18"/>
      <c r="E798" s="18"/>
    </row>
    <row r="799" ht="22.5" hidden="1" customHeight="1">
      <c r="A799" s="18"/>
      <c r="B799" s="18"/>
      <c r="C799" s="18"/>
      <c r="E799" s="18"/>
    </row>
    <row r="800" ht="22.5" hidden="1" customHeight="1">
      <c r="A800" s="18"/>
      <c r="B800" s="18"/>
      <c r="C800" s="18"/>
      <c r="E800" s="18"/>
    </row>
    <row r="801" ht="22.5" hidden="1" customHeight="1">
      <c r="A801" s="18"/>
      <c r="B801" s="18"/>
      <c r="C801" s="18"/>
      <c r="E801" s="18"/>
    </row>
    <row r="802" ht="22.5" hidden="1" customHeight="1">
      <c r="A802" s="18"/>
      <c r="B802" s="18"/>
      <c r="C802" s="18"/>
      <c r="E802" s="18"/>
    </row>
    <row r="803" ht="22.5" hidden="1" customHeight="1">
      <c r="A803" s="18"/>
      <c r="B803" s="18"/>
      <c r="C803" s="18"/>
      <c r="E803" s="18"/>
    </row>
    <row r="804" ht="22.5" hidden="1" customHeight="1">
      <c r="A804" s="18"/>
      <c r="B804" s="18"/>
      <c r="C804" s="18"/>
      <c r="E804" s="18"/>
    </row>
    <row r="805" ht="22.5" hidden="1" customHeight="1">
      <c r="A805" s="18"/>
      <c r="B805" s="18"/>
      <c r="C805" s="18"/>
      <c r="E805" s="18"/>
    </row>
    <row r="806" ht="22.5" hidden="1" customHeight="1">
      <c r="A806" s="18"/>
      <c r="B806" s="18"/>
      <c r="C806" s="18"/>
      <c r="E806" s="18"/>
    </row>
    <row r="807" ht="22.5" hidden="1" customHeight="1">
      <c r="A807" s="18"/>
      <c r="B807" s="18"/>
      <c r="C807" s="18"/>
      <c r="E807" s="18"/>
    </row>
    <row r="808" ht="22.5" hidden="1" customHeight="1">
      <c r="A808" s="18"/>
      <c r="B808" s="18"/>
      <c r="C808" s="18"/>
      <c r="E808" s="18"/>
    </row>
    <row r="809" ht="22.5" hidden="1" customHeight="1">
      <c r="A809" s="18"/>
      <c r="B809" s="18"/>
      <c r="C809" s="18"/>
      <c r="E809" s="18"/>
    </row>
    <row r="810" ht="22.5" hidden="1" customHeight="1">
      <c r="A810" s="18"/>
      <c r="B810" s="18"/>
      <c r="C810" s="18"/>
      <c r="E810" s="18"/>
    </row>
    <row r="811" ht="22.5" hidden="1" customHeight="1">
      <c r="A811" s="18"/>
      <c r="B811" s="18"/>
      <c r="C811" s="18"/>
      <c r="E811" s="18"/>
    </row>
    <row r="812" ht="22.5" hidden="1" customHeight="1">
      <c r="A812" s="18"/>
      <c r="B812" s="18"/>
      <c r="C812" s="18"/>
      <c r="E812" s="18"/>
    </row>
    <row r="813" ht="22.5" hidden="1" customHeight="1">
      <c r="A813" s="18"/>
      <c r="B813" s="18"/>
      <c r="C813" s="18"/>
      <c r="E813" s="18"/>
    </row>
    <row r="814" ht="22.5" hidden="1" customHeight="1">
      <c r="A814" s="18"/>
      <c r="B814" s="18"/>
      <c r="C814" s="18"/>
      <c r="E814" s="18"/>
    </row>
    <row r="815" ht="22.5" hidden="1" customHeight="1">
      <c r="A815" s="18"/>
      <c r="B815" s="18"/>
      <c r="C815" s="18"/>
      <c r="E815" s="18"/>
    </row>
    <row r="816" ht="22.5" hidden="1" customHeight="1">
      <c r="A816" s="18"/>
      <c r="B816" s="18"/>
      <c r="C816" s="18"/>
      <c r="E816" s="18"/>
    </row>
    <row r="817" ht="22.5" hidden="1" customHeight="1">
      <c r="A817" s="18"/>
      <c r="B817" s="18"/>
      <c r="C817" s="18"/>
      <c r="E817" s="18"/>
    </row>
    <row r="818" ht="22.5" hidden="1" customHeight="1">
      <c r="A818" s="18"/>
      <c r="B818" s="18"/>
      <c r="C818" s="18"/>
      <c r="E818" s="18"/>
    </row>
    <row r="819" ht="22.5" hidden="1" customHeight="1">
      <c r="A819" s="18"/>
      <c r="B819" s="18"/>
      <c r="C819" s="18"/>
      <c r="E819" s="18"/>
    </row>
    <row r="820" ht="22.5" hidden="1" customHeight="1">
      <c r="A820" s="18"/>
      <c r="B820" s="18"/>
      <c r="C820" s="18"/>
      <c r="E820" s="18"/>
    </row>
    <row r="821" ht="22.5" hidden="1" customHeight="1">
      <c r="A821" s="18"/>
      <c r="B821" s="18"/>
      <c r="C821" s="18"/>
      <c r="E821" s="18"/>
    </row>
    <row r="822" ht="22.5" hidden="1" customHeight="1">
      <c r="A822" s="18"/>
      <c r="B822" s="18"/>
      <c r="C822" s="18"/>
      <c r="E822" s="18"/>
    </row>
    <row r="823" ht="22.5" hidden="1" customHeight="1">
      <c r="A823" s="18"/>
      <c r="B823" s="18"/>
      <c r="C823" s="18"/>
      <c r="E823" s="18"/>
    </row>
    <row r="824" ht="22.5" hidden="1" customHeight="1">
      <c r="A824" s="18"/>
      <c r="B824" s="18"/>
      <c r="C824" s="18"/>
      <c r="E824" s="18"/>
    </row>
    <row r="825" ht="22.5" hidden="1" customHeight="1">
      <c r="A825" s="18"/>
      <c r="B825" s="18"/>
      <c r="C825" s="18"/>
      <c r="E825" s="18"/>
    </row>
    <row r="826" ht="22.5" hidden="1" customHeight="1">
      <c r="A826" s="18"/>
      <c r="B826" s="18"/>
      <c r="C826" s="18"/>
      <c r="E826" s="18"/>
    </row>
    <row r="827" ht="22.5" hidden="1" customHeight="1">
      <c r="A827" s="18"/>
      <c r="B827" s="18"/>
      <c r="C827" s="18"/>
      <c r="E827" s="18"/>
    </row>
    <row r="828" ht="22.5" hidden="1" customHeight="1">
      <c r="A828" s="18"/>
      <c r="B828" s="18"/>
      <c r="C828" s="18"/>
      <c r="E828" s="18"/>
    </row>
    <row r="829" ht="22.5" hidden="1" customHeight="1">
      <c r="A829" s="18"/>
      <c r="B829" s="18"/>
      <c r="C829" s="18"/>
      <c r="E829" s="18"/>
    </row>
    <row r="830" ht="22.5" hidden="1" customHeight="1">
      <c r="A830" s="18"/>
      <c r="B830" s="18"/>
      <c r="C830" s="18"/>
      <c r="E830" s="18"/>
    </row>
    <row r="831" ht="22.5" hidden="1" customHeight="1">
      <c r="A831" s="18"/>
      <c r="B831" s="18"/>
      <c r="C831" s="18"/>
      <c r="E831" s="18"/>
    </row>
    <row r="832" ht="22.5" hidden="1" customHeight="1">
      <c r="A832" s="18"/>
      <c r="B832" s="18"/>
      <c r="C832" s="18"/>
      <c r="E832" s="18"/>
    </row>
    <row r="833" ht="22.5" hidden="1" customHeight="1">
      <c r="A833" s="18"/>
      <c r="B833" s="18"/>
      <c r="C833" s="18"/>
      <c r="E833" s="18"/>
    </row>
    <row r="834" ht="22.5" hidden="1" customHeight="1">
      <c r="A834" s="18"/>
      <c r="B834" s="18"/>
      <c r="C834" s="18"/>
      <c r="E834" s="18"/>
    </row>
    <row r="835" ht="22.5" hidden="1" customHeight="1">
      <c r="A835" s="18"/>
      <c r="B835" s="18"/>
      <c r="C835" s="18"/>
      <c r="E835" s="18"/>
    </row>
    <row r="836" ht="22.5" hidden="1" customHeight="1">
      <c r="A836" s="18"/>
      <c r="B836" s="18"/>
      <c r="C836" s="18"/>
      <c r="E836" s="18"/>
    </row>
    <row r="837" ht="22.5" hidden="1" customHeight="1">
      <c r="A837" s="18"/>
      <c r="B837" s="18"/>
      <c r="C837" s="18"/>
      <c r="E837" s="18"/>
    </row>
    <row r="838" ht="22.5" hidden="1" customHeight="1">
      <c r="A838" s="18"/>
      <c r="B838" s="18"/>
      <c r="C838" s="18"/>
      <c r="E838" s="18"/>
    </row>
    <row r="839" ht="22.5" hidden="1" customHeight="1">
      <c r="A839" s="18"/>
      <c r="B839" s="18"/>
      <c r="C839" s="18"/>
      <c r="E839" s="18"/>
    </row>
    <row r="840" ht="22.5" hidden="1" customHeight="1">
      <c r="A840" s="18"/>
      <c r="B840" s="18"/>
      <c r="C840" s="18"/>
      <c r="E840" s="18"/>
    </row>
    <row r="841" ht="22.5" hidden="1" customHeight="1">
      <c r="A841" s="18"/>
      <c r="B841" s="18"/>
      <c r="C841" s="18"/>
      <c r="E841" s="18"/>
    </row>
    <row r="842" ht="22.5" hidden="1" customHeight="1">
      <c r="A842" s="18"/>
      <c r="B842" s="18"/>
      <c r="C842" s="18"/>
      <c r="E842" s="18"/>
    </row>
    <row r="843" ht="22.5" hidden="1" customHeight="1">
      <c r="A843" s="18"/>
      <c r="B843" s="18"/>
      <c r="C843" s="18"/>
      <c r="E843" s="18"/>
    </row>
    <row r="844" ht="22.5" hidden="1" customHeight="1">
      <c r="A844" s="18"/>
      <c r="B844" s="18"/>
      <c r="C844" s="18"/>
      <c r="E844" s="18"/>
    </row>
    <row r="845" ht="22.5" hidden="1" customHeight="1">
      <c r="A845" s="18"/>
      <c r="B845" s="18"/>
      <c r="C845" s="18"/>
      <c r="E845" s="18"/>
    </row>
    <row r="846" ht="22.5" hidden="1" customHeight="1">
      <c r="A846" s="18"/>
      <c r="B846" s="18"/>
      <c r="C846" s="18"/>
      <c r="E846" s="18"/>
    </row>
    <row r="847" ht="22.5" hidden="1" customHeight="1">
      <c r="A847" s="18"/>
      <c r="B847" s="18"/>
      <c r="C847" s="18"/>
      <c r="E847" s="18"/>
    </row>
    <row r="848" ht="22.5" hidden="1" customHeight="1">
      <c r="A848" s="18"/>
      <c r="B848" s="18"/>
      <c r="C848" s="18"/>
      <c r="E848" s="18"/>
    </row>
    <row r="849" ht="22.5" hidden="1" customHeight="1">
      <c r="A849" s="18"/>
      <c r="B849" s="18"/>
      <c r="C849" s="18"/>
      <c r="E849" s="18"/>
    </row>
    <row r="850" ht="22.5" hidden="1" customHeight="1">
      <c r="A850" s="18"/>
      <c r="B850" s="18"/>
      <c r="C850" s="18"/>
      <c r="E850" s="18"/>
    </row>
    <row r="851" ht="22.5" hidden="1" customHeight="1">
      <c r="A851" s="18"/>
      <c r="B851" s="18"/>
      <c r="C851" s="18"/>
      <c r="E851" s="18"/>
    </row>
    <row r="852" ht="22.5" hidden="1" customHeight="1">
      <c r="A852" s="18"/>
      <c r="B852" s="18"/>
      <c r="C852" s="18"/>
      <c r="E852" s="18"/>
    </row>
    <row r="853" ht="22.5" hidden="1" customHeight="1">
      <c r="A853" s="18"/>
      <c r="B853" s="18"/>
      <c r="C853" s="18"/>
      <c r="E853" s="18"/>
    </row>
    <row r="854" ht="22.5" hidden="1" customHeight="1">
      <c r="A854" s="18"/>
      <c r="B854" s="18"/>
      <c r="C854" s="18"/>
      <c r="E854" s="18"/>
    </row>
    <row r="855" ht="22.5" hidden="1" customHeight="1">
      <c r="A855" s="18"/>
      <c r="B855" s="18"/>
      <c r="C855" s="18"/>
      <c r="E855" s="18"/>
    </row>
    <row r="856" ht="22.5" hidden="1" customHeight="1">
      <c r="A856" s="18"/>
      <c r="B856" s="18"/>
      <c r="C856" s="18"/>
      <c r="E856" s="18"/>
    </row>
    <row r="857" ht="22.5" hidden="1" customHeight="1">
      <c r="A857" s="18"/>
      <c r="B857" s="18"/>
      <c r="C857" s="18"/>
      <c r="E857" s="18"/>
    </row>
    <row r="858" ht="22.5" hidden="1" customHeight="1">
      <c r="A858" s="18"/>
      <c r="B858" s="18"/>
      <c r="C858" s="18"/>
      <c r="E858" s="18"/>
    </row>
    <row r="859" ht="22.5" hidden="1" customHeight="1">
      <c r="A859" s="18"/>
      <c r="B859" s="18"/>
      <c r="C859" s="18"/>
      <c r="E859" s="18"/>
    </row>
    <row r="860" ht="22.5" hidden="1" customHeight="1">
      <c r="A860" s="18"/>
      <c r="B860" s="18"/>
      <c r="C860" s="18"/>
      <c r="E860" s="18"/>
    </row>
    <row r="861" ht="22.5" hidden="1" customHeight="1">
      <c r="A861" s="18"/>
      <c r="B861" s="18"/>
      <c r="C861" s="18"/>
      <c r="E861" s="18"/>
    </row>
    <row r="862" ht="22.5" hidden="1" customHeight="1">
      <c r="A862" s="18"/>
      <c r="B862" s="18"/>
      <c r="C862" s="18"/>
      <c r="E862" s="18"/>
    </row>
    <row r="863" ht="22.5" hidden="1" customHeight="1">
      <c r="A863" s="18"/>
      <c r="B863" s="18"/>
      <c r="C863" s="18"/>
      <c r="E863" s="18"/>
    </row>
    <row r="864" ht="22.5" hidden="1" customHeight="1">
      <c r="A864" s="18"/>
      <c r="B864" s="18"/>
      <c r="C864" s="18"/>
      <c r="E864" s="18"/>
    </row>
    <row r="865" ht="22.5" hidden="1" customHeight="1">
      <c r="A865" s="18"/>
      <c r="B865" s="18"/>
      <c r="C865" s="18"/>
      <c r="E865" s="18"/>
    </row>
    <row r="866" ht="22.5" hidden="1" customHeight="1">
      <c r="A866" s="18"/>
      <c r="B866" s="18"/>
      <c r="C866" s="18"/>
      <c r="E866" s="18"/>
    </row>
    <row r="867" ht="22.5" hidden="1" customHeight="1">
      <c r="A867" s="18"/>
      <c r="B867" s="18"/>
      <c r="C867" s="18"/>
      <c r="E867" s="18"/>
    </row>
    <row r="868" ht="22.5" hidden="1" customHeight="1">
      <c r="A868" s="18"/>
      <c r="B868" s="18"/>
      <c r="C868" s="18"/>
      <c r="E868" s="18"/>
    </row>
    <row r="869" ht="22.5" hidden="1" customHeight="1">
      <c r="A869" s="18"/>
      <c r="B869" s="18"/>
      <c r="C869" s="18"/>
      <c r="E869" s="18"/>
    </row>
    <row r="870" ht="22.5" hidden="1" customHeight="1">
      <c r="A870" s="18"/>
      <c r="B870" s="18"/>
      <c r="C870" s="18"/>
      <c r="E870" s="18"/>
    </row>
    <row r="871" ht="22.5" hidden="1" customHeight="1">
      <c r="A871" s="18"/>
      <c r="B871" s="18"/>
      <c r="C871" s="18"/>
      <c r="E871" s="18"/>
    </row>
    <row r="872" ht="22.5" hidden="1" customHeight="1">
      <c r="A872" s="18"/>
      <c r="B872" s="18"/>
      <c r="C872" s="18"/>
      <c r="E872" s="18"/>
    </row>
    <row r="873" ht="22.5" hidden="1" customHeight="1">
      <c r="A873" s="18"/>
      <c r="B873" s="18"/>
      <c r="C873" s="18"/>
      <c r="E873" s="18"/>
    </row>
    <row r="874" ht="22.5" hidden="1" customHeight="1">
      <c r="A874" s="18"/>
      <c r="B874" s="18"/>
      <c r="C874" s="18"/>
      <c r="E874" s="18"/>
    </row>
    <row r="875" ht="22.5" hidden="1" customHeight="1">
      <c r="A875" s="18"/>
      <c r="B875" s="18"/>
      <c r="C875" s="18"/>
      <c r="E875" s="18"/>
    </row>
    <row r="876" ht="22.5" hidden="1" customHeight="1">
      <c r="A876" s="18"/>
      <c r="B876" s="18"/>
      <c r="C876" s="18"/>
      <c r="E876" s="18"/>
    </row>
    <row r="877" ht="22.5" hidden="1" customHeight="1">
      <c r="A877" s="18"/>
      <c r="B877" s="18"/>
      <c r="C877" s="18"/>
      <c r="E877" s="18"/>
    </row>
    <row r="878" ht="22.5" hidden="1" customHeight="1">
      <c r="A878" s="18"/>
      <c r="B878" s="18"/>
      <c r="C878" s="18"/>
      <c r="E878" s="18"/>
    </row>
    <row r="879" ht="22.5" hidden="1" customHeight="1">
      <c r="A879" s="18"/>
      <c r="B879" s="18"/>
      <c r="C879" s="18"/>
      <c r="E879" s="18"/>
    </row>
    <row r="880" ht="22.5" hidden="1" customHeight="1">
      <c r="A880" s="18"/>
      <c r="B880" s="18"/>
      <c r="C880" s="18"/>
      <c r="E880" s="18"/>
    </row>
    <row r="881" ht="22.5" hidden="1" customHeight="1">
      <c r="A881" s="18"/>
      <c r="B881" s="18"/>
      <c r="C881" s="18"/>
      <c r="E881" s="18"/>
    </row>
    <row r="882" ht="22.5" hidden="1" customHeight="1">
      <c r="A882" s="18"/>
      <c r="B882" s="18"/>
      <c r="C882" s="18"/>
      <c r="E882" s="18"/>
    </row>
    <row r="883" ht="22.5" hidden="1" customHeight="1">
      <c r="A883" s="18"/>
      <c r="B883" s="18"/>
      <c r="C883" s="18"/>
      <c r="E883" s="18"/>
    </row>
    <row r="884" ht="22.5" hidden="1" customHeight="1">
      <c r="A884" s="18"/>
      <c r="B884" s="18"/>
      <c r="C884" s="18"/>
      <c r="E884" s="18"/>
    </row>
    <row r="885" ht="22.5" hidden="1" customHeight="1">
      <c r="A885" s="18"/>
      <c r="B885" s="18"/>
      <c r="C885" s="18"/>
      <c r="E885" s="18"/>
    </row>
    <row r="886" ht="22.5" hidden="1" customHeight="1">
      <c r="A886" s="18"/>
      <c r="B886" s="18"/>
      <c r="C886" s="18"/>
      <c r="E886" s="18"/>
    </row>
    <row r="887" ht="22.5" hidden="1" customHeight="1">
      <c r="A887" s="18"/>
      <c r="B887" s="18"/>
      <c r="C887" s="18"/>
      <c r="E887" s="18"/>
    </row>
    <row r="888" ht="22.5" hidden="1" customHeight="1">
      <c r="A888" s="18"/>
      <c r="B888" s="18"/>
      <c r="C888" s="18"/>
      <c r="E888" s="18"/>
    </row>
    <row r="889" ht="22.5" hidden="1" customHeight="1">
      <c r="A889" s="18"/>
      <c r="B889" s="18"/>
      <c r="C889" s="18"/>
      <c r="E889" s="18"/>
    </row>
    <row r="890" ht="22.5" hidden="1" customHeight="1">
      <c r="A890" s="18"/>
      <c r="B890" s="18"/>
      <c r="C890" s="18"/>
      <c r="E890" s="18"/>
    </row>
    <row r="891" ht="22.5" hidden="1" customHeight="1">
      <c r="A891" s="18"/>
      <c r="B891" s="18"/>
      <c r="C891" s="18"/>
      <c r="E891" s="18"/>
    </row>
    <row r="892" ht="22.5" hidden="1" customHeight="1">
      <c r="A892" s="18"/>
      <c r="B892" s="18"/>
      <c r="C892" s="18"/>
      <c r="E892" s="18"/>
    </row>
    <row r="893" ht="22.5" hidden="1" customHeight="1">
      <c r="A893" s="18"/>
      <c r="B893" s="18"/>
      <c r="C893" s="18"/>
      <c r="E893" s="18"/>
    </row>
    <row r="894" ht="22.5" hidden="1" customHeight="1">
      <c r="A894" s="18"/>
      <c r="B894" s="18"/>
      <c r="C894" s="18"/>
      <c r="E894" s="18"/>
    </row>
    <row r="895" ht="22.5" hidden="1" customHeight="1">
      <c r="A895" s="18"/>
      <c r="B895" s="18"/>
      <c r="C895" s="18"/>
      <c r="E895" s="18"/>
    </row>
    <row r="896" ht="22.5" hidden="1" customHeight="1">
      <c r="A896" s="18"/>
      <c r="B896" s="18"/>
      <c r="C896" s="18"/>
      <c r="E896" s="18"/>
    </row>
    <row r="897" ht="22.5" hidden="1" customHeight="1">
      <c r="A897" s="18"/>
      <c r="B897" s="18"/>
      <c r="C897" s="18"/>
      <c r="E897" s="18"/>
    </row>
    <row r="898" ht="22.5" hidden="1" customHeight="1">
      <c r="A898" s="18"/>
      <c r="B898" s="18"/>
      <c r="C898" s="18"/>
      <c r="E898" s="18"/>
    </row>
    <row r="899" ht="22.5" hidden="1" customHeight="1">
      <c r="A899" s="18"/>
      <c r="B899" s="18"/>
      <c r="C899" s="18"/>
      <c r="E899" s="18"/>
    </row>
    <row r="900" ht="22.5" hidden="1" customHeight="1">
      <c r="A900" s="18"/>
      <c r="B900" s="18"/>
      <c r="C900" s="18"/>
      <c r="E900" s="18"/>
    </row>
    <row r="901" ht="22.5" hidden="1" customHeight="1">
      <c r="A901" s="18"/>
      <c r="B901" s="18"/>
      <c r="C901" s="18"/>
      <c r="E901" s="18"/>
    </row>
    <row r="902" ht="22.5" hidden="1" customHeight="1">
      <c r="A902" s="18"/>
      <c r="B902" s="18"/>
      <c r="C902" s="18"/>
      <c r="E902" s="18"/>
    </row>
    <row r="903" ht="22.5" hidden="1" customHeight="1">
      <c r="A903" s="18"/>
      <c r="B903" s="18"/>
      <c r="C903" s="18"/>
      <c r="E903" s="18"/>
    </row>
    <row r="904" ht="22.5" hidden="1" customHeight="1">
      <c r="A904" s="18"/>
      <c r="B904" s="18"/>
      <c r="C904" s="18"/>
      <c r="E904" s="18"/>
    </row>
    <row r="905" ht="22.5" hidden="1" customHeight="1">
      <c r="A905" s="18"/>
      <c r="B905" s="18"/>
      <c r="C905" s="18"/>
      <c r="E905" s="18"/>
    </row>
    <row r="906" ht="22.5" hidden="1" customHeight="1">
      <c r="A906" s="18"/>
      <c r="B906" s="18"/>
      <c r="C906" s="18"/>
      <c r="E906" s="18"/>
    </row>
    <row r="907" ht="22.5" hidden="1" customHeight="1">
      <c r="A907" s="18"/>
      <c r="B907" s="18"/>
      <c r="C907" s="18"/>
      <c r="E907" s="18"/>
    </row>
    <row r="908" ht="22.5" hidden="1" customHeight="1">
      <c r="A908" s="18"/>
      <c r="B908" s="18"/>
      <c r="C908" s="18"/>
      <c r="E908" s="18"/>
    </row>
    <row r="909" ht="22.5" hidden="1" customHeight="1">
      <c r="A909" s="18"/>
      <c r="B909" s="18"/>
      <c r="C909" s="18"/>
      <c r="E909" s="18"/>
    </row>
    <row r="910" ht="22.5" hidden="1" customHeight="1">
      <c r="A910" s="18"/>
      <c r="B910" s="18"/>
      <c r="C910" s="18"/>
      <c r="E910" s="18"/>
    </row>
    <row r="911" ht="22.5" hidden="1" customHeight="1">
      <c r="A911" s="18"/>
      <c r="B911" s="18"/>
      <c r="C911" s="18"/>
      <c r="E911" s="18"/>
    </row>
    <row r="912" ht="22.5" hidden="1" customHeight="1">
      <c r="A912" s="18"/>
      <c r="B912" s="18"/>
      <c r="C912" s="18"/>
      <c r="E912" s="18"/>
    </row>
    <row r="913" ht="22.5" hidden="1" customHeight="1">
      <c r="A913" s="18"/>
      <c r="B913" s="18"/>
      <c r="C913" s="18"/>
      <c r="E913" s="18"/>
    </row>
    <row r="914" ht="22.5" hidden="1" customHeight="1">
      <c r="A914" s="18"/>
      <c r="B914" s="18"/>
      <c r="C914" s="18"/>
      <c r="E914" s="18"/>
    </row>
    <row r="915" ht="22.5" hidden="1" customHeight="1">
      <c r="A915" s="18"/>
      <c r="B915" s="18"/>
      <c r="C915" s="18"/>
      <c r="E915" s="18"/>
    </row>
    <row r="916" ht="22.5" hidden="1" customHeight="1">
      <c r="A916" s="18"/>
      <c r="B916" s="18"/>
      <c r="C916" s="18"/>
      <c r="E916" s="18"/>
    </row>
    <row r="917" ht="22.5" hidden="1" customHeight="1">
      <c r="A917" s="18"/>
      <c r="B917" s="18"/>
      <c r="C917" s="18"/>
      <c r="E917" s="18"/>
    </row>
    <row r="918" ht="22.5" hidden="1" customHeight="1">
      <c r="A918" s="18"/>
      <c r="B918" s="18"/>
      <c r="C918" s="18"/>
      <c r="E918" s="18"/>
    </row>
    <row r="919" ht="22.5" hidden="1" customHeight="1">
      <c r="A919" s="18"/>
      <c r="B919" s="18"/>
      <c r="C919" s="18"/>
      <c r="E919" s="18"/>
    </row>
    <row r="920" ht="22.5" hidden="1" customHeight="1">
      <c r="A920" s="18"/>
      <c r="B920" s="18"/>
      <c r="C920" s="18"/>
      <c r="E920" s="18"/>
    </row>
    <row r="921" ht="22.5" hidden="1" customHeight="1">
      <c r="A921" s="18"/>
      <c r="B921" s="18"/>
      <c r="C921" s="18"/>
      <c r="E921" s="18"/>
    </row>
    <row r="922" ht="22.5" hidden="1" customHeight="1">
      <c r="A922" s="18"/>
      <c r="B922" s="18"/>
      <c r="C922" s="18"/>
      <c r="E922" s="18"/>
    </row>
    <row r="923" ht="22.5" hidden="1" customHeight="1">
      <c r="A923" s="18"/>
      <c r="B923" s="18"/>
      <c r="C923" s="18"/>
      <c r="E923" s="18"/>
    </row>
    <row r="924" ht="22.5" hidden="1" customHeight="1">
      <c r="A924" s="18"/>
      <c r="B924" s="18"/>
      <c r="C924" s="18"/>
      <c r="E924" s="18"/>
    </row>
    <row r="925" ht="22.5" hidden="1" customHeight="1">
      <c r="A925" s="18"/>
      <c r="B925" s="18"/>
      <c r="C925" s="18"/>
      <c r="E925" s="18"/>
    </row>
    <row r="926" ht="22.5" hidden="1" customHeight="1">
      <c r="A926" s="18"/>
      <c r="B926" s="18"/>
      <c r="C926" s="18"/>
      <c r="E926" s="18"/>
    </row>
    <row r="927" ht="22.5" hidden="1" customHeight="1">
      <c r="A927" s="18"/>
      <c r="B927" s="18"/>
      <c r="C927" s="18"/>
      <c r="E927" s="18"/>
    </row>
    <row r="928" ht="22.5" hidden="1" customHeight="1">
      <c r="A928" s="18"/>
      <c r="B928" s="18"/>
      <c r="C928" s="18"/>
      <c r="E928" s="18"/>
    </row>
    <row r="929" ht="22.5" hidden="1" customHeight="1">
      <c r="A929" s="18"/>
      <c r="B929" s="18"/>
      <c r="C929" s="18"/>
      <c r="E929" s="18"/>
    </row>
    <row r="930" ht="22.5" hidden="1" customHeight="1">
      <c r="A930" s="18"/>
      <c r="B930" s="18"/>
      <c r="C930" s="18"/>
      <c r="E930" s="18"/>
    </row>
    <row r="931" ht="22.5" hidden="1" customHeight="1">
      <c r="A931" s="18"/>
      <c r="B931" s="18"/>
      <c r="C931" s="18"/>
      <c r="E931" s="18"/>
    </row>
    <row r="932" ht="22.5" hidden="1" customHeight="1">
      <c r="A932" s="18"/>
      <c r="B932" s="18"/>
      <c r="C932" s="18"/>
      <c r="E932" s="18"/>
    </row>
    <row r="933" ht="22.5" hidden="1" customHeight="1">
      <c r="A933" s="18"/>
      <c r="B933" s="18"/>
      <c r="C933" s="18"/>
      <c r="E933" s="18"/>
    </row>
    <row r="934" ht="22.5" hidden="1" customHeight="1">
      <c r="A934" s="18"/>
      <c r="B934" s="18"/>
      <c r="C934" s="18"/>
      <c r="E934" s="18"/>
    </row>
    <row r="935" ht="22.5" hidden="1" customHeight="1">
      <c r="A935" s="18"/>
      <c r="B935" s="18"/>
      <c r="C935" s="18"/>
      <c r="E935" s="18"/>
    </row>
    <row r="936" ht="22.5" hidden="1" customHeight="1">
      <c r="A936" s="18"/>
      <c r="B936" s="18"/>
      <c r="C936" s="18"/>
      <c r="E936" s="18"/>
    </row>
    <row r="937" ht="22.5" hidden="1" customHeight="1">
      <c r="A937" s="18"/>
      <c r="B937" s="18"/>
      <c r="C937" s="18"/>
      <c r="E937" s="18"/>
    </row>
    <row r="938" ht="22.5" hidden="1" customHeight="1">
      <c r="A938" s="18"/>
      <c r="B938" s="18"/>
      <c r="C938" s="18"/>
      <c r="E938" s="18"/>
    </row>
    <row r="939" ht="22.5" hidden="1" customHeight="1">
      <c r="A939" s="18"/>
      <c r="B939" s="18"/>
      <c r="C939" s="18"/>
      <c r="E939" s="18"/>
    </row>
    <row r="940" ht="22.5" hidden="1" customHeight="1">
      <c r="A940" s="18"/>
      <c r="B940" s="18"/>
      <c r="C940" s="18"/>
      <c r="E940" s="18"/>
    </row>
    <row r="941" ht="22.5" hidden="1" customHeight="1">
      <c r="A941" s="18"/>
      <c r="B941" s="18"/>
      <c r="C941" s="18"/>
      <c r="E941" s="18"/>
    </row>
    <row r="942" ht="22.5" hidden="1" customHeight="1">
      <c r="A942" s="18"/>
      <c r="B942" s="18"/>
      <c r="C942" s="18"/>
      <c r="E942" s="18"/>
    </row>
    <row r="943" ht="22.5" hidden="1" customHeight="1">
      <c r="A943" s="18"/>
      <c r="B943" s="18"/>
      <c r="C943" s="18"/>
      <c r="E943" s="18"/>
    </row>
    <row r="944" ht="22.5" hidden="1" customHeight="1">
      <c r="A944" s="18"/>
      <c r="B944" s="18"/>
      <c r="C944" s="18"/>
      <c r="E944" s="18"/>
    </row>
    <row r="945" ht="22.5" hidden="1" customHeight="1">
      <c r="A945" s="18"/>
      <c r="B945" s="18"/>
      <c r="C945" s="18"/>
      <c r="E945" s="18"/>
    </row>
    <row r="946" ht="22.5" hidden="1" customHeight="1">
      <c r="A946" s="18"/>
      <c r="B946" s="18"/>
      <c r="C946" s="18"/>
      <c r="E946" s="18"/>
    </row>
    <row r="947" ht="22.5" hidden="1" customHeight="1">
      <c r="A947" s="18"/>
      <c r="B947" s="18"/>
      <c r="C947" s="18"/>
      <c r="E947" s="18"/>
    </row>
    <row r="948" ht="22.5" hidden="1" customHeight="1">
      <c r="A948" s="18"/>
      <c r="B948" s="18"/>
      <c r="C948" s="18"/>
      <c r="E948" s="18"/>
    </row>
    <row r="949" ht="22.5" hidden="1" customHeight="1">
      <c r="A949" s="18"/>
      <c r="B949" s="18"/>
      <c r="C949" s="18"/>
      <c r="E949" s="18"/>
    </row>
    <row r="950" ht="22.5" hidden="1" customHeight="1">
      <c r="A950" s="18"/>
      <c r="B950" s="18"/>
      <c r="C950" s="18"/>
      <c r="E950" s="18"/>
    </row>
    <row r="951" ht="22.5" hidden="1" customHeight="1">
      <c r="A951" s="18"/>
      <c r="B951" s="18"/>
      <c r="C951" s="18"/>
      <c r="E951" s="18"/>
    </row>
    <row r="952" ht="22.5" hidden="1" customHeight="1">
      <c r="A952" s="18"/>
      <c r="B952" s="18"/>
      <c r="C952" s="18"/>
      <c r="E952" s="18"/>
    </row>
    <row r="953" ht="22.5" hidden="1" customHeight="1">
      <c r="A953" s="18"/>
      <c r="B953" s="18"/>
      <c r="C953" s="18"/>
      <c r="E953" s="18"/>
    </row>
    <row r="954" ht="22.5" hidden="1" customHeight="1">
      <c r="A954" s="18"/>
      <c r="B954" s="18"/>
      <c r="C954" s="18"/>
      <c r="E954" s="18"/>
    </row>
    <row r="955" ht="22.5" hidden="1" customHeight="1">
      <c r="A955" s="18"/>
      <c r="B955" s="18"/>
      <c r="C955" s="18"/>
      <c r="E955" s="18"/>
    </row>
    <row r="956" ht="22.5" hidden="1" customHeight="1">
      <c r="A956" s="18"/>
      <c r="B956" s="18"/>
      <c r="C956" s="18"/>
      <c r="E956" s="18"/>
    </row>
    <row r="957" ht="22.5" hidden="1" customHeight="1">
      <c r="A957" s="18"/>
      <c r="B957" s="18"/>
      <c r="C957" s="18"/>
      <c r="E957" s="18"/>
    </row>
    <row r="958" ht="22.5" hidden="1" customHeight="1">
      <c r="A958" s="18"/>
      <c r="B958" s="18"/>
      <c r="C958" s="18"/>
      <c r="E958" s="18"/>
    </row>
    <row r="959" ht="22.5" hidden="1" customHeight="1">
      <c r="A959" s="18"/>
      <c r="B959" s="18"/>
      <c r="C959" s="18"/>
      <c r="E959" s="18"/>
    </row>
    <row r="960" ht="22.5" hidden="1" customHeight="1">
      <c r="A960" s="18"/>
      <c r="B960" s="18"/>
      <c r="C960" s="18"/>
      <c r="E960" s="18"/>
    </row>
    <row r="961" ht="22.5" hidden="1" customHeight="1">
      <c r="A961" s="18"/>
      <c r="B961" s="18"/>
      <c r="C961" s="18"/>
      <c r="E961" s="18"/>
    </row>
    <row r="962" ht="22.5" hidden="1" customHeight="1">
      <c r="A962" s="18"/>
      <c r="B962" s="18"/>
      <c r="C962" s="18"/>
      <c r="E962" s="18"/>
    </row>
    <row r="963" ht="22.5" hidden="1" customHeight="1">
      <c r="A963" s="18"/>
      <c r="B963" s="18"/>
      <c r="C963" s="18"/>
      <c r="E963" s="18"/>
    </row>
    <row r="964" ht="22.5" hidden="1" customHeight="1">
      <c r="A964" s="18"/>
      <c r="B964" s="18"/>
      <c r="C964" s="18"/>
      <c r="E964" s="18"/>
    </row>
    <row r="965" ht="22.5" hidden="1" customHeight="1">
      <c r="A965" s="18"/>
      <c r="B965" s="18"/>
      <c r="C965" s="18"/>
      <c r="E965" s="18"/>
    </row>
    <row r="966" ht="22.5" hidden="1" customHeight="1">
      <c r="A966" s="18"/>
      <c r="B966" s="18"/>
      <c r="C966" s="18"/>
      <c r="E966" s="18"/>
    </row>
    <row r="967" ht="22.5" hidden="1" customHeight="1">
      <c r="A967" s="18"/>
      <c r="B967" s="18"/>
      <c r="C967" s="18"/>
      <c r="E967" s="18"/>
    </row>
    <row r="968" ht="22.5" hidden="1" customHeight="1">
      <c r="A968" s="18"/>
      <c r="B968" s="18"/>
      <c r="C968" s="18"/>
      <c r="E968" s="18"/>
    </row>
    <row r="969" ht="22.5" hidden="1" customHeight="1">
      <c r="A969" s="18"/>
      <c r="B969" s="18"/>
      <c r="C969" s="18"/>
      <c r="E969" s="18"/>
    </row>
    <row r="970" ht="22.5" hidden="1" customHeight="1">
      <c r="A970" s="18"/>
      <c r="B970" s="18"/>
      <c r="C970" s="18"/>
      <c r="E970" s="18"/>
    </row>
    <row r="971" ht="22.5" hidden="1" customHeight="1">
      <c r="A971" s="18"/>
      <c r="B971" s="18"/>
      <c r="C971" s="18"/>
      <c r="E971" s="18"/>
    </row>
    <row r="972" ht="22.5" hidden="1" customHeight="1">
      <c r="A972" s="18"/>
      <c r="B972" s="18"/>
      <c r="C972" s="18"/>
      <c r="E972" s="18"/>
    </row>
    <row r="973" ht="22.5" hidden="1" customHeight="1">
      <c r="A973" s="18"/>
      <c r="B973" s="18"/>
      <c r="C973" s="18"/>
      <c r="E973" s="18"/>
    </row>
    <row r="974" ht="22.5" hidden="1" customHeight="1">
      <c r="A974" s="18"/>
      <c r="B974" s="18"/>
      <c r="C974" s="18"/>
      <c r="E974" s="18"/>
    </row>
    <row r="975" ht="22.5" hidden="1" customHeight="1">
      <c r="A975" s="18"/>
      <c r="B975" s="18"/>
      <c r="C975" s="18"/>
      <c r="E975" s="18"/>
    </row>
    <row r="976" ht="22.5" hidden="1" customHeight="1">
      <c r="A976" s="18"/>
      <c r="B976" s="18"/>
      <c r="C976" s="18"/>
      <c r="E976" s="18"/>
    </row>
    <row r="977" ht="22.5" hidden="1" customHeight="1">
      <c r="A977" s="18"/>
      <c r="B977" s="18"/>
      <c r="C977" s="18"/>
      <c r="E977" s="18"/>
    </row>
    <row r="978" ht="22.5" hidden="1" customHeight="1">
      <c r="A978" s="18"/>
      <c r="B978" s="18"/>
      <c r="C978" s="18"/>
      <c r="E978" s="18"/>
    </row>
    <row r="979" ht="22.5" hidden="1" customHeight="1">
      <c r="A979" s="18"/>
      <c r="B979" s="18"/>
      <c r="C979" s="18"/>
      <c r="E979" s="18"/>
    </row>
    <row r="980" ht="22.5" hidden="1" customHeight="1">
      <c r="A980" s="18"/>
      <c r="B980" s="18"/>
      <c r="C980" s="18"/>
      <c r="E980" s="18"/>
    </row>
    <row r="981" ht="22.5" hidden="1" customHeight="1">
      <c r="A981" s="18"/>
      <c r="B981" s="18"/>
      <c r="C981" s="18"/>
      <c r="E981" s="18"/>
    </row>
    <row r="982" ht="22.5" hidden="1" customHeight="1">
      <c r="A982" s="18"/>
      <c r="B982" s="18"/>
      <c r="C982" s="18"/>
      <c r="E982" s="18"/>
    </row>
    <row r="983" ht="22.5" hidden="1" customHeight="1">
      <c r="A983" s="18"/>
      <c r="B983" s="18"/>
      <c r="C983" s="18"/>
      <c r="E983" s="18"/>
    </row>
    <row r="984" ht="22.5" hidden="1" customHeight="1">
      <c r="A984" s="18"/>
      <c r="B984" s="18"/>
      <c r="C984" s="18"/>
      <c r="E984" s="18"/>
    </row>
    <row r="985" ht="22.5" hidden="1" customHeight="1">
      <c r="A985" s="18"/>
      <c r="B985" s="18"/>
      <c r="C985" s="18"/>
      <c r="E985" s="18"/>
    </row>
    <row r="986" ht="22.5" hidden="1" customHeight="1">
      <c r="A986" s="18"/>
      <c r="B986" s="18"/>
      <c r="C986" s="18"/>
      <c r="E986" s="18"/>
    </row>
    <row r="987" ht="22.5" hidden="1" customHeight="1">
      <c r="A987" s="18"/>
      <c r="B987" s="18"/>
      <c r="C987" s="18"/>
      <c r="E987" s="18"/>
    </row>
    <row r="988" ht="22.5" hidden="1" customHeight="1">
      <c r="A988" s="18"/>
      <c r="B988" s="18"/>
      <c r="C988" s="18"/>
      <c r="E988" s="18"/>
    </row>
    <row r="989" ht="22.5" hidden="1" customHeight="1">
      <c r="A989" s="18"/>
      <c r="B989" s="18"/>
      <c r="C989" s="18"/>
      <c r="E989" s="18"/>
    </row>
    <row r="990" ht="22.5" hidden="1" customHeight="1">
      <c r="A990" s="18"/>
      <c r="B990" s="18"/>
      <c r="C990" s="18"/>
      <c r="E990" s="18"/>
    </row>
    <row r="991" ht="22.5" hidden="1" customHeight="1">
      <c r="A991" s="18"/>
      <c r="B991" s="18"/>
      <c r="C991" s="18"/>
      <c r="E991" s="18"/>
    </row>
    <row r="992" ht="22.5" hidden="1" customHeight="1">
      <c r="A992" s="18"/>
      <c r="B992" s="18"/>
      <c r="C992" s="18"/>
      <c r="E992" s="18"/>
    </row>
    <row r="993" ht="22.5" hidden="1" customHeight="1">
      <c r="A993" s="18"/>
      <c r="B993" s="18"/>
      <c r="C993" s="18"/>
      <c r="E993" s="18"/>
    </row>
    <row r="994" ht="22.5" hidden="1" customHeight="1">
      <c r="A994" s="18"/>
      <c r="B994" s="18"/>
      <c r="C994" s="18"/>
      <c r="E994" s="18"/>
    </row>
    <row r="995" ht="22.5" hidden="1" customHeight="1">
      <c r="A995" s="18"/>
      <c r="B995" s="18"/>
      <c r="C995" s="18"/>
      <c r="E995" s="18"/>
    </row>
    <row r="996" ht="22.5" hidden="1" customHeight="1">
      <c r="A996" s="18"/>
      <c r="B996" s="18"/>
      <c r="C996" s="18"/>
      <c r="E996" s="18"/>
    </row>
    <row r="997" ht="22.5" hidden="1" customHeight="1">
      <c r="A997" s="18"/>
      <c r="B997" s="18"/>
      <c r="C997" s="18"/>
      <c r="E997" s="18"/>
    </row>
    <row r="998" ht="22.5" hidden="1" customHeight="1">
      <c r="A998" s="18"/>
      <c r="B998" s="18"/>
      <c r="C998" s="18"/>
      <c r="E998" s="18"/>
    </row>
    <row r="999" ht="22.5" hidden="1" customHeight="1">
      <c r="A999" s="18"/>
      <c r="B999" s="18"/>
      <c r="C999" s="18"/>
      <c r="E999" s="18"/>
    </row>
    <row r="1000" ht="22.5" hidden="1" customHeight="1">
      <c r="A1000" s="18"/>
      <c r="B1000" s="18"/>
      <c r="C1000" s="18"/>
      <c r="E1000" s="18"/>
    </row>
    <row r="1001" ht="22.5" hidden="1" customHeight="1">
      <c r="A1001" s="18"/>
      <c r="B1001" s="18"/>
      <c r="C1001" s="18"/>
      <c r="E1001" s="18"/>
    </row>
    <row r="1002" ht="22.5" hidden="1" customHeight="1">
      <c r="A1002" s="18"/>
      <c r="B1002" s="18"/>
      <c r="C1002" s="18"/>
      <c r="E1002" s="18"/>
    </row>
    <row r="1003" ht="22.5" hidden="1" customHeight="1">
      <c r="A1003" s="18"/>
      <c r="B1003" s="18"/>
      <c r="C1003" s="18"/>
      <c r="E1003" s="18"/>
    </row>
    <row r="1004" ht="22.5" hidden="1" customHeight="1">
      <c r="A1004" s="18"/>
      <c r="B1004" s="18"/>
      <c r="C1004" s="18"/>
      <c r="E1004" s="18"/>
    </row>
    <row r="1005" ht="22.5" hidden="1" customHeight="1">
      <c r="A1005" s="18"/>
      <c r="B1005" s="18"/>
      <c r="C1005" s="18"/>
      <c r="E1005" s="18"/>
    </row>
    <row r="1006" ht="22.5" hidden="1" customHeight="1">
      <c r="A1006" s="18"/>
      <c r="B1006" s="18"/>
      <c r="C1006" s="18"/>
      <c r="E1006" s="18"/>
    </row>
    <row r="1007" ht="22.5" hidden="1" customHeight="1">
      <c r="A1007" s="18"/>
      <c r="B1007" s="18"/>
      <c r="C1007" s="18"/>
      <c r="E1007" s="18"/>
    </row>
    <row r="1008" ht="22.5" hidden="1" customHeight="1">
      <c r="A1008" s="18"/>
      <c r="B1008" s="18"/>
      <c r="C1008" s="18"/>
      <c r="E1008" s="18"/>
    </row>
    <row r="1009" ht="22.5" hidden="1" customHeight="1">
      <c r="A1009" s="18"/>
      <c r="B1009" s="18"/>
      <c r="C1009" s="18"/>
      <c r="E1009" s="18"/>
    </row>
    <row r="1010" ht="22.5" hidden="1" customHeight="1">
      <c r="A1010" s="18"/>
      <c r="B1010" s="18"/>
      <c r="C1010" s="18"/>
      <c r="E1010" s="18"/>
    </row>
    <row r="1011" ht="22.5" hidden="1" customHeight="1">
      <c r="A1011" s="18"/>
      <c r="B1011" s="18"/>
      <c r="C1011" s="18"/>
      <c r="E1011" s="18"/>
    </row>
    <row r="1012" ht="22.5" hidden="1" customHeight="1">
      <c r="A1012" s="18"/>
      <c r="B1012" s="18"/>
      <c r="C1012" s="18"/>
      <c r="E1012" s="18"/>
    </row>
    <row r="1013" ht="22.5" hidden="1" customHeight="1">
      <c r="A1013" s="18"/>
      <c r="B1013" s="18"/>
      <c r="C1013" s="18"/>
      <c r="E1013" s="18"/>
    </row>
    <row r="1014" ht="22.5" hidden="1" customHeight="1">
      <c r="A1014" s="18"/>
      <c r="B1014" s="18"/>
      <c r="C1014" s="18"/>
      <c r="E1014" s="18"/>
    </row>
    <row r="1015" ht="22.5" hidden="1" customHeight="1">
      <c r="A1015" s="18"/>
      <c r="B1015" s="18"/>
      <c r="C1015" s="18"/>
      <c r="E1015" s="18"/>
    </row>
    <row r="1016" ht="22.5" hidden="1" customHeight="1">
      <c r="A1016" s="18"/>
      <c r="B1016" s="18"/>
      <c r="C1016" s="18"/>
      <c r="E1016" s="18"/>
    </row>
    <row r="1017" ht="22.5" hidden="1" customHeight="1">
      <c r="A1017" s="18"/>
      <c r="B1017" s="18"/>
      <c r="C1017" s="18"/>
      <c r="E1017" s="18"/>
    </row>
    <row r="1018" ht="22.5" hidden="1" customHeight="1">
      <c r="A1018" s="18"/>
      <c r="B1018" s="18"/>
      <c r="C1018" s="18"/>
      <c r="E1018" s="18"/>
    </row>
    <row r="1019" ht="22.5" hidden="1" customHeight="1">
      <c r="A1019" s="18"/>
      <c r="B1019" s="18"/>
      <c r="C1019" s="18"/>
      <c r="E1019" s="18"/>
    </row>
    <row r="1020" ht="22.5" hidden="1" customHeight="1">
      <c r="A1020" s="18"/>
      <c r="B1020" s="18"/>
      <c r="C1020" s="18"/>
      <c r="E1020" s="18"/>
    </row>
    <row r="1021" ht="22.5" hidden="1" customHeight="1">
      <c r="A1021" s="18"/>
      <c r="B1021" s="18"/>
      <c r="C1021" s="18"/>
      <c r="E1021" s="18"/>
    </row>
    <row r="1022" ht="22.5" hidden="1" customHeight="1">
      <c r="A1022" s="18"/>
      <c r="B1022" s="18"/>
      <c r="C1022" s="18"/>
      <c r="E1022" s="18"/>
    </row>
    <row r="1023" ht="22.5" hidden="1" customHeight="1">
      <c r="A1023" s="18"/>
      <c r="B1023" s="18"/>
      <c r="C1023" s="18"/>
      <c r="E1023" s="18"/>
    </row>
    <row r="1024" ht="22.5" hidden="1" customHeight="1">
      <c r="A1024" s="18"/>
      <c r="B1024" s="18"/>
      <c r="C1024" s="18"/>
      <c r="E1024" s="18"/>
    </row>
    <row r="1025" ht="22.5" hidden="1" customHeight="1">
      <c r="A1025" s="18"/>
      <c r="B1025" s="18"/>
      <c r="C1025" s="18"/>
      <c r="E1025" s="18"/>
    </row>
    <row r="1026" ht="22.5" hidden="1" customHeight="1">
      <c r="A1026" s="18"/>
      <c r="B1026" s="18"/>
      <c r="C1026" s="18"/>
      <c r="E1026" s="18"/>
    </row>
    <row r="1027" ht="22.5" hidden="1" customHeight="1">
      <c r="A1027" s="18"/>
      <c r="B1027" s="18"/>
      <c r="C1027" s="18"/>
      <c r="E1027" s="18"/>
    </row>
    <row r="1028" ht="22.5" hidden="1" customHeight="1">
      <c r="A1028" s="18"/>
      <c r="B1028" s="18"/>
      <c r="C1028" s="18"/>
      <c r="E1028" s="18"/>
    </row>
    <row r="1029" ht="22.5" hidden="1" customHeight="1">
      <c r="A1029" s="18"/>
      <c r="B1029" s="18"/>
      <c r="C1029" s="18"/>
      <c r="E1029" s="18"/>
    </row>
    <row r="1030" ht="22.5" hidden="1" customHeight="1">
      <c r="A1030" s="18"/>
      <c r="B1030" s="18"/>
      <c r="C1030" s="18"/>
      <c r="E1030" s="18"/>
    </row>
    <row r="1031" ht="22.5" hidden="1" customHeight="1">
      <c r="A1031" s="18"/>
      <c r="B1031" s="18"/>
      <c r="C1031" s="18"/>
      <c r="E1031" s="18"/>
    </row>
    <row r="1032" ht="22.5" hidden="1" customHeight="1">
      <c r="A1032" s="18"/>
      <c r="B1032" s="18"/>
      <c r="C1032" s="18"/>
      <c r="E1032" s="18"/>
    </row>
    <row r="1033" ht="22.5" hidden="1" customHeight="1">
      <c r="A1033" s="18"/>
      <c r="B1033" s="18"/>
      <c r="C1033" s="18"/>
      <c r="E1033" s="18"/>
    </row>
    <row r="1034" ht="22.5" hidden="1" customHeight="1">
      <c r="A1034" s="18"/>
      <c r="B1034" s="18"/>
      <c r="C1034" s="18"/>
      <c r="E1034" s="18"/>
    </row>
    <row r="1035" ht="22.5" hidden="1" customHeight="1">
      <c r="A1035" s="18"/>
      <c r="B1035" s="18"/>
      <c r="C1035" s="18"/>
      <c r="E1035" s="18"/>
    </row>
    <row r="1036" ht="22.5" hidden="1" customHeight="1">
      <c r="A1036" s="18"/>
      <c r="B1036" s="18"/>
      <c r="C1036" s="18"/>
      <c r="E1036" s="18"/>
    </row>
    <row r="1037" ht="22.5" hidden="1" customHeight="1">
      <c r="A1037" s="18"/>
      <c r="B1037" s="18"/>
      <c r="C1037" s="18"/>
      <c r="E1037" s="18"/>
    </row>
    <row r="1038" ht="22.5" hidden="1" customHeight="1">
      <c r="A1038" s="18"/>
      <c r="B1038" s="18"/>
      <c r="C1038" s="18"/>
      <c r="E1038" s="18"/>
    </row>
    <row r="1039" ht="22.5" hidden="1" customHeight="1">
      <c r="A1039" s="18"/>
      <c r="B1039" s="18"/>
      <c r="C1039" s="18"/>
      <c r="E1039" s="18"/>
    </row>
    <row r="1040" ht="22.5" hidden="1" customHeight="1">
      <c r="A1040" s="18"/>
      <c r="B1040" s="18"/>
      <c r="C1040" s="18"/>
      <c r="E1040" s="18"/>
    </row>
    <row r="1041" ht="22.5" hidden="1" customHeight="1">
      <c r="A1041" s="18"/>
      <c r="B1041" s="18"/>
      <c r="C1041" s="18"/>
      <c r="E1041" s="18"/>
    </row>
    <row r="1042" ht="22.5" hidden="1" customHeight="1">
      <c r="A1042" s="18"/>
      <c r="B1042" s="18"/>
      <c r="C1042" s="18"/>
      <c r="E1042" s="18"/>
    </row>
    <row r="1043" ht="22.5" hidden="1" customHeight="1">
      <c r="A1043" s="18"/>
      <c r="B1043" s="18"/>
      <c r="C1043" s="18"/>
      <c r="E1043" s="18"/>
    </row>
    <row r="1044" ht="22.5" hidden="1" customHeight="1">
      <c r="A1044" s="18"/>
      <c r="B1044" s="18"/>
      <c r="C1044" s="18"/>
      <c r="E1044" s="18"/>
    </row>
    <row r="1045" ht="22.5" hidden="1" customHeight="1">
      <c r="A1045" s="18"/>
      <c r="B1045" s="18"/>
      <c r="C1045" s="18"/>
      <c r="E1045" s="18"/>
    </row>
    <row r="1046" ht="22.5" hidden="1" customHeight="1">
      <c r="A1046" s="18"/>
      <c r="B1046" s="18"/>
      <c r="C1046" s="18"/>
      <c r="E1046" s="18"/>
    </row>
    <row r="1047" ht="22.5" hidden="1" customHeight="1">
      <c r="A1047" s="18"/>
      <c r="B1047" s="18"/>
      <c r="C1047" s="18"/>
      <c r="E1047" s="18"/>
    </row>
    <row r="1048" ht="22.5" hidden="1" customHeight="1">
      <c r="A1048" s="18"/>
      <c r="B1048" s="18"/>
      <c r="C1048" s="18"/>
      <c r="E1048" s="18"/>
    </row>
    <row r="1049" ht="22.5" hidden="1" customHeight="1">
      <c r="A1049" s="18"/>
      <c r="B1049" s="18"/>
      <c r="C1049" s="18"/>
      <c r="E1049" s="18"/>
    </row>
    <row r="1050" ht="22.5" hidden="1" customHeight="1">
      <c r="A1050" s="18"/>
      <c r="B1050" s="18"/>
      <c r="C1050" s="18"/>
      <c r="E1050" s="18"/>
    </row>
    <row r="1051" ht="22.5" hidden="1" customHeight="1">
      <c r="A1051" s="18"/>
      <c r="B1051" s="18"/>
      <c r="C1051" s="18"/>
      <c r="E1051" s="18"/>
    </row>
    <row r="1052" ht="22.5" hidden="1" customHeight="1">
      <c r="A1052" s="18"/>
      <c r="B1052" s="18"/>
      <c r="C1052" s="18"/>
      <c r="E1052" s="18"/>
    </row>
    <row r="1053" ht="22.5" hidden="1" customHeight="1">
      <c r="A1053" s="18"/>
      <c r="B1053" s="18"/>
      <c r="C1053" s="18"/>
      <c r="E1053" s="18"/>
    </row>
    <row r="1054" ht="22.5" hidden="1" customHeight="1">
      <c r="A1054" s="18"/>
      <c r="B1054" s="18"/>
      <c r="C1054" s="18"/>
      <c r="E1054" s="18"/>
    </row>
    <row r="1055" ht="22.5" hidden="1" customHeight="1">
      <c r="A1055" s="18"/>
      <c r="B1055" s="18"/>
      <c r="C1055" s="18"/>
      <c r="E1055" s="18"/>
    </row>
    <row r="1056" ht="22.5" hidden="1" customHeight="1">
      <c r="A1056" s="18"/>
      <c r="B1056" s="18"/>
      <c r="C1056" s="18"/>
      <c r="E1056" s="18"/>
    </row>
    <row r="1057" ht="22.5" hidden="1" customHeight="1">
      <c r="A1057" s="18"/>
      <c r="B1057" s="18"/>
      <c r="C1057" s="18"/>
      <c r="E1057" s="18"/>
    </row>
    <row r="1058" ht="22.5" hidden="1" customHeight="1">
      <c r="A1058" s="18"/>
      <c r="B1058" s="18"/>
      <c r="C1058" s="18"/>
      <c r="E1058" s="18"/>
    </row>
    <row r="1059" ht="22.5" hidden="1" customHeight="1">
      <c r="A1059" s="18"/>
      <c r="B1059" s="18"/>
      <c r="C1059" s="18"/>
      <c r="E1059" s="18"/>
    </row>
    <row r="1060" ht="22.5" hidden="1" customHeight="1">
      <c r="A1060" s="18"/>
      <c r="B1060" s="18"/>
      <c r="C1060" s="18"/>
      <c r="E1060" s="18"/>
    </row>
    <row r="1061" ht="22.5" hidden="1" customHeight="1">
      <c r="A1061" s="18"/>
      <c r="B1061" s="18"/>
      <c r="C1061" s="18"/>
      <c r="E1061" s="18"/>
    </row>
    <row r="1062" ht="22.5" hidden="1" customHeight="1">
      <c r="A1062" s="18"/>
      <c r="B1062" s="18"/>
      <c r="C1062" s="18"/>
      <c r="E1062" s="18"/>
    </row>
    <row r="1063" ht="22.5" hidden="1" customHeight="1">
      <c r="A1063" s="18"/>
      <c r="B1063" s="18"/>
      <c r="C1063" s="18"/>
      <c r="E1063" s="18"/>
    </row>
    <row r="1064" ht="22.5" hidden="1" customHeight="1">
      <c r="A1064" s="18"/>
      <c r="B1064" s="18"/>
      <c r="C1064" s="18"/>
      <c r="E1064" s="18"/>
    </row>
    <row r="1065" ht="22.5" hidden="1" customHeight="1">
      <c r="A1065" s="18"/>
      <c r="B1065" s="18"/>
      <c r="C1065" s="18"/>
      <c r="E1065" s="18"/>
    </row>
    <row r="1066" ht="22.5" hidden="1" customHeight="1">
      <c r="A1066" s="18"/>
      <c r="B1066" s="18"/>
      <c r="C1066" s="18"/>
      <c r="E1066" s="18"/>
    </row>
    <row r="1067" ht="22.5" hidden="1" customHeight="1">
      <c r="A1067" s="18"/>
      <c r="B1067" s="18"/>
      <c r="C1067" s="18"/>
      <c r="E1067" s="18"/>
    </row>
    <row r="1068" ht="22.5" hidden="1" customHeight="1">
      <c r="A1068" s="18"/>
      <c r="B1068" s="18"/>
      <c r="C1068" s="18"/>
      <c r="E1068" s="18"/>
    </row>
    <row r="1069" ht="22.5" hidden="1" customHeight="1">
      <c r="A1069" s="18"/>
      <c r="B1069" s="18"/>
      <c r="C1069" s="18"/>
      <c r="E1069" s="18"/>
    </row>
    <row r="1070" ht="22.5" hidden="1" customHeight="1">
      <c r="A1070" s="18"/>
      <c r="B1070" s="18"/>
      <c r="C1070" s="18"/>
      <c r="E1070" s="18"/>
    </row>
    <row r="1071" ht="22.5" hidden="1" customHeight="1">
      <c r="A1071" s="18"/>
      <c r="B1071" s="18"/>
      <c r="C1071" s="18"/>
      <c r="E1071" s="18"/>
    </row>
    <row r="1072" ht="22.5" hidden="1" customHeight="1">
      <c r="A1072" s="18"/>
      <c r="B1072" s="18"/>
      <c r="C1072" s="18"/>
      <c r="E1072" s="18"/>
    </row>
    <row r="1073" ht="22.5" hidden="1" customHeight="1">
      <c r="A1073" s="18"/>
      <c r="B1073" s="18"/>
      <c r="C1073" s="18"/>
      <c r="E1073" s="18"/>
    </row>
    <row r="1074" ht="22.5" hidden="1" customHeight="1">
      <c r="A1074" s="18"/>
      <c r="B1074" s="18"/>
      <c r="C1074" s="18"/>
      <c r="E1074" s="18"/>
    </row>
    <row r="1075" ht="22.5" hidden="1" customHeight="1">
      <c r="A1075" s="18"/>
      <c r="B1075" s="18"/>
      <c r="C1075" s="18"/>
      <c r="E1075" s="18"/>
    </row>
    <row r="1076" ht="22.5" hidden="1" customHeight="1">
      <c r="A1076" s="18"/>
      <c r="B1076" s="18"/>
      <c r="C1076" s="18"/>
      <c r="E1076" s="18"/>
    </row>
    <row r="1077" ht="22.5" hidden="1" customHeight="1">
      <c r="A1077" s="18"/>
      <c r="B1077" s="18"/>
      <c r="C1077" s="18"/>
      <c r="E1077" s="18"/>
    </row>
    <row r="1078" ht="22.5" hidden="1" customHeight="1">
      <c r="A1078" s="18"/>
      <c r="B1078" s="18"/>
      <c r="C1078" s="18"/>
      <c r="E1078" s="18"/>
    </row>
    <row r="1079" ht="22.5" hidden="1" customHeight="1">
      <c r="A1079" s="18"/>
      <c r="B1079" s="18"/>
      <c r="C1079" s="18"/>
      <c r="E1079" s="18"/>
    </row>
    <row r="1080" ht="22.5" hidden="1" customHeight="1">
      <c r="A1080" s="18"/>
      <c r="B1080" s="18"/>
      <c r="C1080" s="18"/>
      <c r="E1080" s="18"/>
    </row>
    <row r="1081" ht="22.5" hidden="1" customHeight="1">
      <c r="A1081" s="18"/>
      <c r="B1081" s="18"/>
      <c r="C1081" s="18"/>
      <c r="E1081" s="18"/>
    </row>
    <row r="1082" ht="22.5" hidden="1" customHeight="1">
      <c r="A1082" s="18"/>
      <c r="B1082" s="18"/>
      <c r="C1082" s="18"/>
      <c r="E1082" s="18"/>
    </row>
    <row r="1083" ht="22.5" hidden="1" customHeight="1">
      <c r="A1083" s="18"/>
      <c r="B1083" s="18"/>
      <c r="C1083" s="18"/>
      <c r="E1083" s="18"/>
    </row>
    <row r="1084" ht="22.5" hidden="1" customHeight="1">
      <c r="A1084" s="18"/>
      <c r="B1084" s="18"/>
      <c r="C1084" s="18"/>
      <c r="E1084" s="18"/>
    </row>
    <row r="1085" ht="22.5" hidden="1" customHeight="1">
      <c r="A1085" s="18"/>
      <c r="B1085" s="18"/>
      <c r="C1085" s="18"/>
      <c r="E1085" s="18"/>
    </row>
    <row r="1086" ht="22.5" hidden="1" customHeight="1">
      <c r="A1086" s="18"/>
      <c r="B1086" s="18"/>
      <c r="C1086" s="18"/>
      <c r="E1086" s="18"/>
    </row>
    <row r="1087" ht="22.5" hidden="1" customHeight="1">
      <c r="A1087" s="18"/>
      <c r="B1087" s="18"/>
      <c r="C1087" s="18"/>
      <c r="E1087" s="18"/>
    </row>
    <row r="1088" ht="22.5" hidden="1" customHeight="1">
      <c r="A1088" s="18"/>
      <c r="B1088" s="18"/>
      <c r="C1088" s="18"/>
      <c r="E1088" s="18"/>
    </row>
    <row r="1089" ht="22.5" hidden="1" customHeight="1">
      <c r="A1089" s="18"/>
      <c r="B1089" s="18"/>
      <c r="C1089" s="18"/>
      <c r="E1089" s="18"/>
    </row>
    <row r="1090" ht="22.5" hidden="1" customHeight="1">
      <c r="A1090" s="18"/>
      <c r="B1090" s="18"/>
      <c r="C1090" s="18"/>
      <c r="E1090" s="18"/>
    </row>
    <row r="1091" ht="22.5" hidden="1" customHeight="1">
      <c r="A1091" s="18"/>
      <c r="B1091" s="18"/>
      <c r="C1091" s="18"/>
      <c r="E1091" s="18"/>
    </row>
    <row r="1092" ht="22.5" hidden="1" customHeight="1">
      <c r="A1092" s="18"/>
      <c r="B1092" s="18"/>
      <c r="C1092" s="18"/>
      <c r="E1092" s="18"/>
    </row>
    <row r="1093" ht="22.5" hidden="1" customHeight="1">
      <c r="A1093" s="18"/>
      <c r="B1093" s="18"/>
      <c r="C1093" s="18"/>
      <c r="E1093" s="18"/>
    </row>
    <row r="1094" ht="22.5" hidden="1" customHeight="1">
      <c r="A1094" s="18"/>
      <c r="B1094" s="18"/>
      <c r="C1094" s="18"/>
      <c r="E1094" s="18"/>
    </row>
    <row r="1095" ht="22.5" hidden="1" customHeight="1">
      <c r="A1095" s="18"/>
      <c r="B1095" s="18"/>
      <c r="C1095" s="18"/>
      <c r="E1095" s="18"/>
    </row>
    <row r="1096" ht="22.5" hidden="1" customHeight="1">
      <c r="A1096" s="18"/>
      <c r="B1096" s="18"/>
      <c r="C1096" s="18"/>
      <c r="E1096" s="18"/>
    </row>
    <row r="1097" ht="22.5" hidden="1" customHeight="1">
      <c r="A1097" s="18"/>
      <c r="B1097" s="18"/>
      <c r="C1097" s="18"/>
      <c r="E1097" s="18"/>
    </row>
    <row r="1098" ht="22.5" hidden="1" customHeight="1">
      <c r="A1098" s="18"/>
      <c r="B1098" s="18"/>
      <c r="C1098" s="18"/>
      <c r="E1098" s="18"/>
    </row>
    <row r="1099" ht="22.5" hidden="1" customHeight="1">
      <c r="A1099" s="18"/>
      <c r="B1099" s="18"/>
      <c r="C1099" s="18"/>
      <c r="E1099" s="18"/>
    </row>
    <row r="1100" ht="22.5" hidden="1" customHeight="1">
      <c r="A1100" s="18"/>
      <c r="B1100" s="18"/>
      <c r="C1100" s="18"/>
      <c r="E1100" s="18"/>
    </row>
    <row r="1101" ht="22.5" hidden="1" customHeight="1">
      <c r="A1101" s="18"/>
      <c r="B1101" s="18"/>
      <c r="C1101" s="18"/>
      <c r="E1101" s="18"/>
    </row>
    <row r="1102" ht="22.5" hidden="1" customHeight="1">
      <c r="A1102" s="18"/>
      <c r="B1102" s="18"/>
      <c r="C1102" s="18"/>
      <c r="E1102" s="18"/>
    </row>
    <row r="1103" ht="22.5" hidden="1" customHeight="1">
      <c r="A1103" s="18"/>
      <c r="B1103" s="18"/>
      <c r="C1103" s="18"/>
      <c r="E1103" s="18"/>
    </row>
    <row r="1104" ht="22.5" hidden="1" customHeight="1">
      <c r="A1104" s="18"/>
      <c r="B1104" s="18"/>
      <c r="C1104" s="18"/>
      <c r="E1104" s="18"/>
    </row>
    <row r="1105" ht="22.5" hidden="1" customHeight="1">
      <c r="A1105" s="18"/>
      <c r="B1105" s="18"/>
      <c r="C1105" s="18"/>
      <c r="E1105" s="18"/>
    </row>
    <row r="1106" ht="22.5" hidden="1" customHeight="1">
      <c r="A1106" s="18"/>
      <c r="B1106" s="18"/>
      <c r="C1106" s="18"/>
      <c r="E1106" s="18"/>
    </row>
    <row r="1107" ht="22.5" hidden="1" customHeight="1">
      <c r="A1107" s="18"/>
      <c r="B1107" s="18"/>
      <c r="C1107" s="18"/>
      <c r="E1107" s="18"/>
    </row>
    <row r="1108" ht="22.5" hidden="1" customHeight="1">
      <c r="A1108" s="18"/>
      <c r="B1108" s="18"/>
      <c r="C1108" s="18"/>
      <c r="E1108" s="18"/>
    </row>
    <row r="1109" ht="22.5" hidden="1" customHeight="1">
      <c r="A1109" s="18"/>
      <c r="B1109" s="18"/>
      <c r="C1109" s="18"/>
      <c r="E1109" s="18"/>
    </row>
    <row r="1110" ht="22.5" hidden="1" customHeight="1">
      <c r="A1110" s="18"/>
      <c r="B1110" s="18"/>
      <c r="C1110" s="18"/>
      <c r="E1110" s="18"/>
    </row>
    <row r="1111" ht="22.5" hidden="1" customHeight="1">
      <c r="A1111" s="18"/>
      <c r="B1111" s="18"/>
      <c r="C1111" s="18"/>
      <c r="E1111" s="18"/>
    </row>
    <row r="1112" ht="22.5" hidden="1" customHeight="1">
      <c r="A1112" s="18"/>
      <c r="B1112" s="18"/>
      <c r="C1112" s="18"/>
      <c r="E1112" s="18"/>
    </row>
    <row r="1113" ht="22.5" hidden="1" customHeight="1">
      <c r="A1113" s="18"/>
      <c r="B1113" s="18"/>
      <c r="C1113" s="18"/>
      <c r="E1113" s="18"/>
    </row>
    <row r="1114" ht="22.5" hidden="1" customHeight="1">
      <c r="A1114" s="18"/>
      <c r="B1114" s="18"/>
      <c r="C1114" s="18"/>
      <c r="E1114" s="18"/>
    </row>
    <row r="1115" ht="22.5" hidden="1" customHeight="1">
      <c r="A1115" s="18"/>
      <c r="B1115" s="18"/>
      <c r="C1115" s="18"/>
      <c r="E1115" s="18"/>
    </row>
    <row r="1116" ht="22.5" hidden="1" customHeight="1">
      <c r="A1116" s="18"/>
      <c r="B1116" s="18"/>
      <c r="C1116" s="18"/>
      <c r="E1116" s="18"/>
    </row>
    <row r="1117" ht="22.5" hidden="1" customHeight="1">
      <c r="A1117" s="18"/>
      <c r="B1117" s="18"/>
      <c r="C1117" s="18"/>
      <c r="E1117" s="18"/>
    </row>
    <row r="1118" ht="22.5" hidden="1" customHeight="1">
      <c r="A1118" s="18"/>
      <c r="B1118" s="18"/>
      <c r="C1118" s="18"/>
      <c r="E1118" s="18"/>
    </row>
    <row r="1119" ht="22.5" hidden="1" customHeight="1">
      <c r="A1119" s="18"/>
      <c r="B1119" s="18"/>
      <c r="C1119" s="18"/>
      <c r="E1119" s="18"/>
    </row>
    <row r="1120" ht="22.5" hidden="1" customHeight="1">
      <c r="A1120" s="18"/>
      <c r="B1120" s="18"/>
      <c r="C1120" s="18"/>
      <c r="E1120" s="18"/>
    </row>
    <row r="1121" ht="22.5" hidden="1" customHeight="1">
      <c r="A1121" s="18"/>
      <c r="B1121" s="18"/>
      <c r="C1121" s="18"/>
      <c r="E1121" s="18"/>
    </row>
    <row r="1122" ht="22.5" hidden="1" customHeight="1">
      <c r="A1122" s="18"/>
      <c r="B1122" s="18"/>
      <c r="C1122" s="18"/>
      <c r="E1122" s="18"/>
    </row>
    <row r="1123" ht="22.5" hidden="1" customHeight="1">
      <c r="A1123" s="18"/>
      <c r="B1123" s="18"/>
      <c r="C1123" s="18"/>
      <c r="E1123" s="18"/>
    </row>
    <row r="1124" ht="22.5" hidden="1" customHeight="1">
      <c r="A1124" s="18"/>
      <c r="B1124" s="18"/>
      <c r="C1124" s="18"/>
      <c r="E1124" s="18"/>
    </row>
    <row r="1125" ht="22.5" hidden="1" customHeight="1">
      <c r="A1125" s="18"/>
      <c r="B1125" s="18"/>
      <c r="C1125" s="18"/>
      <c r="E1125" s="18"/>
    </row>
    <row r="1126" ht="22.5" hidden="1" customHeight="1">
      <c r="A1126" s="18"/>
      <c r="B1126" s="18"/>
      <c r="C1126" s="18"/>
      <c r="E1126" s="18"/>
    </row>
    <row r="1127" ht="22.5" hidden="1" customHeight="1">
      <c r="A1127" s="18"/>
      <c r="B1127" s="18"/>
      <c r="C1127" s="18"/>
      <c r="E1127" s="18"/>
    </row>
    <row r="1128" ht="22.5" hidden="1" customHeight="1">
      <c r="A1128" s="18"/>
      <c r="B1128" s="18"/>
      <c r="C1128" s="18"/>
      <c r="E1128" s="18"/>
    </row>
    <row r="1129" ht="22.5" hidden="1" customHeight="1">
      <c r="A1129" s="18"/>
      <c r="B1129" s="18"/>
      <c r="C1129" s="18"/>
      <c r="E1129" s="18"/>
    </row>
    <row r="1130" ht="22.5" hidden="1" customHeight="1">
      <c r="A1130" s="18"/>
      <c r="B1130" s="18"/>
      <c r="C1130" s="18"/>
      <c r="E1130" s="18"/>
    </row>
    <row r="1131" ht="22.5" hidden="1" customHeight="1">
      <c r="A1131" s="18"/>
      <c r="B1131" s="18"/>
      <c r="C1131" s="18"/>
      <c r="E1131" s="18"/>
    </row>
    <row r="1132" ht="22.5" hidden="1" customHeight="1">
      <c r="A1132" s="18"/>
      <c r="B1132" s="18"/>
      <c r="C1132" s="18"/>
      <c r="E1132" s="18"/>
    </row>
    <row r="1133" ht="22.5" hidden="1" customHeight="1">
      <c r="A1133" s="18"/>
      <c r="B1133" s="18"/>
      <c r="C1133" s="18"/>
      <c r="E1133" s="18"/>
    </row>
    <row r="1134" ht="22.5" hidden="1" customHeight="1">
      <c r="A1134" s="18"/>
      <c r="B1134" s="18"/>
      <c r="C1134" s="18"/>
      <c r="E1134" s="18"/>
    </row>
    <row r="1135" ht="22.5" hidden="1" customHeight="1">
      <c r="A1135" s="18"/>
      <c r="B1135" s="18"/>
      <c r="C1135" s="18"/>
      <c r="E1135" s="18"/>
    </row>
    <row r="1136" ht="22.5" hidden="1" customHeight="1">
      <c r="A1136" s="18"/>
      <c r="B1136" s="18"/>
      <c r="C1136" s="18"/>
      <c r="E1136" s="18"/>
    </row>
    <row r="1137" ht="22.5" hidden="1" customHeight="1">
      <c r="A1137" s="18"/>
      <c r="B1137" s="18"/>
      <c r="C1137" s="18"/>
      <c r="E1137" s="18"/>
    </row>
    <row r="1138" ht="22.5" hidden="1" customHeight="1">
      <c r="A1138" s="18"/>
      <c r="B1138" s="18"/>
      <c r="C1138" s="18"/>
      <c r="E1138" s="18"/>
    </row>
    <row r="1139" ht="22.5" hidden="1" customHeight="1">
      <c r="A1139" s="18"/>
      <c r="B1139" s="18"/>
      <c r="C1139" s="18"/>
      <c r="E1139" s="18"/>
    </row>
    <row r="1140" ht="22.5" hidden="1" customHeight="1">
      <c r="A1140" s="18"/>
      <c r="B1140" s="18"/>
      <c r="C1140" s="18"/>
      <c r="E1140" s="18"/>
    </row>
    <row r="1141" ht="22.5" hidden="1" customHeight="1">
      <c r="A1141" s="18"/>
      <c r="B1141" s="18"/>
      <c r="C1141" s="18"/>
      <c r="E1141" s="18"/>
    </row>
    <row r="1142" ht="22.5" hidden="1" customHeight="1">
      <c r="A1142" s="18"/>
      <c r="B1142" s="18"/>
      <c r="C1142" s="18"/>
      <c r="E1142" s="18"/>
    </row>
    <row r="1143" ht="22.5" hidden="1" customHeight="1">
      <c r="A1143" s="18"/>
      <c r="B1143" s="18"/>
      <c r="C1143" s="18"/>
      <c r="E1143" s="18"/>
    </row>
    <row r="1144" ht="22.5" hidden="1" customHeight="1">
      <c r="A1144" s="18"/>
      <c r="B1144" s="18"/>
      <c r="C1144" s="18"/>
      <c r="E1144" s="18"/>
    </row>
    <row r="1145" ht="22.5" hidden="1" customHeight="1">
      <c r="A1145" s="18"/>
      <c r="B1145" s="18"/>
      <c r="C1145" s="18"/>
      <c r="E1145" s="18"/>
    </row>
    <row r="1146" ht="22.5" hidden="1" customHeight="1">
      <c r="A1146" s="18"/>
      <c r="B1146" s="18"/>
      <c r="C1146" s="18"/>
      <c r="E1146" s="18"/>
    </row>
    <row r="1147" ht="22.5" hidden="1" customHeight="1">
      <c r="A1147" s="18"/>
      <c r="B1147" s="18"/>
      <c r="C1147" s="18"/>
      <c r="E1147" s="18"/>
    </row>
    <row r="1148" ht="22.5" hidden="1" customHeight="1">
      <c r="A1148" s="18"/>
      <c r="B1148" s="18"/>
      <c r="C1148" s="18"/>
      <c r="E1148" s="18"/>
    </row>
    <row r="1149" ht="22.5" hidden="1" customHeight="1">
      <c r="A1149" s="18"/>
      <c r="B1149" s="18"/>
      <c r="C1149" s="18"/>
      <c r="E1149" s="18"/>
    </row>
    <row r="1150" ht="22.5" hidden="1" customHeight="1">
      <c r="A1150" s="18"/>
      <c r="B1150" s="18"/>
      <c r="C1150" s="18"/>
      <c r="E1150" s="18"/>
    </row>
    <row r="1151" ht="22.5" hidden="1" customHeight="1">
      <c r="A1151" s="18"/>
      <c r="B1151" s="18"/>
      <c r="C1151" s="18"/>
      <c r="E1151" s="18"/>
    </row>
    <row r="1152" ht="22.5" hidden="1" customHeight="1">
      <c r="A1152" s="18"/>
      <c r="B1152" s="18"/>
      <c r="C1152" s="18"/>
      <c r="E1152" s="18"/>
    </row>
    <row r="1153" ht="22.5" hidden="1" customHeight="1">
      <c r="A1153" s="18"/>
      <c r="B1153" s="18"/>
      <c r="C1153" s="18"/>
      <c r="E1153" s="18"/>
    </row>
    <row r="1154" ht="22.5" hidden="1" customHeight="1">
      <c r="A1154" s="18"/>
      <c r="B1154" s="18"/>
      <c r="C1154" s="18"/>
      <c r="E1154" s="18"/>
    </row>
    <row r="1155" ht="22.5" hidden="1" customHeight="1">
      <c r="A1155" s="18"/>
      <c r="B1155" s="18"/>
      <c r="C1155" s="18"/>
      <c r="E1155" s="18"/>
    </row>
    <row r="1156" ht="22.5" hidden="1" customHeight="1">
      <c r="A1156" s="18"/>
      <c r="B1156" s="18"/>
      <c r="C1156" s="18"/>
      <c r="E1156" s="18"/>
    </row>
    <row r="1157" ht="22.5" hidden="1" customHeight="1">
      <c r="A1157" s="18"/>
      <c r="B1157" s="18"/>
      <c r="C1157" s="18"/>
      <c r="E1157" s="18"/>
    </row>
    <row r="1158" ht="22.5" hidden="1" customHeight="1">
      <c r="A1158" s="18"/>
      <c r="B1158" s="18"/>
      <c r="C1158" s="18"/>
      <c r="E1158" s="18"/>
    </row>
    <row r="1159" ht="22.5" hidden="1" customHeight="1">
      <c r="A1159" s="18"/>
      <c r="B1159" s="18"/>
      <c r="C1159" s="18"/>
      <c r="E1159" s="18"/>
    </row>
    <row r="1160" ht="22.5" hidden="1" customHeight="1">
      <c r="A1160" s="18"/>
      <c r="B1160" s="18"/>
      <c r="C1160" s="18"/>
      <c r="E1160" s="18"/>
    </row>
    <row r="1161" ht="22.5" hidden="1" customHeight="1">
      <c r="A1161" s="18"/>
      <c r="B1161" s="18"/>
      <c r="C1161" s="18"/>
      <c r="E1161" s="18"/>
    </row>
    <row r="1162" ht="22.5" hidden="1" customHeight="1">
      <c r="A1162" s="18"/>
      <c r="B1162" s="18"/>
      <c r="C1162" s="18"/>
      <c r="E1162" s="18"/>
    </row>
    <row r="1163" ht="22.5" hidden="1" customHeight="1">
      <c r="A1163" s="18"/>
      <c r="B1163" s="18"/>
      <c r="C1163" s="18"/>
      <c r="E1163" s="18"/>
    </row>
    <row r="1164" ht="22.5" hidden="1" customHeight="1">
      <c r="A1164" s="18"/>
      <c r="B1164" s="18"/>
      <c r="C1164" s="18"/>
      <c r="E1164" s="18"/>
    </row>
    <row r="1165" ht="22.5" hidden="1" customHeight="1">
      <c r="A1165" s="18"/>
      <c r="B1165" s="18"/>
      <c r="C1165" s="18"/>
      <c r="E1165" s="18"/>
    </row>
    <row r="1166" ht="22.5" hidden="1" customHeight="1">
      <c r="A1166" s="18"/>
      <c r="B1166" s="18"/>
      <c r="C1166" s="18"/>
      <c r="E1166" s="18"/>
    </row>
    <row r="1167" ht="22.5" hidden="1" customHeight="1">
      <c r="A1167" s="18"/>
      <c r="B1167" s="18"/>
      <c r="C1167" s="18"/>
      <c r="E1167" s="18"/>
    </row>
    <row r="1168" ht="22.5" hidden="1" customHeight="1">
      <c r="A1168" s="18"/>
      <c r="B1168" s="18"/>
      <c r="C1168" s="18"/>
      <c r="E1168" s="18"/>
    </row>
    <row r="1169" ht="22.5" hidden="1" customHeight="1">
      <c r="A1169" s="18"/>
      <c r="B1169" s="18"/>
      <c r="C1169" s="18"/>
      <c r="E1169" s="18"/>
    </row>
    <row r="1170" ht="22.5" hidden="1" customHeight="1">
      <c r="A1170" s="18"/>
      <c r="B1170" s="18"/>
      <c r="C1170" s="18"/>
      <c r="E1170" s="18"/>
    </row>
    <row r="1171" ht="22.5" hidden="1" customHeight="1">
      <c r="A1171" s="18"/>
      <c r="B1171" s="18"/>
      <c r="C1171" s="18"/>
      <c r="E1171" s="18"/>
    </row>
    <row r="1172" ht="22.5" hidden="1" customHeight="1">
      <c r="A1172" s="18"/>
      <c r="B1172" s="18"/>
      <c r="C1172" s="18"/>
      <c r="E1172" s="18"/>
    </row>
    <row r="1173" ht="22.5" hidden="1" customHeight="1">
      <c r="A1173" s="18"/>
      <c r="B1173" s="18"/>
      <c r="C1173" s="18"/>
      <c r="E1173" s="18"/>
    </row>
    <row r="1174" ht="22.5" hidden="1" customHeight="1">
      <c r="A1174" s="18"/>
      <c r="B1174" s="18"/>
      <c r="C1174" s="18"/>
      <c r="E1174" s="18"/>
    </row>
    <row r="1175" ht="22.5" hidden="1" customHeight="1">
      <c r="A1175" s="18"/>
      <c r="B1175" s="18"/>
      <c r="C1175" s="18"/>
      <c r="E1175" s="18"/>
    </row>
    <row r="1176" ht="22.5" hidden="1" customHeight="1">
      <c r="A1176" s="18"/>
      <c r="B1176" s="18"/>
      <c r="C1176" s="18"/>
      <c r="E1176" s="18"/>
    </row>
    <row r="1177" ht="22.5" hidden="1" customHeight="1">
      <c r="A1177" s="18"/>
      <c r="B1177" s="18"/>
      <c r="C1177" s="18"/>
      <c r="E1177" s="18"/>
    </row>
    <row r="1178" ht="22.5" hidden="1" customHeight="1">
      <c r="A1178" s="18"/>
      <c r="B1178" s="18"/>
      <c r="C1178" s="18"/>
      <c r="E1178" s="18"/>
    </row>
    <row r="1179" ht="22.5" hidden="1" customHeight="1">
      <c r="A1179" s="18"/>
      <c r="B1179" s="18"/>
      <c r="C1179" s="18"/>
      <c r="E1179" s="18"/>
    </row>
    <row r="1180" ht="22.5" hidden="1" customHeight="1">
      <c r="A1180" s="18"/>
      <c r="B1180" s="18"/>
      <c r="C1180" s="18"/>
      <c r="E1180" s="18"/>
    </row>
    <row r="1181" ht="22.5" hidden="1" customHeight="1">
      <c r="A1181" s="18"/>
      <c r="B1181" s="18"/>
      <c r="C1181" s="18"/>
      <c r="E1181" s="18"/>
    </row>
    <row r="1182" ht="22.5" hidden="1" customHeight="1">
      <c r="A1182" s="18"/>
      <c r="B1182" s="18"/>
      <c r="C1182" s="18"/>
      <c r="E1182" s="18"/>
    </row>
    <row r="1183" ht="22.5" hidden="1" customHeight="1">
      <c r="A1183" s="18"/>
      <c r="B1183" s="18"/>
      <c r="C1183" s="18"/>
      <c r="E1183" s="18"/>
    </row>
    <row r="1184" ht="22.5" hidden="1" customHeight="1">
      <c r="A1184" s="18"/>
      <c r="B1184" s="18"/>
      <c r="C1184" s="18"/>
      <c r="E1184" s="18"/>
    </row>
    <row r="1185" ht="22.5" hidden="1" customHeight="1">
      <c r="A1185" s="18"/>
      <c r="B1185" s="18"/>
      <c r="C1185" s="18"/>
      <c r="E1185" s="18"/>
    </row>
    <row r="1186" ht="22.5" hidden="1" customHeight="1">
      <c r="A1186" s="18"/>
      <c r="B1186" s="18"/>
      <c r="C1186" s="18"/>
      <c r="E1186" s="18"/>
    </row>
    <row r="1187" ht="22.5" hidden="1" customHeight="1">
      <c r="A1187" s="18"/>
      <c r="B1187" s="18"/>
      <c r="C1187" s="18"/>
      <c r="E1187" s="18"/>
    </row>
    <row r="1188" ht="22.5" hidden="1" customHeight="1">
      <c r="A1188" s="18"/>
      <c r="B1188" s="18"/>
      <c r="C1188" s="18"/>
      <c r="E1188" s="18"/>
    </row>
    <row r="1189" ht="22.5" hidden="1" customHeight="1">
      <c r="A1189" s="18"/>
      <c r="B1189" s="18"/>
      <c r="C1189" s="18"/>
      <c r="E1189" s="18"/>
    </row>
    <row r="1190" ht="22.5" hidden="1" customHeight="1">
      <c r="A1190" s="18"/>
      <c r="B1190" s="18"/>
      <c r="C1190" s="18"/>
      <c r="E1190" s="18"/>
    </row>
    <row r="1191" ht="22.5" hidden="1" customHeight="1">
      <c r="A1191" s="18"/>
      <c r="B1191" s="18"/>
      <c r="C1191" s="18"/>
      <c r="E1191" s="18"/>
    </row>
    <row r="1192" ht="22.5" hidden="1" customHeight="1">
      <c r="A1192" s="18"/>
      <c r="B1192" s="18"/>
      <c r="C1192" s="18"/>
      <c r="E1192" s="18"/>
    </row>
    <row r="1193" ht="22.5" hidden="1" customHeight="1">
      <c r="A1193" s="18"/>
      <c r="B1193" s="18"/>
      <c r="C1193" s="18"/>
      <c r="E1193" s="18"/>
    </row>
    <row r="1194" ht="22.5" hidden="1" customHeight="1">
      <c r="A1194" s="18"/>
      <c r="B1194" s="18"/>
      <c r="C1194" s="18"/>
      <c r="E1194" s="18"/>
    </row>
    <row r="1195" ht="22.5" hidden="1" customHeight="1">
      <c r="A1195" s="18"/>
      <c r="B1195" s="18"/>
      <c r="C1195" s="18"/>
      <c r="E1195" s="18"/>
    </row>
    <row r="1196" ht="22.5" hidden="1" customHeight="1">
      <c r="A1196" s="18"/>
      <c r="B1196" s="18"/>
      <c r="C1196" s="18"/>
      <c r="E1196" s="18"/>
    </row>
    <row r="1197" ht="22.5" hidden="1" customHeight="1">
      <c r="A1197" s="18"/>
      <c r="B1197" s="18"/>
      <c r="C1197" s="18"/>
      <c r="E1197" s="18"/>
    </row>
    <row r="1198" ht="22.5" hidden="1" customHeight="1">
      <c r="A1198" s="18"/>
      <c r="B1198" s="18"/>
      <c r="C1198" s="18"/>
      <c r="E1198" s="18"/>
    </row>
    <row r="1199" ht="22.5" hidden="1" customHeight="1">
      <c r="A1199" s="18"/>
      <c r="B1199" s="18"/>
      <c r="C1199" s="18"/>
      <c r="E1199" s="18"/>
    </row>
    <row r="1200" ht="22.5" hidden="1" customHeight="1">
      <c r="A1200" s="18"/>
      <c r="B1200" s="18"/>
      <c r="C1200" s="18"/>
      <c r="E1200" s="18"/>
    </row>
    <row r="1201" ht="22.5" hidden="1" customHeight="1">
      <c r="A1201" s="18"/>
      <c r="B1201" s="18"/>
      <c r="C1201" s="18"/>
      <c r="E1201" s="18"/>
    </row>
    <row r="1202" ht="22.5" hidden="1" customHeight="1">
      <c r="A1202" s="18"/>
      <c r="B1202" s="18"/>
      <c r="C1202" s="18"/>
      <c r="E1202" s="18"/>
    </row>
    <row r="1203" ht="22.5" hidden="1" customHeight="1">
      <c r="A1203" s="18"/>
      <c r="B1203" s="18"/>
      <c r="C1203" s="18"/>
      <c r="E1203" s="18"/>
    </row>
    <row r="1204" ht="22.5" hidden="1" customHeight="1">
      <c r="A1204" s="18"/>
      <c r="B1204" s="18"/>
      <c r="C1204" s="18"/>
      <c r="E1204" s="18"/>
    </row>
    <row r="1205" ht="22.5" hidden="1" customHeight="1">
      <c r="A1205" s="18"/>
      <c r="B1205" s="18"/>
      <c r="C1205" s="18"/>
      <c r="E1205" s="18"/>
    </row>
    <row r="1206" ht="22.5" hidden="1" customHeight="1">
      <c r="A1206" s="18"/>
      <c r="B1206" s="18"/>
      <c r="C1206" s="18"/>
      <c r="E1206" s="18"/>
    </row>
    <row r="1207" ht="22.5" hidden="1" customHeight="1">
      <c r="A1207" s="18"/>
      <c r="B1207" s="18"/>
      <c r="C1207" s="18"/>
      <c r="E1207" s="18"/>
    </row>
    <row r="1208" ht="22.5" hidden="1" customHeight="1">
      <c r="A1208" s="18"/>
      <c r="B1208" s="18"/>
      <c r="C1208" s="18"/>
      <c r="E1208" s="18"/>
    </row>
    <row r="1209" ht="22.5" hidden="1" customHeight="1">
      <c r="A1209" s="18"/>
      <c r="B1209" s="18"/>
      <c r="C1209" s="18"/>
      <c r="E1209" s="18"/>
    </row>
    <row r="1210" ht="22.5" hidden="1" customHeight="1">
      <c r="A1210" s="18"/>
      <c r="B1210" s="18"/>
      <c r="C1210" s="18"/>
      <c r="E1210" s="18"/>
    </row>
    <row r="1211" ht="22.5" hidden="1" customHeight="1">
      <c r="A1211" s="18"/>
      <c r="B1211" s="18"/>
      <c r="C1211" s="18"/>
      <c r="E1211" s="18"/>
    </row>
    <row r="1212" ht="22.5" hidden="1" customHeight="1">
      <c r="A1212" s="18"/>
      <c r="B1212" s="18"/>
      <c r="C1212" s="18"/>
      <c r="E1212" s="18"/>
    </row>
    <row r="1213" ht="22.5" hidden="1" customHeight="1">
      <c r="A1213" s="18"/>
      <c r="B1213" s="18"/>
      <c r="C1213" s="18"/>
      <c r="E1213" s="18"/>
    </row>
    <row r="1214" ht="22.5" hidden="1" customHeight="1">
      <c r="A1214" s="18"/>
      <c r="B1214" s="18"/>
      <c r="C1214" s="18"/>
      <c r="E1214" s="18"/>
    </row>
    <row r="1215" ht="22.5" hidden="1" customHeight="1">
      <c r="A1215" s="18"/>
      <c r="B1215" s="18"/>
      <c r="C1215" s="18"/>
      <c r="E1215" s="18"/>
    </row>
    <row r="1216" ht="22.5" hidden="1" customHeight="1">
      <c r="A1216" s="18"/>
      <c r="B1216" s="18"/>
      <c r="C1216" s="18"/>
      <c r="E1216" s="18"/>
    </row>
    <row r="1217" ht="22.5" hidden="1" customHeight="1">
      <c r="A1217" s="18"/>
      <c r="B1217" s="18"/>
      <c r="C1217" s="18"/>
      <c r="E1217" s="18"/>
    </row>
    <row r="1218" ht="22.5" hidden="1" customHeight="1">
      <c r="A1218" s="18"/>
      <c r="B1218" s="18"/>
      <c r="C1218" s="18"/>
      <c r="E1218" s="18"/>
    </row>
    <row r="1219" ht="22.5" hidden="1" customHeight="1">
      <c r="A1219" s="18"/>
      <c r="B1219" s="18"/>
      <c r="C1219" s="18"/>
      <c r="E1219" s="18"/>
    </row>
    <row r="1220" ht="22.5" hidden="1" customHeight="1">
      <c r="A1220" s="18"/>
      <c r="B1220" s="18"/>
      <c r="C1220" s="18"/>
      <c r="E1220" s="18"/>
    </row>
    <row r="1221" ht="22.5" hidden="1" customHeight="1">
      <c r="A1221" s="18"/>
      <c r="B1221" s="18"/>
      <c r="C1221" s="18"/>
      <c r="E1221" s="18"/>
    </row>
    <row r="1222" ht="22.5" hidden="1" customHeight="1">
      <c r="A1222" s="18"/>
      <c r="B1222" s="18"/>
      <c r="C1222" s="18"/>
      <c r="E1222" s="18"/>
    </row>
    <row r="1223" ht="22.5" hidden="1" customHeight="1">
      <c r="A1223" s="18"/>
      <c r="B1223" s="18"/>
      <c r="C1223" s="18"/>
      <c r="E1223" s="18"/>
    </row>
    <row r="1224" ht="22.5" hidden="1" customHeight="1">
      <c r="A1224" s="18"/>
      <c r="B1224" s="18"/>
      <c r="C1224" s="18"/>
      <c r="E1224" s="18"/>
    </row>
    <row r="1225" ht="22.5" hidden="1" customHeight="1">
      <c r="A1225" s="18"/>
      <c r="B1225" s="18"/>
      <c r="C1225" s="18"/>
      <c r="E1225" s="18"/>
    </row>
    <row r="1226" ht="22.5" hidden="1" customHeight="1">
      <c r="A1226" s="18"/>
      <c r="B1226" s="18"/>
      <c r="C1226" s="18"/>
      <c r="E1226" s="18"/>
    </row>
    <row r="1227" ht="22.5" hidden="1" customHeight="1">
      <c r="A1227" s="18"/>
      <c r="B1227" s="18"/>
      <c r="C1227" s="18"/>
      <c r="E1227" s="18"/>
    </row>
    <row r="1228" ht="22.5" hidden="1" customHeight="1">
      <c r="A1228" s="18"/>
      <c r="B1228" s="18"/>
      <c r="C1228" s="18"/>
      <c r="E1228" s="18"/>
    </row>
    <row r="1229" ht="22.5" hidden="1" customHeight="1">
      <c r="A1229" s="18"/>
      <c r="B1229" s="18"/>
      <c r="C1229" s="18"/>
      <c r="E1229" s="18"/>
    </row>
    <row r="1230" ht="22.5" hidden="1" customHeight="1">
      <c r="A1230" s="18"/>
      <c r="B1230" s="18"/>
      <c r="C1230" s="18"/>
      <c r="E1230" s="18"/>
    </row>
    <row r="1231" ht="22.5" hidden="1" customHeight="1">
      <c r="A1231" s="18"/>
      <c r="B1231" s="18"/>
      <c r="C1231" s="18"/>
      <c r="E1231" s="18"/>
    </row>
    <row r="1232" ht="22.5" hidden="1" customHeight="1">
      <c r="A1232" s="18"/>
      <c r="B1232" s="18"/>
      <c r="C1232" s="18"/>
      <c r="E1232" s="18"/>
    </row>
    <row r="1233" ht="22.5" hidden="1" customHeight="1">
      <c r="A1233" s="18"/>
      <c r="B1233" s="18"/>
      <c r="C1233" s="18"/>
      <c r="E1233" s="18"/>
    </row>
    <row r="1234" ht="22.5" hidden="1" customHeight="1">
      <c r="A1234" s="18"/>
      <c r="B1234" s="18"/>
      <c r="C1234" s="18"/>
      <c r="E1234" s="18"/>
    </row>
    <row r="1235" ht="22.5" hidden="1" customHeight="1">
      <c r="A1235" s="18"/>
      <c r="B1235" s="18"/>
      <c r="C1235" s="18"/>
      <c r="E1235" s="18"/>
    </row>
    <row r="1236" ht="22.5" hidden="1" customHeight="1">
      <c r="A1236" s="18"/>
      <c r="B1236" s="18"/>
      <c r="C1236" s="18"/>
      <c r="E1236" s="18"/>
    </row>
    <row r="1237" ht="22.5" hidden="1" customHeight="1">
      <c r="A1237" s="18"/>
      <c r="B1237" s="18"/>
      <c r="C1237" s="18"/>
      <c r="E1237" s="18"/>
    </row>
    <row r="1238" ht="22.5" hidden="1" customHeight="1">
      <c r="A1238" s="18"/>
      <c r="B1238" s="18"/>
      <c r="C1238" s="18"/>
      <c r="E1238" s="18"/>
    </row>
    <row r="1239" ht="22.5" hidden="1" customHeight="1">
      <c r="A1239" s="18"/>
      <c r="B1239" s="18"/>
      <c r="C1239" s="18"/>
      <c r="E1239" s="18"/>
    </row>
    <row r="1240" ht="22.5" hidden="1" customHeight="1">
      <c r="A1240" s="18"/>
      <c r="B1240" s="18"/>
      <c r="C1240" s="18"/>
      <c r="E1240" s="18"/>
    </row>
    <row r="1241" ht="22.5" hidden="1" customHeight="1">
      <c r="A1241" s="18"/>
      <c r="B1241" s="18"/>
      <c r="C1241" s="18"/>
      <c r="E1241" s="18"/>
    </row>
    <row r="1242" ht="22.5" hidden="1" customHeight="1">
      <c r="A1242" s="18"/>
      <c r="B1242" s="18"/>
      <c r="C1242" s="18"/>
      <c r="E1242" s="18"/>
    </row>
    <row r="1243" ht="22.5" hidden="1" customHeight="1">
      <c r="A1243" s="18"/>
      <c r="B1243" s="18"/>
      <c r="C1243" s="18"/>
      <c r="E1243" s="18"/>
    </row>
    <row r="1244" ht="22.5" hidden="1" customHeight="1">
      <c r="A1244" s="18"/>
      <c r="B1244" s="18"/>
      <c r="C1244" s="18"/>
      <c r="E1244" s="18"/>
    </row>
    <row r="1245" ht="22.5" hidden="1" customHeight="1">
      <c r="A1245" s="18"/>
      <c r="B1245" s="18"/>
      <c r="C1245" s="18"/>
      <c r="E1245" s="18"/>
    </row>
    <row r="1246" ht="22.5" hidden="1" customHeight="1">
      <c r="A1246" s="18"/>
      <c r="B1246" s="18"/>
      <c r="C1246" s="18"/>
      <c r="E1246" s="18"/>
    </row>
    <row r="1247" ht="22.5" hidden="1" customHeight="1">
      <c r="A1247" s="18"/>
      <c r="B1247" s="18"/>
      <c r="C1247" s="18"/>
      <c r="E1247" s="18"/>
    </row>
    <row r="1248" ht="22.5" hidden="1" customHeight="1">
      <c r="A1248" s="18"/>
      <c r="B1248" s="18"/>
      <c r="C1248" s="18"/>
      <c r="E1248" s="18"/>
    </row>
    <row r="1249" ht="22.5" hidden="1" customHeight="1">
      <c r="A1249" s="18"/>
      <c r="B1249" s="18"/>
      <c r="C1249" s="18"/>
      <c r="E1249" s="18"/>
    </row>
    <row r="1250" ht="22.5" hidden="1" customHeight="1">
      <c r="A1250" s="18"/>
      <c r="B1250" s="18"/>
      <c r="C1250" s="18"/>
      <c r="E1250" s="18"/>
    </row>
    <row r="1251" ht="22.5" hidden="1" customHeight="1">
      <c r="A1251" s="18"/>
      <c r="B1251" s="18"/>
      <c r="C1251" s="18"/>
      <c r="E1251" s="18"/>
    </row>
    <row r="1252" ht="22.5" hidden="1" customHeight="1">
      <c r="A1252" s="18"/>
      <c r="B1252" s="18"/>
      <c r="C1252" s="18"/>
      <c r="E1252" s="18"/>
    </row>
    <row r="1253" ht="22.5" hidden="1" customHeight="1">
      <c r="A1253" s="18"/>
      <c r="B1253" s="18"/>
      <c r="C1253" s="18"/>
      <c r="E1253" s="18"/>
    </row>
    <row r="1254" ht="22.5" hidden="1" customHeight="1">
      <c r="A1254" s="18"/>
      <c r="B1254" s="18"/>
      <c r="C1254" s="18"/>
      <c r="E1254" s="18"/>
    </row>
    <row r="1255" ht="22.5" hidden="1" customHeight="1">
      <c r="A1255" s="18"/>
      <c r="B1255" s="18"/>
      <c r="C1255" s="18"/>
      <c r="E1255" s="18"/>
    </row>
    <row r="1256" ht="22.5" hidden="1" customHeight="1">
      <c r="A1256" s="18"/>
      <c r="B1256" s="18"/>
      <c r="C1256" s="18"/>
      <c r="E1256" s="18"/>
    </row>
    <row r="1257" ht="22.5" hidden="1" customHeight="1">
      <c r="A1257" s="18"/>
      <c r="B1257" s="18"/>
      <c r="C1257" s="18"/>
      <c r="E1257" s="18"/>
    </row>
    <row r="1258" ht="22.5" hidden="1" customHeight="1">
      <c r="A1258" s="18"/>
      <c r="B1258" s="18"/>
      <c r="C1258" s="18"/>
      <c r="E1258" s="18"/>
    </row>
    <row r="1259" ht="22.5" hidden="1" customHeight="1">
      <c r="A1259" s="18"/>
      <c r="B1259" s="18"/>
      <c r="C1259" s="18"/>
      <c r="E1259" s="18"/>
    </row>
    <row r="1260" ht="22.5" hidden="1" customHeight="1">
      <c r="A1260" s="18"/>
      <c r="B1260" s="18"/>
      <c r="C1260" s="18"/>
      <c r="E1260" s="18"/>
    </row>
    <row r="1261" ht="22.5" hidden="1" customHeight="1">
      <c r="A1261" s="18"/>
      <c r="B1261" s="18"/>
      <c r="C1261" s="18"/>
      <c r="E1261" s="18"/>
    </row>
    <row r="1262" ht="22.5" hidden="1" customHeight="1">
      <c r="A1262" s="18"/>
      <c r="B1262" s="18"/>
      <c r="C1262" s="18"/>
      <c r="E1262" s="18"/>
    </row>
    <row r="1263" ht="22.5" hidden="1" customHeight="1">
      <c r="A1263" s="18"/>
      <c r="B1263" s="18"/>
      <c r="C1263" s="18"/>
      <c r="E1263" s="18"/>
    </row>
    <row r="1264" ht="22.5" hidden="1" customHeight="1">
      <c r="A1264" s="18"/>
      <c r="B1264" s="18"/>
      <c r="C1264" s="18"/>
      <c r="E1264" s="18"/>
    </row>
    <row r="1265" ht="22.5" hidden="1" customHeight="1">
      <c r="A1265" s="18"/>
      <c r="B1265" s="18"/>
      <c r="C1265" s="18"/>
      <c r="E1265" s="18"/>
    </row>
    <row r="1266" ht="22.5" hidden="1" customHeight="1">
      <c r="A1266" s="18"/>
      <c r="B1266" s="18"/>
      <c r="C1266" s="18"/>
      <c r="E1266" s="18"/>
    </row>
    <row r="1267" ht="22.5" hidden="1" customHeight="1">
      <c r="A1267" s="18"/>
      <c r="B1267" s="18"/>
      <c r="C1267" s="18"/>
      <c r="E1267" s="18"/>
    </row>
    <row r="1268" ht="22.5" hidden="1" customHeight="1">
      <c r="A1268" s="18"/>
      <c r="B1268" s="18"/>
      <c r="C1268" s="18"/>
      <c r="E1268" s="18"/>
    </row>
    <row r="1269" ht="22.5" hidden="1" customHeight="1">
      <c r="A1269" s="18"/>
      <c r="B1269" s="18"/>
      <c r="C1269" s="18"/>
      <c r="E1269" s="18"/>
    </row>
    <row r="1270" ht="22.5" hidden="1" customHeight="1">
      <c r="A1270" s="18"/>
      <c r="B1270" s="18"/>
      <c r="C1270" s="18"/>
      <c r="E1270" s="18"/>
    </row>
    <row r="1271" ht="22.5" hidden="1" customHeight="1">
      <c r="A1271" s="18"/>
      <c r="B1271" s="18"/>
      <c r="C1271" s="18"/>
      <c r="E1271" s="18"/>
    </row>
    <row r="1272" ht="22.5" hidden="1" customHeight="1">
      <c r="A1272" s="18"/>
      <c r="B1272" s="18"/>
      <c r="C1272" s="18"/>
      <c r="E1272" s="18"/>
    </row>
    <row r="1273" ht="22.5" hidden="1" customHeight="1">
      <c r="A1273" s="18"/>
      <c r="B1273" s="18"/>
      <c r="C1273" s="18"/>
      <c r="E1273" s="18"/>
    </row>
    <row r="1274" ht="22.5" hidden="1" customHeight="1">
      <c r="A1274" s="18"/>
      <c r="B1274" s="18"/>
      <c r="C1274" s="18"/>
      <c r="E1274" s="18"/>
    </row>
    <row r="1275" ht="22.5" hidden="1" customHeight="1">
      <c r="A1275" s="18"/>
      <c r="B1275" s="18"/>
      <c r="C1275" s="18"/>
      <c r="E1275" s="18"/>
    </row>
    <row r="1276" ht="22.5" hidden="1" customHeight="1">
      <c r="A1276" s="18"/>
      <c r="B1276" s="18"/>
      <c r="C1276" s="18"/>
      <c r="E1276" s="18"/>
    </row>
    <row r="1277" ht="22.5" hidden="1" customHeight="1">
      <c r="A1277" s="18"/>
      <c r="B1277" s="18"/>
      <c r="C1277" s="18"/>
      <c r="E1277" s="18"/>
    </row>
    <row r="1278" ht="22.5" hidden="1" customHeight="1">
      <c r="A1278" s="18"/>
      <c r="B1278" s="18"/>
      <c r="C1278" s="18"/>
      <c r="E1278" s="18"/>
    </row>
    <row r="1279" ht="22.5" hidden="1" customHeight="1">
      <c r="A1279" s="18"/>
      <c r="B1279" s="18"/>
      <c r="C1279" s="18"/>
      <c r="E1279" s="18"/>
    </row>
    <row r="1280" ht="22.5" hidden="1" customHeight="1">
      <c r="A1280" s="18"/>
      <c r="B1280" s="18"/>
      <c r="C1280" s="18"/>
      <c r="E1280" s="18"/>
    </row>
    <row r="1281" ht="22.5" hidden="1" customHeight="1">
      <c r="A1281" s="18"/>
      <c r="B1281" s="18"/>
      <c r="C1281" s="18"/>
      <c r="E1281" s="18"/>
    </row>
    <row r="1282" ht="22.5" hidden="1" customHeight="1">
      <c r="A1282" s="18"/>
      <c r="B1282" s="18"/>
      <c r="C1282" s="18"/>
      <c r="E1282" s="18"/>
    </row>
    <row r="1283" ht="22.5" hidden="1" customHeight="1">
      <c r="A1283" s="18"/>
      <c r="B1283" s="18"/>
      <c r="C1283" s="18"/>
      <c r="E1283" s="18"/>
    </row>
    <row r="1284" ht="22.5" hidden="1" customHeight="1">
      <c r="A1284" s="18"/>
      <c r="B1284" s="18"/>
      <c r="C1284" s="18"/>
      <c r="E1284" s="18"/>
    </row>
    <row r="1285" ht="22.5" hidden="1" customHeight="1">
      <c r="A1285" s="18"/>
      <c r="B1285" s="18"/>
      <c r="C1285" s="18"/>
      <c r="E1285" s="18"/>
    </row>
    <row r="1286" ht="22.5" hidden="1" customHeight="1">
      <c r="A1286" s="18"/>
      <c r="B1286" s="18"/>
      <c r="C1286" s="18"/>
      <c r="E1286" s="18"/>
    </row>
    <row r="1287" ht="22.5" hidden="1" customHeight="1">
      <c r="A1287" s="18"/>
      <c r="B1287" s="18"/>
      <c r="C1287" s="18"/>
      <c r="E1287" s="18"/>
    </row>
    <row r="1288" ht="22.5" hidden="1" customHeight="1">
      <c r="A1288" s="18"/>
      <c r="B1288" s="18"/>
      <c r="C1288" s="18"/>
      <c r="E1288" s="18"/>
    </row>
    <row r="1289" ht="22.5" hidden="1" customHeight="1">
      <c r="A1289" s="18"/>
      <c r="B1289" s="18"/>
      <c r="C1289" s="18"/>
      <c r="E1289" s="18"/>
    </row>
    <row r="1290" ht="22.5" hidden="1" customHeight="1">
      <c r="A1290" s="18"/>
      <c r="B1290" s="18"/>
      <c r="C1290" s="18"/>
      <c r="E1290" s="18"/>
    </row>
    <row r="1291" ht="22.5" hidden="1" customHeight="1">
      <c r="A1291" s="18"/>
      <c r="B1291" s="18"/>
      <c r="C1291" s="18"/>
      <c r="E1291" s="18"/>
    </row>
    <row r="1292" ht="22.5" hidden="1" customHeight="1">
      <c r="A1292" s="18"/>
      <c r="B1292" s="18"/>
      <c r="C1292" s="18"/>
      <c r="E1292" s="18"/>
    </row>
    <row r="1293" ht="22.5" hidden="1" customHeight="1">
      <c r="A1293" s="18"/>
      <c r="B1293" s="18"/>
      <c r="C1293" s="18"/>
      <c r="E1293" s="18"/>
    </row>
    <row r="1294" ht="22.5" hidden="1" customHeight="1">
      <c r="A1294" s="18"/>
      <c r="B1294" s="18"/>
      <c r="C1294" s="18"/>
      <c r="E1294" s="18"/>
    </row>
    <row r="1295" ht="22.5" hidden="1" customHeight="1">
      <c r="A1295" s="18"/>
      <c r="B1295" s="18"/>
      <c r="C1295" s="18"/>
      <c r="E1295" s="18"/>
    </row>
    <row r="1296" ht="22.5" hidden="1" customHeight="1">
      <c r="A1296" s="18"/>
      <c r="B1296" s="18"/>
      <c r="C1296" s="18"/>
      <c r="E1296" s="18"/>
    </row>
    <row r="1297" ht="22.5" hidden="1" customHeight="1">
      <c r="A1297" s="18"/>
      <c r="B1297" s="18"/>
      <c r="C1297" s="18"/>
      <c r="E1297" s="18"/>
    </row>
    <row r="1298" ht="22.5" hidden="1" customHeight="1">
      <c r="A1298" s="18"/>
      <c r="B1298" s="18"/>
      <c r="C1298" s="18"/>
      <c r="E1298" s="18"/>
    </row>
    <row r="1299" ht="22.5" hidden="1" customHeight="1">
      <c r="A1299" s="18"/>
      <c r="B1299" s="18"/>
      <c r="C1299" s="18"/>
      <c r="E1299" s="18"/>
    </row>
    <row r="1300" ht="22.5" hidden="1" customHeight="1">
      <c r="A1300" s="18"/>
      <c r="B1300" s="18"/>
      <c r="C1300" s="18"/>
      <c r="E1300" s="18"/>
    </row>
    <row r="1301" ht="22.5" hidden="1" customHeight="1">
      <c r="A1301" s="18"/>
      <c r="B1301" s="18"/>
      <c r="C1301" s="18"/>
      <c r="E1301" s="18"/>
    </row>
    <row r="1302" ht="22.5" hidden="1" customHeight="1">
      <c r="A1302" s="18"/>
      <c r="B1302" s="18"/>
      <c r="C1302" s="18"/>
      <c r="E1302" s="18"/>
    </row>
    <row r="1303" ht="22.5" hidden="1" customHeight="1">
      <c r="A1303" s="18"/>
      <c r="B1303" s="18"/>
      <c r="C1303" s="18"/>
      <c r="E1303" s="18"/>
    </row>
    <row r="1304" ht="22.5" hidden="1" customHeight="1">
      <c r="A1304" s="18"/>
      <c r="B1304" s="18"/>
      <c r="C1304" s="18"/>
      <c r="E1304" s="18"/>
    </row>
    <row r="1305" ht="22.5" hidden="1" customHeight="1">
      <c r="A1305" s="18"/>
      <c r="B1305" s="18"/>
      <c r="C1305" s="18"/>
      <c r="E1305" s="18"/>
    </row>
    <row r="1306" ht="22.5" hidden="1" customHeight="1">
      <c r="A1306" s="18"/>
      <c r="B1306" s="18"/>
      <c r="C1306" s="18"/>
      <c r="E1306" s="18"/>
    </row>
    <row r="1307" ht="22.5" hidden="1" customHeight="1">
      <c r="A1307" s="18"/>
      <c r="B1307" s="18"/>
      <c r="C1307" s="18"/>
      <c r="E1307" s="18"/>
    </row>
    <row r="1308" ht="22.5" hidden="1" customHeight="1">
      <c r="A1308" s="18"/>
      <c r="B1308" s="18"/>
      <c r="C1308" s="18"/>
      <c r="E1308" s="18"/>
    </row>
    <row r="1309" ht="22.5" hidden="1" customHeight="1">
      <c r="A1309" s="18"/>
      <c r="B1309" s="18"/>
      <c r="C1309" s="18"/>
      <c r="E1309" s="18"/>
    </row>
    <row r="1310" ht="22.5" hidden="1" customHeight="1">
      <c r="A1310" s="18"/>
      <c r="B1310" s="18"/>
      <c r="C1310" s="18"/>
      <c r="E1310" s="18"/>
    </row>
    <row r="1311" ht="22.5" hidden="1" customHeight="1">
      <c r="A1311" s="18"/>
      <c r="B1311" s="18"/>
      <c r="C1311" s="18"/>
      <c r="E1311" s="18"/>
    </row>
    <row r="1312" ht="22.5" hidden="1" customHeight="1">
      <c r="A1312" s="18"/>
      <c r="B1312" s="18"/>
      <c r="C1312" s="18"/>
      <c r="E1312" s="18"/>
    </row>
    <row r="1313" ht="22.5" hidden="1" customHeight="1">
      <c r="A1313" s="18"/>
      <c r="B1313" s="18"/>
      <c r="C1313" s="18"/>
      <c r="E1313" s="18"/>
    </row>
    <row r="1314" ht="22.5" hidden="1" customHeight="1">
      <c r="A1314" s="18"/>
      <c r="B1314" s="18"/>
      <c r="C1314" s="18"/>
      <c r="E1314" s="18"/>
    </row>
    <row r="1315" ht="22.5" hidden="1" customHeight="1">
      <c r="A1315" s="18"/>
      <c r="B1315" s="18"/>
      <c r="C1315" s="18"/>
      <c r="E1315" s="18"/>
    </row>
    <row r="1316" ht="22.5" hidden="1" customHeight="1">
      <c r="A1316" s="18"/>
      <c r="B1316" s="18"/>
      <c r="C1316" s="18"/>
      <c r="E1316" s="18"/>
    </row>
    <row r="1317" ht="22.5" hidden="1" customHeight="1">
      <c r="A1317" s="18"/>
      <c r="B1317" s="18"/>
      <c r="C1317" s="18"/>
      <c r="E1317" s="18"/>
    </row>
    <row r="1318" ht="22.5" hidden="1" customHeight="1">
      <c r="A1318" s="18"/>
      <c r="B1318" s="18"/>
      <c r="C1318" s="18"/>
      <c r="E1318" s="18"/>
    </row>
    <row r="1319" ht="22.5" hidden="1" customHeight="1">
      <c r="A1319" s="18"/>
      <c r="B1319" s="18"/>
      <c r="C1319" s="18"/>
      <c r="E1319" s="18"/>
    </row>
    <row r="1320" ht="22.5" hidden="1" customHeight="1">
      <c r="A1320" s="18"/>
      <c r="B1320" s="18"/>
      <c r="C1320" s="18"/>
      <c r="E1320" s="18"/>
    </row>
    <row r="1321" ht="22.5" hidden="1" customHeight="1">
      <c r="A1321" s="18"/>
      <c r="B1321" s="18"/>
      <c r="C1321" s="18"/>
      <c r="E1321" s="18"/>
    </row>
    <row r="1322" ht="22.5" hidden="1" customHeight="1">
      <c r="A1322" s="18"/>
      <c r="B1322" s="18"/>
      <c r="C1322" s="18"/>
      <c r="E1322" s="18"/>
    </row>
    <row r="1323" ht="22.5" hidden="1" customHeight="1">
      <c r="A1323" s="18"/>
      <c r="B1323" s="18"/>
      <c r="C1323" s="18"/>
      <c r="E1323" s="18"/>
    </row>
    <row r="1324" ht="22.5" hidden="1" customHeight="1">
      <c r="A1324" s="18"/>
      <c r="B1324" s="18"/>
      <c r="C1324" s="18"/>
      <c r="E1324" s="18"/>
    </row>
    <row r="1325" ht="22.5" hidden="1" customHeight="1">
      <c r="A1325" s="18"/>
      <c r="B1325" s="18"/>
      <c r="C1325" s="18"/>
      <c r="E1325" s="18"/>
    </row>
    <row r="1326" ht="22.5" hidden="1" customHeight="1">
      <c r="A1326" s="18"/>
      <c r="B1326" s="18"/>
      <c r="C1326" s="18"/>
      <c r="E1326" s="18"/>
    </row>
    <row r="1327" ht="22.5" hidden="1" customHeight="1">
      <c r="A1327" s="18"/>
      <c r="B1327" s="18"/>
      <c r="C1327" s="18"/>
      <c r="E1327" s="18"/>
    </row>
    <row r="1328" ht="22.5" hidden="1" customHeight="1">
      <c r="A1328" s="18"/>
      <c r="B1328" s="18"/>
      <c r="C1328" s="18"/>
      <c r="E1328" s="18"/>
    </row>
    <row r="1329" ht="22.5" hidden="1" customHeight="1">
      <c r="A1329" s="18"/>
      <c r="B1329" s="18"/>
      <c r="C1329" s="18"/>
      <c r="E1329" s="18"/>
    </row>
    <row r="1330" ht="22.5" hidden="1" customHeight="1">
      <c r="A1330" s="18"/>
      <c r="B1330" s="18"/>
      <c r="C1330" s="18"/>
      <c r="E1330" s="18"/>
    </row>
    <row r="1331" ht="22.5" hidden="1" customHeight="1">
      <c r="A1331" s="18"/>
      <c r="B1331" s="18"/>
      <c r="C1331" s="18"/>
      <c r="E1331" s="18"/>
    </row>
    <row r="1332" ht="22.5" hidden="1" customHeight="1">
      <c r="A1332" s="18"/>
      <c r="B1332" s="18"/>
      <c r="C1332" s="18"/>
      <c r="E1332" s="18"/>
    </row>
    <row r="1333" ht="22.5" hidden="1" customHeight="1">
      <c r="A1333" s="18"/>
      <c r="B1333" s="18"/>
      <c r="C1333" s="18"/>
      <c r="E1333" s="18"/>
    </row>
    <row r="1334" ht="22.5" hidden="1" customHeight="1">
      <c r="A1334" s="18"/>
      <c r="B1334" s="18"/>
      <c r="C1334" s="18"/>
      <c r="E1334" s="18"/>
    </row>
    <row r="1335" ht="22.5" hidden="1" customHeight="1">
      <c r="A1335" s="18"/>
      <c r="B1335" s="18"/>
      <c r="C1335" s="18"/>
      <c r="E1335" s="18"/>
    </row>
    <row r="1336" ht="22.5" hidden="1" customHeight="1">
      <c r="A1336" s="18"/>
      <c r="B1336" s="18"/>
      <c r="C1336" s="18"/>
      <c r="E1336" s="18"/>
    </row>
    <row r="1337" ht="22.5" hidden="1" customHeight="1">
      <c r="A1337" s="18"/>
      <c r="B1337" s="18"/>
      <c r="C1337" s="18"/>
      <c r="E1337" s="18"/>
    </row>
    <row r="1338" ht="22.5" hidden="1" customHeight="1">
      <c r="A1338" s="18"/>
      <c r="B1338" s="18"/>
      <c r="C1338" s="18"/>
      <c r="E1338" s="18"/>
    </row>
    <row r="1339" ht="22.5" hidden="1" customHeight="1">
      <c r="A1339" s="18"/>
      <c r="B1339" s="18"/>
      <c r="C1339" s="18"/>
      <c r="E1339" s="18"/>
    </row>
    <row r="1340" ht="22.5" hidden="1" customHeight="1">
      <c r="A1340" s="18"/>
      <c r="B1340" s="18"/>
      <c r="C1340" s="18"/>
      <c r="E1340" s="18"/>
    </row>
    <row r="1341" ht="22.5" hidden="1" customHeight="1">
      <c r="A1341" s="18"/>
      <c r="B1341" s="18"/>
      <c r="C1341" s="18"/>
      <c r="E1341" s="18"/>
    </row>
    <row r="1342" ht="22.5" hidden="1" customHeight="1">
      <c r="A1342" s="18"/>
      <c r="B1342" s="18"/>
      <c r="C1342" s="18"/>
      <c r="E1342" s="18"/>
    </row>
    <row r="1343" ht="22.5" hidden="1" customHeight="1">
      <c r="A1343" s="18"/>
      <c r="B1343" s="18"/>
      <c r="C1343" s="18"/>
      <c r="E1343" s="18"/>
    </row>
    <row r="1344" ht="22.5" hidden="1" customHeight="1">
      <c r="A1344" s="18"/>
      <c r="B1344" s="18"/>
      <c r="C1344" s="18"/>
      <c r="E1344" s="18"/>
    </row>
    <row r="1345" ht="22.5" hidden="1" customHeight="1">
      <c r="A1345" s="18"/>
      <c r="B1345" s="18"/>
      <c r="C1345" s="18"/>
      <c r="E1345" s="18"/>
    </row>
    <row r="1346" ht="22.5" hidden="1" customHeight="1">
      <c r="A1346" s="18"/>
      <c r="B1346" s="18"/>
      <c r="C1346" s="18"/>
      <c r="E1346" s="18"/>
    </row>
    <row r="1347" ht="22.5" hidden="1" customHeight="1">
      <c r="A1347" s="18"/>
      <c r="B1347" s="18"/>
      <c r="C1347" s="18"/>
      <c r="E1347" s="18"/>
    </row>
    <row r="1348" ht="22.5" hidden="1" customHeight="1">
      <c r="A1348" s="18"/>
      <c r="B1348" s="18"/>
      <c r="C1348" s="18"/>
      <c r="E1348" s="18"/>
    </row>
    <row r="1349" ht="22.5" hidden="1" customHeight="1">
      <c r="A1349" s="18"/>
      <c r="B1349" s="18"/>
      <c r="C1349" s="18"/>
      <c r="E1349" s="18"/>
    </row>
    <row r="1350" ht="22.5" hidden="1" customHeight="1">
      <c r="A1350" s="18"/>
      <c r="B1350" s="18"/>
      <c r="C1350" s="18"/>
      <c r="E1350" s="18"/>
    </row>
    <row r="1351" ht="22.5" hidden="1" customHeight="1">
      <c r="A1351" s="18"/>
      <c r="B1351" s="18"/>
      <c r="C1351" s="18"/>
      <c r="E1351" s="18"/>
    </row>
    <row r="1352" ht="22.5" hidden="1" customHeight="1">
      <c r="A1352" s="18"/>
      <c r="B1352" s="18"/>
      <c r="C1352" s="18"/>
      <c r="E1352" s="18"/>
    </row>
    <row r="1353" ht="22.5" hidden="1" customHeight="1">
      <c r="A1353" s="18"/>
      <c r="B1353" s="18"/>
      <c r="C1353" s="18"/>
      <c r="E1353" s="18"/>
    </row>
    <row r="1354" ht="22.5" hidden="1" customHeight="1">
      <c r="A1354" s="18"/>
      <c r="B1354" s="18"/>
      <c r="C1354" s="18"/>
      <c r="E1354" s="18"/>
    </row>
    <row r="1355" ht="22.5" hidden="1" customHeight="1">
      <c r="A1355" s="18"/>
      <c r="B1355" s="18"/>
      <c r="C1355" s="18"/>
      <c r="E1355" s="18"/>
    </row>
    <row r="1356" ht="22.5" hidden="1" customHeight="1">
      <c r="A1356" s="18"/>
      <c r="B1356" s="18"/>
      <c r="C1356" s="18"/>
      <c r="E1356" s="18"/>
    </row>
    <row r="1357" ht="22.5" hidden="1" customHeight="1">
      <c r="A1357" s="18"/>
      <c r="B1357" s="18"/>
      <c r="C1357" s="18"/>
      <c r="E1357" s="18"/>
    </row>
    <row r="1358" ht="22.5" hidden="1" customHeight="1">
      <c r="A1358" s="18"/>
      <c r="B1358" s="18"/>
      <c r="C1358" s="18"/>
      <c r="E1358" s="18"/>
    </row>
    <row r="1359" ht="22.5" hidden="1" customHeight="1">
      <c r="A1359" s="18"/>
      <c r="B1359" s="18"/>
      <c r="C1359" s="18"/>
      <c r="E1359" s="18"/>
    </row>
    <row r="1360" ht="22.5" hidden="1" customHeight="1">
      <c r="A1360" s="18"/>
      <c r="B1360" s="18"/>
      <c r="C1360" s="18"/>
      <c r="E1360" s="18"/>
    </row>
    <row r="1361" ht="22.5" hidden="1" customHeight="1">
      <c r="A1361" s="18"/>
      <c r="B1361" s="18"/>
      <c r="C1361" s="18"/>
      <c r="E1361" s="18"/>
    </row>
    <row r="1362" ht="22.5" hidden="1" customHeight="1">
      <c r="A1362" s="18"/>
      <c r="B1362" s="18"/>
      <c r="C1362" s="18"/>
      <c r="E1362" s="18"/>
    </row>
    <row r="1363" ht="22.5" hidden="1" customHeight="1">
      <c r="A1363" s="18"/>
      <c r="B1363" s="18"/>
      <c r="C1363" s="18"/>
      <c r="E1363" s="18"/>
    </row>
    <row r="1364" ht="22.5" hidden="1" customHeight="1">
      <c r="A1364" s="18"/>
      <c r="B1364" s="18"/>
      <c r="C1364" s="18"/>
      <c r="E1364" s="18"/>
    </row>
    <row r="1365" ht="22.5" hidden="1" customHeight="1">
      <c r="A1365" s="18"/>
      <c r="B1365" s="18"/>
      <c r="C1365" s="18"/>
      <c r="E1365" s="18"/>
    </row>
    <row r="1366" ht="22.5" hidden="1" customHeight="1">
      <c r="A1366" s="18"/>
      <c r="B1366" s="18"/>
      <c r="C1366" s="18"/>
      <c r="E1366" s="18"/>
    </row>
    <row r="1367" ht="22.5" hidden="1" customHeight="1">
      <c r="A1367" s="18"/>
      <c r="B1367" s="18"/>
      <c r="C1367" s="18"/>
      <c r="E1367" s="18"/>
    </row>
    <row r="1368" ht="22.5" hidden="1" customHeight="1">
      <c r="A1368" s="18"/>
      <c r="B1368" s="18"/>
      <c r="C1368" s="18"/>
      <c r="E1368" s="18"/>
    </row>
    <row r="1369" ht="22.5" hidden="1" customHeight="1">
      <c r="A1369" s="18"/>
      <c r="B1369" s="18"/>
      <c r="C1369" s="18"/>
      <c r="E1369" s="18"/>
    </row>
    <row r="1370" ht="22.5" hidden="1" customHeight="1">
      <c r="A1370" s="18"/>
      <c r="B1370" s="18"/>
      <c r="C1370" s="18"/>
      <c r="E1370" s="18"/>
    </row>
    <row r="1371" ht="22.5" hidden="1" customHeight="1">
      <c r="A1371" s="18"/>
      <c r="B1371" s="18"/>
      <c r="C1371" s="18"/>
      <c r="E1371" s="18"/>
    </row>
    <row r="1372" ht="22.5" hidden="1" customHeight="1">
      <c r="A1372" s="18"/>
      <c r="B1372" s="18"/>
      <c r="C1372" s="18"/>
      <c r="E1372" s="18"/>
    </row>
    <row r="1373" ht="22.5" hidden="1" customHeight="1">
      <c r="A1373" s="18"/>
      <c r="B1373" s="18"/>
      <c r="C1373" s="18"/>
      <c r="E1373" s="18"/>
    </row>
    <row r="1374" ht="22.5" hidden="1" customHeight="1">
      <c r="A1374" s="18"/>
      <c r="B1374" s="18"/>
      <c r="C1374" s="18"/>
      <c r="E1374" s="18"/>
    </row>
    <row r="1375" ht="22.5" hidden="1" customHeight="1">
      <c r="A1375" s="18"/>
      <c r="B1375" s="18"/>
      <c r="C1375" s="18"/>
      <c r="E1375" s="18"/>
    </row>
    <row r="1376" ht="22.5" hidden="1" customHeight="1">
      <c r="A1376" s="18"/>
      <c r="B1376" s="18"/>
      <c r="C1376" s="18"/>
      <c r="E1376" s="18"/>
    </row>
    <row r="1377" ht="22.5" hidden="1" customHeight="1">
      <c r="A1377" s="18"/>
      <c r="B1377" s="18"/>
      <c r="C1377" s="18"/>
      <c r="E1377" s="18"/>
    </row>
    <row r="1378" ht="22.5" hidden="1" customHeight="1">
      <c r="A1378" s="18"/>
      <c r="B1378" s="18"/>
      <c r="C1378" s="18"/>
      <c r="E1378" s="18"/>
    </row>
    <row r="1379" ht="22.5" hidden="1" customHeight="1">
      <c r="A1379" s="18"/>
      <c r="B1379" s="18"/>
      <c r="C1379" s="18"/>
      <c r="E1379" s="18"/>
    </row>
    <row r="1380" ht="22.5" hidden="1" customHeight="1">
      <c r="A1380" s="18"/>
      <c r="B1380" s="18"/>
      <c r="C1380" s="18"/>
      <c r="E1380" s="18"/>
    </row>
    <row r="1381" ht="22.5" hidden="1" customHeight="1">
      <c r="A1381" s="18"/>
      <c r="B1381" s="18"/>
      <c r="C1381" s="18"/>
      <c r="E1381" s="18"/>
    </row>
    <row r="1382" ht="22.5" hidden="1" customHeight="1">
      <c r="A1382" s="18"/>
      <c r="B1382" s="18"/>
      <c r="C1382" s="18"/>
      <c r="E1382" s="18"/>
    </row>
    <row r="1383" ht="22.5" hidden="1" customHeight="1">
      <c r="A1383" s="18"/>
      <c r="B1383" s="18"/>
      <c r="C1383" s="18"/>
      <c r="E1383" s="18"/>
    </row>
    <row r="1384" ht="22.5" hidden="1" customHeight="1">
      <c r="A1384" s="18"/>
      <c r="B1384" s="18"/>
      <c r="C1384" s="18"/>
      <c r="E1384" s="18"/>
    </row>
    <row r="1385" ht="22.5" hidden="1" customHeight="1">
      <c r="A1385" s="18"/>
      <c r="B1385" s="18"/>
      <c r="C1385" s="18"/>
      <c r="E1385" s="18"/>
    </row>
    <row r="1386" ht="22.5" hidden="1" customHeight="1">
      <c r="A1386" s="18"/>
      <c r="B1386" s="18"/>
      <c r="C1386" s="18"/>
      <c r="E1386" s="18"/>
    </row>
    <row r="1387" ht="22.5" hidden="1" customHeight="1">
      <c r="A1387" s="18"/>
      <c r="B1387" s="18"/>
      <c r="C1387" s="18"/>
      <c r="E1387" s="18"/>
    </row>
    <row r="1388" ht="22.5" hidden="1" customHeight="1">
      <c r="A1388" s="18"/>
      <c r="B1388" s="18"/>
      <c r="C1388" s="18"/>
      <c r="E1388" s="18"/>
    </row>
    <row r="1389" ht="22.5" hidden="1" customHeight="1">
      <c r="A1389" s="18"/>
      <c r="B1389" s="18"/>
      <c r="C1389" s="18"/>
      <c r="E1389" s="18"/>
    </row>
    <row r="1390" ht="22.5" hidden="1" customHeight="1">
      <c r="A1390" s="18"/>
      <c r="B1390" s="18"/>
      <c r="C1390" s="18"/>
      <c r="E1390" s="18"/>
    </row>
    <row r="1391" ht="22.5" hidden="1" customHeight="1">
      <c r="A1391" s="18"/>
      <c r="B1391" s="18"/>
      <c r="C1391" s="18"/>
      <c r="E1391" s="18"/>
    </row>
    <row r="1392" ht="22.5" hidden="1" customHeight="1">
      <c r="A1392" s="18"/>
      <c r="B1392" s="18"/>
      <c r="C1392" s="18"/>
      <c r="E1392" s="18"/>
    </row>
    <row r="1393" ht="22.5" hidden="1" customHeight="1">
      <c r="A1393" s="18"/>
      <c r="B1393" s="18"/>
      <c r="C1393" s="18"/>
      <c r="E1393" s="18"/>
    </row>
    <row r="1394" ht="22.5" hidden="1" customHeight="1">
      <c r="A1394" s="18"/>
      <c r="B1394" s="18"/>
      <c r="C1394" s="18"/>
      <c r="E1394" s="18"/>
    </row>
    <row r="1395" ht="22.5" hidden="1" customHeight="1">
      <c r="A1395" s="18"/>
      <c r="B1395" s="18"/>
      <c r="C1395" s="18"/>
      <c r="E1395" s="18"/>
    </row>
    <row r="1396" ht="22.5" hidden="1" customHeight="1">
      <c r="A1396" s="18"/>
      <c r="B1396" s="18"/>
      <c r="C1396" s="18"/>
      <c r="E1396" s="18"/>
    </row>
    <row r="1397" ht="22.5" hidden="1" customHeight="1">
      <c r="A1397" s="18"/>
      <c r="B1397" s="18"/>
      <c r="C1397" s="18"/>
      <c r="E1397" s="18"/>
    </row>
    <row r="1398" ht="22.5" hidden="1" customHeight="1">
      <c r="A1398" s="18"/>
      <c r="B1398" s="18"/>
      <c r="C1398" s="18"/>
      <c r="E1398" s="18"/>
    </row>
    <row r="1399" ht="22.5" hidden="1" customHeight="1">
      <c r="A1399" s="18"/>
      <c r="B1399" s="18"/>
      <c r="C1399" s="18"/>
      <c r="E1399" s="18"/>
    </row>
    <row r="1400" ht="22.5" hidden="1" customHeight="1">
      <c r="A1400" s="18"/>
      <c r="B1400" s="18"/>
      <c r="C1400" s="18"/>
      <c r="E1400" s="18"/>
    </row>
    <row r="1401" ht="22.5" hidden="1" customHeight="1">
      <c r="A1401" s="18"/>
      <c r="B1401" s="18"/>
      <c r="C1401" s="18"/>
      <c r="E1401" s="18"/>
    </row>
    <row r="1402" ht="22.5" hidden="1" customHeight="1">
      <c r="A1402" s="18"/>
      <c r="B1402" s="18"/>
      <c r="C1402" s="18"/>
      <c r="E1402" s="18"/>
    </row>
    <row r="1403" ht="22.5" hidden="1" customHeight="1">
      <c r="A1403" s="18"/>
      <c r="B1403" s="18"/>
      <c r="C1403" s="18"/>
      <c r="E1403" s="18"/>
    </row>
    <row r="1404" ht="22.5" hidden="1" customHeight="1">
      <c r="A1404" s="18"/>
      <c r="B1404" s="18"/>
      <c r="C1404" s="18"/>
      <c r="E1404" s="18"/>
    </row>
    <row r="1405" ht="22.5" hidden="1" customHeight="1">
      <c r="A1405" s="18"/>
      <c r="B1405" s="18"/>
      <c r="C1405" s="18"/>
      <c r="E1405" s="18"/>
    </row>
    <row r="1406" ht="22.5" hidden="1" customHeight="1">
      <c r="A1406" s="18"/>
      <c r="B1406" s="18"/>
      <c r="C1406" s="18"/>
      <c r="E1406" s="18"/>
    </row>
    <row r="1407" ht="22.5" hidden="1" customHeight="1">
      <c r="A1407" s="18"/>
      <c r="B1407" s="18"/>
      <c r="C1407" s="18"/>
      <c r="E1407" s="18"/>
    </row>
    <row r="1408" ht="22.5" hidden="1" customHeight="1">
      <c r="A1408" s="18"/>
      <c r="B1408" s="18"/>
      <c r="C1408" s="18"/>
      <c r="E1408" s="18"/>
    </row>
    <row r="1409" ht="22.5" hidden="1" customHeight="1">
      <c r="A1409" s="18"/>
      <c r="B1409" s="18"/>
      <c r="C1409" s="18"/>
      <c r="E1409" s="18"/>
    </row>
    <row r="1410" ht="22.5" hidden="1" customHeight="1">
      <c r="A1410" s="18"/>
      <c r="B1410" s="18"/>
      <c r="C1410" s="18"/>
      <c r="E1410" s="18"/>
    </row>
    <row r="1411" ht="22.5" hidden="1" customHeight="1">
      <c r="A1411" s="18"/>
      <c r="B1411" s="18"/>
      <c r="C1411" s="18"/>
      <c r="E1411" s="18"/>
    </row>
    <row r="1412" ht="22.5" hidden="1" customHeight="1">
      <c r="A1412" s="18"/>
      <c r="B1412" s="18"/>
      <c r="C1412" s="18"/>
      <c r="E1412" s="18"/>
    </row>
    <row r="1413" ht="22.5" hidden="1" customHeight="1">
      <c r="A1413" s="18"/>
      <c r="B1413" s="18"/>
      <c r="C1413" s="18"/>
      <c r="E1413" s="18"/>
    </row>
    <row r="1414" ht="22.5" hidden="1" customHeight="1">
      <c r="A1414" s="18"/>
      <c r="B1414" s="18"/>
      <c r="C1414" s="18"/>
      <c r="E1414" s="18"/>
    </row>
    <row r="1415" ht="22.5" hidden="1" customHeight="1">
      <c r="A1415" s="18"/>
      <c r="B1415" s="18"/>
      <c r="C1415" s="18"/>
      <c r="E1415" s="18"/>
    </row>
    <row r="1416" ht="22.5" hidden="1" customHeight="1">
      <c r="A1416" s="18"/>
      <c r="B1416" s="18"/>
      <c r="C1416" s="18"/>
      <c r="E1416" s="18"/>
    </row>
    <row r="1417" ht="22.5" hidden="1" customHeight="1">
      <c r="A1417" s="18"/>
      <c r="B1417" s="18"/>
      <c r="C1417" s="18"/>
      <c r="E1417" s="18"/>
    </row>
    <row r="1418" ht="22.5" hidden="1" customHeight="1">
      <c r="A1418" s="18"/>
      <c r="B1418" s="18"/>
      <c r="C1418" s="18"/>
      <c r="E1418" s="18"/>
    </row>
    <row r="1419" ht="22.5" hidden="1" customHeight="1">
      <c r="A1419" s="18"/>
      <c r="B1419" s="18"/>
      <c r="C1419" s="18"/>
      <c r="E1419" s="18"/>
    </row>
    <row r="1420" ht="22.5" hidden="1" customHeight="1">
      <c r="A1420" s="18"/>
      <c r="B1420" s="18"/>
      <c r="C1420" s="18"/>
      <c r="E1420" s="18"/>
    </row>
    <row r="1421" ht="22.5" hidden="1" customHeight="1">
      <c r="A1421" s="18"/>
      <c r="B1421" s="18"/>
      <c r="C1421" s="18"/>
      <c r="E1421" s="18"/>
    </row>
    <row r="1422" ht="22.5" hidden="1" customHeight="1">
      <c r="A1422" s="18"/>
      <c r="B1422" s="18"/>
      <c r="C1422" s="18"/>
      <c r="E1422" s="18"/>
    </row>
    <row r="1423" ht="22.5" hidden="1" customHeight="1">
      <c r="A1423" s="18"/>
      <c r="B1423" s="18"/>
      <c r="C1423" s="18"/>
      <c r="E1423" s="18"/>
    </row>
    <row r="1424" ht="22.5" hidden="1" customHeight="1">
      <c r="A1424" s="18"/>
      <c r="B1424" s="18"/>
      <c r="C1424" s="18"/>
      <c r="E1424" s="18"/>
    </row>
    <row r="1425" ht="22.5" hidden="1" customHeight="1">
      <c r="A1425" s="18"/>
      <c r="B1425" s="18"/>
      <c r="C1425" s="18"/>
      <c r="E1425" s="18"/>
    </row>
    <row r="1426" ht="22.5" hidden="1" customHeight="1">
      <c r="A1426" s="18"/>
      <c r="B1426" s="18"/>
      <c r="C1426" s="18"/>
      <c r="E1426" s="18"/>
    </row>
    <row r="1427" ht="22.5" hidden="1" customHeight="1">
      <c r="A1427" s="18"/>
      <c r="B1427" s="18"/>
      <c r="C1427" s="18"/>
      <c r="E1427" s="18"/>
    </row>
    <row r="1428" ht="22.5" hidden="1" customHeight="1">
      <c r="A1428" s="18"/>
      <c r="B1428" s="18"/>
      <c r="C1428" s="18"/>
      <c r="E1428" s="18"/>
    </row>
    <row r="1429" ht="22.5" hidden="1" customHeight="1">
      <c r="A1429" s="18"/>
      <c r="B1429" s="18"/>
      <c r="C1429" s="18"/>
      <c r="E1429" s="18"/>
    </row>
    <row r="1430" ht="22.5" hidden="1" customHeight="1">
      <c r="A1430" s="18"/>
      <c r="B1430" s="18"/>
      <c r="C1430" s="18"/>
      <c r="E1430" s="18"/>
    </row>
    <row r="1431" ht="22.5" hidden="1" customHeight="1">
      <c r="A1431" s="18"/>
      <c r="B1431" s="18"/>
      <c r="C1431" s="18"/>
      <c r="E1431" s="18"/>
    </row>
    <row r="1432" ht="22.5" hidden="1" customHeight="1">
      <c r="A1432" s="18"/>
      <c r="B1432" s="18"/>
      <c r="C1432" s="18"/>
      <c r="E1432" s="18"/>
    </row>
    <row r="1433" ht="22.5" hidden="1" customHeight="1">
      <c r="A1433" s="18"/>
      <c r="B1433" s="18"/>
      <c r="C1433" s="18"/>
      <c r="E1433" s="18"/>
    </row>
    <row r="1434" ht="22.5" hidden="1" customHeight="1">
      <c r="A1434" s="18"/>
      <c r="B1434" s="18"/>
      <c r="C1434" s="18"/>
      <c r="E1434" s="18"/>
    </row>
    <row r="1435" ht="22.5" hidden="1" customHeight="1">
      <c r="A1435" s="18"/>
      <c r="B1435" s="18"/>
      <c r="C1435" s="18"/>
      <c r="E1435" s="18"/>
    </row>
    <row r="1436" ht="22.5" hidden="1" customHeight="1">
      <c r="A1436" s="18"/>
      <c r="B1436" s="18"/>
      <c r="C1436" s="18"/>
      <c r="E1436" s="18"/>
    </row>
    <row r="1437" ht="22.5" hidden="1" customHeight="1">
      <c r="A1437" s="18"/>
      <c r="B1437" s="18"/>
      <c r="C1437" s="18"/>
      <c r="E1437" s="18"/>
    </row>
    <row r="1438" ht="22.5" hidden="1" customHeight="1">
      <c r="A1438" s="18"/>
      <c r="B1438" s="18"/>
      <c r="C1438" s="18"/>
      <c r="E1438" s="18"/>
    </row>
    <row r="1439" ht="22.5" hidden="1" customHeight="1">
      <c r="A1439" s="18"/>
      <c r="B1439" s="18"/>
      <c r="C1439" s="18"/>
      <c r="E1439" s="18"/>
    </row>
    <row r="1440" ht="22.5" hidden="1" customHeight="1">
      <c r="A1440" s="18"/>
      <c r="B1440" s="18"/>
      <c r="C1440" s="18"/>
      <c r="E1440" s="18"/>
    </row>
    <row r="1441" ht="22.5" hidden="1" customHeight="1">
      <c r="A1441" s="18"/>
      <c r="B1441" s="18"/>
      <c r="C1441" s="18"/>
      <c r="E1441" s="18"/>
    </row>
    <row r="1442" ht="22.5" hidden="1" customHeight="1">
      <c r="A1442" s="18"/>
      <c r="B1442" s="18"/>
      <c r="C1442" s="18"/>
      <c r="E1442" s="18"/>
    </row>
    <row r="1443" ht="22.5" hidden="1" customHeight="1">
      <c r="A1443" s="18"/>
      <c r="B1443" s="18"/>
      <c r="C1443" s="18"/>
      <c r="E1443" s="18"/>
    </row>
    <row r="1444" ht="22.5" hidden="1" customHeight="1">
      <c r="A1444" s="18"/>
      <c r="B1444" s="18"/>
      <c r="C1444" s="18"/>
      <c r="E1444" s="18"/>
    </row>
    <row r="1445" ht="22.5" hidden="1" customHeight="1">
      <c r="A1445" s="18"/>
      <c r="B1445" s="18"/>
      <c r="C1445" s="18"/>
      <c r="E1445" s="18"/>
    </row>
    <row r="1446" ht="22.5" hidden="1" customHeight="1">
      <c r="A1446" s="18"/>
      <c r="B1446" s="18"/>
      <c r="C1446" s="18"/>
      <c r="E1446" s="18"/>
    </row>
    <row r="1447" ht="22.5" hidden="1" customHeight="1">
      <c r="A1447" s="18"/>
      <c r="B1447" s="18"/>
      <c r="C1447" s="18"/>
      <c r="E1447" s="18"/>
    </row>
    <row r="1448" ht="22.5" hidden="1" customHeight="1">
      <c r="A1448" s="18"/>
      <c r="B1448" s="18"/>
      <c r="C1448" s="18"/>
      <c r="E1448" s="18"/>
    </row>
    <row r="1449" ht="22.5" hidden="1" customHeight="1">
      <c r="A1449" s="18"/>
      <c r="B1449" s="18"/>
      <c r="C1449" s="18"/>
      <c r="E1449" s="18"/>
    </row>
    <row r="1450" ht="22.5" hidden="1" customHeight="1">
      <c r="A1450" s="18"/>
      <c r="B1450" s="18"/>
      <c r="C1450" s="18"/>
      <c r="E1450" s="18"/>
    </row>
    <row r="1451" ht="22.5" hidden="1" customHeight="1">
      <c r="A1451" s="18"/>
      <c r="B1451" s="18"/>
      <c r="C1451" s="18"/>
      <c r="E1451" s="18"/>
    </row>
    <row r="1452" ht="22.5" hidden="1" customHeight="1">
      <c r="A1452" s="18"/>
      <c r="B1452" s="18"/>
      <c r="C1452" s="18"/>
      <c r="E1452" s="18"/>
    </row>
    <row r="1453" ht="22.5" hidden="1" customHeight="1">
      <c r="A1453" s="18"/>
      <c r="B1453" s="18"/>
      <c r="C1453" s="18"/>
      <c r="E1453" s="18"/>
    </row>
    <row r="1454" ht="22.5" hidden="1" customHeight="1">
      <c r="A1454" s="18"/>
      <c r="B1454" s="18"/>
      <c r="C1454" s="18"/>
      <c r="E1454" s="18"/>
    </row>
    <row r="1455" ht="22.5" hidden="1" customHeight="1">
      <c r="A1455" s="18"/>
      <c r="B1455" s="18"/>
      <c r="C1455" s="18"/>
      <c r="E1455" s="18"/>
    </row>
    <row r="1456" ht="22.5" hidden="1" customHeight="1">
      <c r="A1456" s="18"/>
      <c r="B1456" s="18"/>
      <c r="C1456" s="18"/>
      <c r="E1456" s="18"/>
    </row>
    <row r="1457" ht="22.5" hidden="1" customHeight="1">
      <c r="A1457" s="18"/>
      <c r="B1457" s="18"/>
      <c r="C1457" s="18"/>
      <c r="E1457" s="18"/>
    </row>
    <row r="1458" ht="22.5" hidden="1" customHeight="1">
      <c r="A1458" s="18"/>
      <c r="B1458" s="18"/>
      <c r="C1458" s="18"/>
      <c r="E1458" s="18"/>
    </row>
    <row r="1459" ht="22.5" hidden="1" customHeight="1">
      <c r="A1459" s="18"/>
      <c r="B1459" s="18"/>
      <c r="C1459" s="18"/>
      <c r="E1459" s="18"/>
    </row>
    <row r="1460" ht="22.5" hidden="1" customHeight="1">
      <c r="A1460" s="18"/>
      <c r="B1460" s="18"/>
      <c r="C1460" s="18"/>
      <c r="E1460" s="18"/>
    </row>
    <row r="1461" ht="22.5" hidden="1" customHeight="1">
      <c r="A1461" s="18"/>
      <c r="B1461" s="18"/>
      <c r="C1461" s="18"/>
      <c r="E1461" s="18"/>
    </row>
    <row r="1462" ht="22.5" hidden="1" customHeight="1">
      <c r="A1462" s="18"/>
      <c r="B1462" s="18"/>
      <c r="C1462" s="18"/>
      <c r="E1462" s="18"/>
    </row>
    <row r="1463" ht="22.5" hidden="1" customHeight="1">
      <c r="A1463" s="18"/>
      <c r="B1463" s="18"/>
      <c r="C1463" s="18"/>
      <c r="E1463" s="18"/>
    </row>
    <row r="1464" ht="22.5" hidden="1" customHeight="1">
      <c r="A1464" s="18"/>
      <c r="B1464" s="18"/>
      <c r="C1464" s="18"/>
      <c r="E1464" s="18"/>
    </row>
    <row r="1465" ht="22.5" hidden="1" customHeight="1">
      <c r="A1465" s="18"/>
      <c r="B1465" s="18"/>
      <c r="C1465" s="18"/>
      <c r="E1465" s="18"/>
    </row>
    <row r="1466" ht="22.5" hidden="1" customHeight="1">
      <c r="A1466" s="18"/>
      <c r="B1466" s="18"/>
      <c r="C1466" s="18"/>
      <c r="E1466" s="18"/>
    </row>
    <row r="1467" ht="22.5" hidden="1" customHeight="1">
      <c r="A1467" s="18"/>
      <c r="B1467" s="18"/>
      <c r="C1467" s="18"/>
      <c r="E1467" s="18"/>
    </row>
    <row r="1468" ht="22.5" hidden="1" customHeight="1">
      <c r="A1468" s="18"/>
      <c r="B1468" s="18"/>
      <c r="C1468" s="18"/>
      <c r="E1468" s="18"/>
    </row>
    <row r="1469" ht="22.5" hidden="1" customHeight="1">
      <c r="A1469" s="18"/>
      <c r="B1469" s="18"/>
      <c r="C1469" s="18"/>
      <c r="E1469" s="18"/>
    </row>
    <row r="1470" ht="22.5" hidden="1" customHeight="1">
      <c r="A1470" s="18"/>
      <c r="B1470" s="18"/>
      <c r="C1470" s="18"/>
      <c r="E1470" s="18"/>
    </row>
    <row r="1471" ht="22.5" hidden="1" customHeight="1">
      <c r="A1471" s="18"/>
      <c r="B1471" s="18"/>
      <c r="C1471" s="18"/>
      <c r="E1471" s="18"/>
    </row>
    <row r="1472" ht="22.5" hidden="1" customHeight="1">
      <c r="A1472" s="18"/>
      <c r="B1472" s="18"/>
      <c r="C1472" s="18"/>
      <c r="E1472" s="18"/>
    </row>
    <row r="1473" ht="22.5" hidden="1" customHeight="1">
      <c r="A1473" s="18"/>
      <c r="B1473" s="18"/>
      <c r="C1473" s="18"/>
      <c r="E1473" s="18"/>
    </row>
    <row r="1474" ht="22.5" hidden="1" customHeight="1">
      <c r="A1474" s="18"/>
      <c r="B1474" s="18"/>
      <c r="C1474" s="18"/>
      <c r="E1474" s="18"/>
    </row>
    <row r="1475" ht="22.5" hidden="1" customHeight="1">
      <c r="A1475" s="18"/>
      <c r="B1475" s="18"/>
      <c r="C1475" s="18"/>
      <c r="E1475" s="18"/>
    </row>
    <row r="1476" ht="22.5" hidden="1" customHeight="1">
      <c r="A1476" s="18"/>
      <c r="B1476" s="18"/>
      <c r="C1476" s="18"/>
      <c r="E1476" s="18"/>
    </row>
    <row r="1477" ht="22.5" hidden="1" customHeight="1">
      <c r="A1477" s="18"/>
      <c r="B1477" s="18"/>
      <c r="C1477" s="18"/>
      <c r="E1477" s="18"/>
    </row>
    <row r="1478" ht="22.5" hidden="1" customHeight="1">
      <c r="A1478" s="18"/>
      <c r="B1478" s="18"/>
      <c r="C1478" s="18"/>
      <c r="E1478" s="18"/>
    </row>
    <row r="1479" ht="22.5" hidden="1" customHeight="1">
      <c r="A1479" s="18"/>
      <c r="B1479" s="18"/>
      <c r="C1479" s="18"/>
      <c r="E1479" s="18"/>
    </row>
    <row r="1480" ht="22.5" hidden="1" customHeight="1">
      <c r="A1480" s="18"/>
      <c r="B1480" s="18"/>
      <c r="C1480" s="18"/>
      <c r="E1480" s="18"/>
    </row>
    <row r="1481" ht="22.5" hidden="1" customHeight="1">
      <c r="A1481" s="18"/>
      <c r="B1481" s="18"/>
      <c r="C1481" s="18"/>
      <c r="E1481" s="18"/>
    </row>
    <row r="1482" ht="22.5" hidden="1" customHeight="1">
      <c r="A1482" s="18"/>
      <c r="B1482" s="18"/>
      <c r="C1482" s="18"/>
      <c r="E1482" s="18"/>
    </row>
    <row r="1483" ht="22.5" hidden="1" customHeight="1">
      <c r="A1483" s="18"/>
      <c r="B1483" s="18"/>
      <c r="C1483" s="18"/>
      <c r="E1483" s="18"/>
    </row>
    <row r="1484" ht="22.5" hidden="1" customHeight="1">
      <c r="A1484" s="18"/>
      <c r="B1484" s="18"/>
      <c r="C1484" s="18"/>
      <c r="E1484" s="18"/>
    </row>
    <row r="1485" ht="22.5" hidden="1" customHeight="1">
      <c r="A1485" s="18"/>
      <c r="B1485" s="18"/>
      <c r="C1485" s="18"/>
      <c r="E1485" s="18"/>
    </row>
    <row r="1486" ht="22.5" hidden="1" customHeight="1">
      <c r="A1486" s="18"/>
      <c r="B1486" s="18"/>
      <c r="C1486" s="18"/>
      <c r="E1486" s="18"/>
    </row>
    <row r="1487" ht="22.5" hidden="1" customHeight="1">
      <c r="A1487" s="18"/>
      <c r="B1487" s="18"/>
      <c r="C1487" s="18"/>
      <c r="E1487" s="18"/>
    </row>
    <row r="1488" ht="22.5" hidden="1" customHeight="1">
      <c r="A1488" s="18"/>
      <c r="B1488" s="18"/>
      <c r="C1488" s="18"/>
      <c r="E1488" s="18"/>
    </row>
    <row r="1489" ht="22.5" hidden="1" customHeight="1">
      <c r="A1489" s="18"/>
      <c r="B1489" s="18"/>
      <c r="C1489" s="18"/>
      <c r="E1489" s="18"/>
    </row>
    <row r="1490" ht="22.5" hidden="1" customHeight="1">
      <c r="A1490" s="18"/>
      <c r="B1490" s="18"/>
      <c r="C1490" s="18"/>
      <c r="E1490" s="18"/>
    </row>
    <row r="1491" ht="22.5" hidden="1" customHeight="1">
      <c r="A1491" s="18"/>
      <c r="B1491" s="18"/>
      <c r="C1491" s="18"/>
      <c r="E1491" s="18"/>
    </row>
    <row r="1492" ht="22.5" hidden="1" customHeight="1">
      <c r="A1492" s="18"/>
      <c r="B1492" s="18"/>
      <c r="C1492" s="18"/>
      <c r="E1492" s="18"/>
    </row>
    <row r="1493" ht="22.5" hidden="1" customHeight="1">
      <c r="A1493" s="18"/>
      <c r="B1493" s="18"/>
      <c r="C1493" s="18"/>
      <c r="E1493" s="18"/>
    </row>
    <row r="1494" ht="22.5" hidden="1" customHeight="1">
      <c r="A1494" s="18"/>
      <c r="B1494" s="18"/>
      <c r="C1494" s="18"/>
      <c r="E1494" s="18"/>
    </row>
    <row r="1495" ht="22.5" hidden="1" customHeight="1">
      <c r="A1495" s="18"/>
      <c r="B1495" s="18"/>
      <c r="C1495" s="18"/>
      <c r="E1495" s="18"/>
    </row>
    <row r="1496" ht="22.5" hidden="1" customHeight="1">
      <c r="A1496" s="18"/>
      <c r="B1496" s="18"/>
      <c r="C1496" s="18"/>
      <c r="E1496" s="18"/>
    </row>
    <row r="1497" ht="22.5" hidden="1" customHeight="1">
      <c r="A1497" s="18"/>
      <c r="B1497" s="18"/>
      <c r="C1497" s="18"/>
      <c r="E1497" s="18"/>
    </row>
    <row r="1498" ht="22.5" hidden="1" customHeight="1">
      <c r="A1498" s="18"/>
      <c r="B1498" s="18"/>
      <c r="C1498" s="18"/>
      <c r="E1498" s="18"/>
    </row>
    <row r="1499" ht="22.5" hidden="1" customHeight="1">
      <c r="A1499" s="18"/>
      <c r="B1499" s="18"/>
      <c r="C1499" s="18"/>
      <c r="E1499" s="18"/>
    </row>
    <row r="1500" ht="22.5" hidden="1" customHeight="1">
      <c r="A1500" s="18"/>
      <c r="B1500" s="18"/>
      <c r="C1500" s="18"/>
      <c r="E1500" s="18"/>
    </row>
    <row r="1501" ht="22.5" hidden="1" customHeight="1">
      <c r="A1501" s="18"/>
      <c r="B1501" s="18"/>
      <c r="C1501" s="18"/>
      <c r="E1501" s="18"/>
    </row>
    <row r="1502" ht="22.5" hidden="1" customHeight="1">
      <c r="A1502" s="18"/>
      <c r="B1502" s="18"/>
      <c r="C1502" s="18"/>
      <c r="E1502" s="18"/>
    </row>
    <row r="1503" ht="22.5" hidden="1" customHeight="1">
      <c r="A1503" s="18"/>
      <c r="B1503" s="18"/>
      <c r="C1503" s="18"/>
      <c r="E1503" s="18"/>
    </row>
    <row r="1504" ht="22.5" hidden="1" customHeight="1">
      <c r="A1504" s="18"/>
      <c r="B1504" s="18"/>
      <c r="C1504" s="18"/>
      <c r="E1504" s="18"/>
    </row>
    <row r="1505" ht="22.5" hidden="1" customHeight="1">
      <c r="A1505" s="18"/>
      <c r="B1505" s="18"/>
      <c r="C1505" s="18"/>
      <c r="E1505" s="18"/>
    </row>
    <row r="1506" ht="22.5" hidden="1" customHeight="1">
      <c r="A1506" s="18"/>
      <c r="B1506" s="18"/>
      <c r="C1506" s="18"/>
      <c r="E1506" s="18"/>
    </row>
    <row r="1507" ht="22.5" hidden="1" customHeight="1">
      <c r="A1507" s="18"/>
      <c r="B1507" s="18"/>
      <c r="C1507" s="18"/>
      <c r="E1507" s="18"/>
    </row>
    <row r="1508" ht="22.5" hidden="1" customHeight="1">
      <c r="A1508" s="18"/>
      <c r="B1508" s="18"/>
      <c r="C1508" s="18"/>
      <c r="E1508" s="18"/>
    </row>
    <row r="1509" ht="22.5" hidden="1" customHeight="1">
      <c r="A1509" s="18"/>
      <c r="B1509" s="18"/>
      <c r="C1509" s="18"/>
      <c r="E1509" s="18"/>
    </row>
    <row r="1510" ht="22.5" hidden="1" customHeight="1">
      <c r="A1510" s="18"/>
      <c r="B1510" s="18"/>
      <c r="C1510" s="18"/>
      <c r="E1510" s="18"/>
    </row>
    <row r="1511" ht="22.5" hidden="1" customHeight="1">
      <c r="A1511" s="18"/>
      <c r="B1511" s="18"/>
      <c r="C1511" s="18"/>
      <c r="E1511" s="18"/>
    </row>
    <row r="1512" ht="22.5" hidden="1" customHeight="1">
      <c r="A1512" s="18"/>
      <c r="B1512" s="18"/>
      <c r="C1512" s="18"/>
      <c r="E1512" s="18"/>
    </row>
    <row r="1513" ht="22.5" hidden="1" customHeight="1">
      <c r="A1513" s="18"/>
      <c r="B1513" s="18"/>
      <c r="C1513" s="18"/>
      <c r="E1513" s="18"/>
    </row>
    <row r="1514" ht="22.5" hidden="1" customHeight="1">
      <c r="A1514" s="18"/>
      <c r="B1514" s="18"/>
      <c r="C1514" s="18"/>
      <c r="E1514" s="18"/>
    </row>
    <row r="1515" ht="22.5" hidden="1" customHeight="1">
      <c r="A1515" s="18"/>
      <c r="B1515" s="18"/>
      <c r="C1515" s="18"/>
      <c r="E1515" s="18"/>
    </row>
    <row r="1516" ht="22.5" hidden="1" customHeight="1">
      <c r="A1516" s="18"/>
      <c r="B1516" s="18"/>
      <c r="C1516" s="18"/>
      <c r="E1516" s="18"/>
    </row>
    <row r="1517" ht="22.5" hidden="1" customHeight="1">
      <c r="A1517" s="18"/>
      <c r="B1517" s="18"/>
      <c r="C1517" s="18"/>
      <c r="E1517" s="18"/>
    </row>
    <row r="1518" ht="22.5" hidden="1" customHeight="1">
      <c r="A1518" s="18"/>
      <c r="B1518" s="18"/>
      <c r="C1518" s="18"/>
      <c r="E1518" s="18"/>
    </row>
    <row r="1519" ht="22.5" hidden="1" customHeight="1">
      <c r="A1519" s="18"/>
      <c r="B1519" s="18"/>
      <c r="C1519" s="18"/>
      <c r="E1519" s="18"/>
    </row>
    <row r="1520" ht="22.5" hidden="1" customHeight="1">
      <c r="A1520" s="18"/>
      <c r="B1520" s="18"/>
      <c r="C1520" s="18"/>
      <c r="E1520" s="18"/>
    </row>
    <row r="1521" ht="22.5" hidden="1" customHeight="1">
      <c r="A1521" s="18"/>
      <c r="B1521" s="18"/>
      <c r="C1521" s="18"/>
      <c r="E1521" s="18"/>
    </row>
    <row r="1522" ht="22.5" hidden="1" customHeight="1">
      <c r="A1522" s="18"/>
      <c r="B1522" s="18"/>
      <c r="C1522" s="18"/>
      <c r="E1522" s="18"/>
    </row>
    <row r="1523" ht="22.5" hidden="1" customHeight="1">
      <c r="A1523" s="18"/>
      <c r="B1523" s="18"/>
      <c r="C1523" s="18"/>
      <c r="E1523" s="18"/>
    </row>
    <row r="1524" ht="22.5" hidden="1" customHeight="1">
      <c r="A1524" s="18"/>
      <c r="B1524" s="18"/>
      <c r="C1524" s="18"/>
      <c r="E1524" s="18"/>
    </row>
    <row r="1525" ht="22.5" hidden="1" customHeight="1">
      <c r="A1525" s="18"/>
      <c r="B1525" s="18"/>
      <c r="C1525" s="18"/>
      <c r="E1525" s="18"/>
    </row>
    <row r="1526" ht="22.5" hidden="1" customHeight="1">
      <c r="A1526" s="18"/>
      <c r="B1526" s="18"/>
      <c r="C1526" s="18"/>
      <c r="E1526" s="18"/>
    </row>
    <row r="1527" ht="22.5" hidden="1" customHeight="1">
      <c r="A1527" s="18"/>
      <c r="B1527" s="18"/>
      <c r="C1527" s="18"/>
      <c r="E1527" s="18"/>
    </row>
    <row r="1528" ht="22.5" hidden="1" customHeight="1">
      <c r="A1528" s="18"/>
      <c r="B1528" s="18"/>
      <c r="C1528" s="18"/>
      <c r="E1528" s="18"/>
    </row>
    <row r="1529" ht="22.5" hidden="1" customHeight="1">
      <c r="A1529" s="18"/>
      <c r="B1529" s="18"/>
      <c r="C1529" s="18"/>
      <c r="E1529" s="18"/>
    </row>
    <row r="1530" ht="22.5" hidden="1" customHeight="1">
      <c r="A1530" s="18"/>
      <c r="B1530" s="18"/>
      <c r="C1530" s="18"/>
      <c r="E1530" s="18"/>
    </row>
    <row r="1531" ht="22.5" hidden="1" customHeight="1">
      <c r="A1531" s="18"/>
      <c r="B1531" s="18"/>
      <c r="C1531" s="18"/>
      <c r="E1531" s="18"/>
    </row>
    <row r="1532" ht="22.5" hidden="1" customHeight="1">
      <c r="A1532" s="18"/>
      <c r="B1532" s="18"/>
      <c r="C1532" s="18"/>
      <c r="E1532" s="18"/>
    </row>
    <row r="1533" ht="22.5" hidden="1" customHeight="1">
      <c r="A1533" s="18"/>
      <c r="B1533" s="18"/>
      <c r="C1533" s="18"/>
      <c r="E1533" s="18"/>
    </row>
    <row r="1534" ht="22.5" hidden="1" customHeight="1">
      <c r="A1534" s="18"/>
      <c r="B1534" s="18"/>
      <c r="C1534" s="18"/>
      <c r="E1534" s="18"/>
    </row>
    <row r="1535" ht="22.5" hidden="1" customHeight="1">
      <c r="A1535" s="18"/>
      <c r="B1535" s="18"/>
      <c r="C1535" s="18"/>
      <c r="E1535" s="18"/>
    </row>
    <row r="1536" ht="22.5" hidden="1" customHeight="1">
      <c r="A1536" s="18"/>
      <c r="B1536" s="18"/>
      <c r="C1536" s="18"/>
      <c r="E1536" s="18"/>
    </row>
    <row r="1537" ht="22.5" hidden="1" customHeight="1">
      <c r="A1537" s="18"/>
      <c r="B1537" s="18"/>
      <c r="C1537" s="18"/>
      <c r="E1537" s="18"/>
    </row>
    <row r="1538" ht="22.5" hidden="1" customHeight="1">
      <c r="A1538" s="18"/>
      <c r="B1538" s="18"/>
      <c r="C1538" s="18"/>
      <c r="E1538" s="18"/>
    </row>
    <row r="1539" ht="22.5" hidden="1" customHeight="1">
      <c r="A1539" s="18"/>
      <c r="B1539" s="18"/>
      <c r="C1539" s="18"/>
      <c r="E1539" s="18"/>
    </row>
    <row r="1540" ht="22.5" hidden="1" customHeight="1">
      <c r="A1540" s="18"/>
      <c r="B1540" s="18"/>
      <c r="C1540" s="18"/>
      <c r="E1540" s="18"/>
    </row>
    <row r="1541" ht="22.5" hidden="1" customHeight="1">
      <c r="A1541" s="18"/>
      <c r="B1541" s="18"/>
      <c r="C1541" s="18"/>
      <c r="E1541" s="18"/>
    </row>
    <row r="1542" ht="22.5" hidden="1" customHeight="1">
      <c r="A1542" s="18"/>
      <c r="B1542" s="18"/>
      <c r="C1542" s="18"/>
      <c r="E1542" s="18"/>
    </row>
    <row r="1543" ht="22.5" hidden="1" customHeight="1">
      <c r="A1543" s="18"/>
      <c r="B1543" s="18"/>
      <c r="C1543" s="18"/>
      <c r="E1543" s="18"/>
    </row>
    <row r="1544" ht="22.5" hidden="1" customHeight="1">
      <c r="A1544" s="18"/>
      <c r="B1544" s="18"/>
      <c r="C1544" s="18"/>
      <c r="E1544" s="18"/>
    </row>
    <row r="1545" ht="22.5" hidden="1" customHeight="1">
      <c r="A1545" s="18"/>
      <c r="B1545" s="18"/>
      <c r="C1545" s="18"/>
      <c r="E1545" s="18"/>
    </row>
    <row r="1546" ht="22.5" hidden="1" customHeight="1">
      <c r="A1546" s="18"/>
      <c r="B1546" s="18"/>
      <c r="C1546" s="18"/>
      <c r="E1546" s="18"/>
    </row>
    <row r="1547" ht="22.5" hidden="1" customHeight="1">
      <c r="A1547" s="18"/>
      <c r="B1547" s="18"/>
      <c r="C1547" s="18"/>
      <c r="E1547" s="18"/>
    </row>
    <row r="1548" ht="22.5" hidden="1" customHeight="1">
      <c r="A1548" s="18"/>
      <c r="B1548" s="18"/>
      <c r="C1548" s="18"/>
      <c r="E1548" s="18"/>
    </row>
    <row r="1549" ht="22.5" hidden="1" customHeight="1">
      <c r="A1549" s="18"/>
      <c r="B1549" s="18"/>
      <c r="C1549" s="18"/>
      <c r="E1549" s="18"/>
    </row>
    <row r="1550" ht="22.5" hidden="1" customHeight="1">
      <c r="A1550" s="18"/>
      <c r="B1550" s="18"/>
      <c r="C1550" s="18"/>
      <c r="E1550" s="18"/>
    </row>
    <row r="1551" ht="22.5" hidden="1" customHeight="1">
      <c r="A1551" s="18"/>
      <c r="B1551" s="18"/>
      <c r="C1551" s="18"/>
      <c r="E1551" s="18"/>
    </row>
    <row r="1552" ht="22.5" hidden="1" customHeight="1">
      <c r="A1552" s="18"/>
      <c r="B1552" s="18"/>
      <c r="C1552" s="18"/>
      <c r="E1552" s="18"/>
    </row>
    <row r="1553" ht="22.5" hidden="1" customHeight="1">
      <c r="A1553" s="18"/>
      <c r="B1553" s="18"/>
      <c r="C1553" s="18"/>
      <c r="E1553" s="18"/>
    </row>
    <row r="1554" ht="22.5" hidden="1" customHeight="1">
      <c r="A1554" s="18"/>
      <c r="B1554" s="18"/>
      <c r="C1554" s="18"/>
      <c r="E1554" s="18"/>
    </row>
    <row r="1555" ht="22.5" hidden="1" customHeight="1">
      <c r="A1555" s="18"/>
      <c r="B1555" s="18"/>
      <c r="C1555" s="18"/>
      <c r="E1555" s="18"/>
    </row>
    <row r="1556" ht="22.5" hidden="1" customHeight="1">
      <c r="A1556" s="18"/>
      <c r="B1556" s="18"/>
      <c r="C1556" s="18"/>
      <c r="E1556" s="18"/>
    </row>
    <row r="1557" ht="22.5" hidden="1" customHeight="1">
      <c r="A1557" s="18"/>
      <c r="B1557" s="18"/>
      <c r="C1557" s="18"/>
      <c r="E1557" s="18"/>
    </row>
    <row r="1558" ht="22.5" hidden="1" customHeight="1">
      <c r="A1558" s="18"/>
      <c r="B1558" s="18"/>
      <c r="C1558" s="18"/>
      <c r="E1558" s="18"/>
    </row>
    <row r="1559" ht="22.5" hidden="1" customHeight="1">
      <c r="A1559" s="18"/>
      <c r="B1559" s="18"/>
      <c r="C1559" s="18"/>
      <c r="E1559" s="18"/>
    </row>
    <row r="1560" ht="22.5" hidden="1" customHeight="1">
      <c r="A1560" s="18"/>
      <c r="B1560" s="18"/>
      <c r="C1560" s="18"/>
      <c r="E1560" s="18"/>
    </row>
    <row r="1561" ht="22.5" hidden="1" customHeight="1">
      <c r="A1561" s="18"/>
      <c r="B1561" s="18"/>
      <c r="C1561" s="18"/>
      <c r="E1561" s="18"/>
    </row>
    <row r="1562" ht="22.5" hidden="1" customHeight="1">
      <c r="A1562" s="18"/>
      <c r="B1562" s="18"/>
      <c r="C1562" s="18"/>
      <c r="E1562" s="18"/>
    </row>
    <row r="1563" ht="22.5" hidden="1" customHeight="1">
      <c r="A1563" s="18"/>
      <c r="B1563" s="18"/>
      <c r="C1563" s="18"/>
      <c r="E1563" s="18"/>
    </row>
    <row r="1564" ht="22.5" hidden="1" customHeight="1">
      <c r="A1564" s="18"/>
      <c r="B1564" s="18"/>
      <c r="C1564" s="18"/>
      <c r="E1564" s="18"/>
    </row>
    <row r="1565" ht="22.5" hidden="1" customHeight="1">
      <c r="A1565" s="18"/>
      <c r="B1565" s="18"/>
      <c r="C1565" s="18"/>
      <c r="E1565" s="18"/>
    </row>
    <row r="1566" ht="22.5" hidden="1" customHeight="1">
      <c r="A1566" s="18"/>
      <c r="B1566" s="18"/>
      <c r="C1566" s="18"/>
      <c r="E1566" s="18"/>
    </row>
    <row r="1567" ht="22.5" hidden="1" customHeight="1">
      <c r="A1567" s="18"/>
      <c r="B1567" s="18"/>
      <c r="C1567" s="18"/>
      <c r="E1567" s="18"/>
    </row>
    <row r="1568" ht="22.5" hidden="1" customHeight="1">
      <c r="A1568" s="18"/>
      <c r="B1568" s="18"/>
      <c r="C1568" s="18"/>
      <c r="E1568" s="18"/>
    </row>
    <row r="1569" ht="22.5" hidden="1" customHeight="1">
      <c r="A1569" s="18"/>
      <c r="B1569" s="18"/>
      <c r="C1569" s="18"/>
      <c r="E1569" s="18"/>
    </row>
    <row r="1570" ht="22.5" hidden="1" customHeight="1">
      <c r="A1570" s="18"/>
      <c r="B1570" s="18"/>
      <c r="C1570" s="18"/>
      <c r="E1570" s="18"/>
    </row>
    <row r="1571" ht="22.5" hidden="1" customHeight="1">
      <c r="A1571" s="18"/>
      <c r="B1571" s="18"/>
      <c r="C1571" s="18"/>
      <c r="E1571" s="18"/>
    </row>
    <row r="1572" ht="22.5" hidden="1" customHeight="1">
      <c r="A1572" s="18"/>
      <c r="B1572" s="18"/>
      <c r="C1572" s="18"/>
      <c r="E1572" s="18"/>
    </row>
    <row r="1573" ht="22.5" hidden="1" customHeight="1">
      <c r="A1573" s="18"/>
      <c r="B1573" s="18"/>
      <c r="C1573" s="18"/>
      <c r="E1573" s="18"/>
    </row>
    <row r="1574" ht="22.5" hidden="1" customHeight="1">
      <c r="A1574" s="18"/>
      <c r="B1574" s="18"/>
      <c r="C1574" s="18"/>
      <c r="E1574" s="18"/>
    </row>
    <row r="1575" ht="22.5" hidden="1" customHeight="1">
      <c r="A1575" s="18"/>
      <c r="B1575" s="18"/>
      <c r="C1575" s="18"/>
      <c r="E1575" s="18"/>
    </row>
    <row r="1576" ht="22.5" hidden="1" customHeight="1">
      <c r="A1576" s="18"/>
      <c r="B1576" s="18"/>
      <c r="C1576" s="18"/>
      <c r="E1576" s="18"/>
    </row>
    <row r="1577" ht="22.5" hidden="1" customHeight="1">
      <c r="A1577" s="18"/>
      <c r="B1577" s="18"/>
      <c r="C1577" s="18"/>
      <c r="E1577" s="18"/>
    </row>
    <row r="1578" ht="22.5" hidden="1" customHeight="1">
      <c r="A1578" s="18"/>
      <c r="B1578" s="18"/>
      <c r="C1578" s="18"/>
      <c r="E1578" s="18"/>
    </row>
    <row r="1579" ht="22.5" hidden="1" customHeight="1">
      <c r="A1579" s="18"/>
      <c r="B1579" s="18"/>
      <c r="C1579" s="18"/>
      <c r="E1579" s="18"/>
    </row>
    <row r="1580" ht="22.5" hidden="1" customHeight="1">
      <c r="A1580" s="18"/>
      <c r="B1580" s="18"/>
      <c r="C1580" s="18"/>
      <c r="E1580" s="18"/>
    </row>
    <row r="1581" ht="22.5" hidden="1" customHeight="1">
      <c r="A1581" s="18"/>
      <c r="B1581" s="18"/>
      <c r="C1581" s="18"/>
      <c r="E1581" s="18"/>
    </row>
    <row r="1582" ht="22.5" hidden="1" customHeight="1">
      <c r="A1582" s="18"/>
      <c r="B1582" s="18"/>
      <c r="C1582" s="18"/>
      <c r="E1582" s="18"/>
    </row>
    <row r="1583" ht="22.5" hidden="1" customHeight="1">
      <c r="A1583" s="18"/>
      <c r="B1583" s="18"/>
      <c r="C1583" s="18"/>
      <c r="E1583" s="18"/>
    </row>
    <row r="1584" ht="22.5" hidden="1" customHeight="1">
      <c r="A1584" s="18"/>
      <c r="B1584" s="18"/>
      <c r="C1584" s="18"/>
      <c r="E1584" s="18"/>
    </row>
    <row r="1585" ht="22.5" hidden="1" customHeight="1">
      <c r="A1585" s="18"/>
      <c r="B1585" s="18"/>
      <c r="C1585" s="18"/>
      <c r="E1585" s="18"/>
    </row>
    <row r="1586" ht="22.5" hidden="1" customHeight="1">
      <c r="A1586" s="18"/>
      <c r="B1586" s="18"/>
      <c r="C1586" s="18"/>
      <c r="E1586" s="18"/>
    </row>
    <row r="1587" ht="22.5" hidden="1" customHeight="1">
      <c r="A1587" s="18"/>
      <c r="B1587" s="18"/>
      <c r="C1587" s="18"/>
      <c r="E1587" s="18"/>
    </row>
    <row r="1588" ht="22.5" hidden="1" customHeight="1">
      <c r="A1588" s="18"/>
      <c r="B1588" s="18"/>
      <c r="C1588" s="18"/>
      <c r="E1588" s="18"/>
    </row>
    <row r="1589" ht="22.5" hidden="1" customHeight="1">
      <c r="A1589" s="18"/>
      <c r="B1589" s="18"/>
      <c r="C1589" s="18"/>
      <c r="E1589" s="18"/>
    </row>
    <row r="1590" ht="22.5" hidden="1" customHeight="1">
      <c r="A1590" s="18"/>
      <c r="B1590" s="18"/>
      <c r="C1590" s="18"/>
      <c r="E1590" s="18"/>
    </row>
    <row r="1591" ht="22.5" hidden="1" customHeight="1">
      <c r="A1591" s="18"/>
      <c r="B1591" s="18"/>
      <c r="C1591" s="18"/>
      <c r="E1591" s="18"/>
    </row>
    <row r="1592" ht="22.5" hidden="1" customHeight="1">
      <c r="A1592" s="18"/>
      <c r="B1592" s="18"/>
      <c r="C1592" s="18"/>
      <c r="E1592" s="18"/>
    </row>
    <row r="1593" ht="22.5" hidden="1" customHeight="1">
      <c r="A1593" s="18"/>
      <c r="B1593" s="18"/>
      <c r="C1593" s="18"/>
      <c r="E1593" s="18"/>
    </row>
    <row r="1594" ht="22.5" hidden="1" customHeight="1">
      <c r="A1594" s="18"/>
      <c r="B1594" s="18"/>
      <c r="C1594" s="18"/>
      <c r="E1594" s="18"/>
    </row>
    <row r="1595" ht="22.5" hidden="1" customHeight="1">
      <c r="A1595" s="18"/>
      <c r="B1595" s="18"/>
      <c r="C1595" s="18"/>
      <c r="E1595" s="18"/>
    </row>
    <row r="1596" ht="22.5" hidden="1" customHeight="1">
      <c r="A1596" s="18"/>
      <c r="B1596" s="18"/>
      <c r="C1596" s="18"/>
      <c r="E1596" s="18"/>
    </row>
    <row r="1597" ht="22.5" hidden="1" customHeight="1">
      <c r="A1597" s="18"/>
      <c r="B1597" s="18"/>
      <c r="C1597" s="18"/>
      <c r="E1597" s="18"/>
    </row>
    <row r="1598" ht="22.5" hidden="1" customHeight="1">
      <c r="A1598" s="18"/>
      <c r="B1598" s="18"/>
      <c r="C1598" s="18"/>
      <c r="E1598" s="18"/>
    </row>
    <row r="1599" ht="22.5" hidden="1" customHeight="1">
      <c r="A1599" s="18"/>
      <c r="B1599" s="18"/>
      <c r="C1599" s="18"/>
      <c r="E1599" s="18"/>
    </row>
    <row r="1600" ht="22.5" hidden="1" customHeight="1">
      <c r="A1600" s="18"/>
      <c r="B1600" s="18"/>
      <c r="C1600" s="18"/>
      <c r="E1600" s="18"/>
    </row>
    <row r="1601" ht="22.5" hidden="1" customHeight="1">
      <c r="A1601" s="18"/>
      <c r="B1601" s="18"/>
      <c r="C1601" s="18"/>
      <c r="E1601" s="18"/>
    </row>
    <row r="1602" ht="22.5" hidden="1" customHeight="1">
      <c r="A1602" s="18"/>
      <c r="B1602" s="18"/>
      <c r="C1602" s="18"/>
      <c r="E1602" s="18"/>
    </row>
    <row r="1603" ht="22.5" hidden="1" customHeight="1">
      <c r="A1603" s="18"/>
      <c r="B1603" s="18"/>
      <c r="C1603" s="18"/>
      <c r="E1603" s="18"/>
    </row>
    <row r="1604" ht="22.5" hidden="1" customHeight="1">
      <c r="A1604" s="18"/>
      <c r="B1604" s="18"/>
      <c r="C1604" s="18"/>
      <c r="E1604" s="18"/>
    </row>
    <row r="1605" ht="22.5" hidden="1" customHeight="1">
      <c r="A1605" s="18"/>
      <c r="B1605" s="18"/>
      <c r="C1605" s="18"/>
      <c r="E1605" s="18"/>
    </row>
    <row r="1606" ht="22.5" hidden="1" customHeight="1">
      <c r="A1606" s="18"/>
      <c r="B1606" s="18"/>
      <c r="C1606" s="18"/>
      <c r="E1606" s="18"/>
    </row>
    <row r="1607" ht="22.5" hidden="1" customHeight="1">
      <c r="A1607" s="18"/>
      <c r="B1607" s="18"/>
      <c r="C1607" s="18"/>
      <c r="E1607" s="18"/>
    </row>
    <row r="1608" ht="22.5" hidden="1" customHeight="1">
      <c r="A1608" s="18"/>
      <c r="B1608" s="18"/>
      <c r="C1608" s="18"/>
      <c r="E1608" s="18"/>
    </row>
    <row r="1609" ht="22.5" hidden="1" customHeight="1">
      <c r="A1609" s="18"/>
      <c r="B1609" s="18"/>
      <c r="C1609" s="18"/>
      <c r="E1609" s="18"/>
    </row>
    <row r="1610" ht="22.5" hidden="1" customHeight="1">
      <c r="A1610" s="18"/>
      <c r="B1610" s="18"/>
      <c r="C1610" s="18"/>
      <c r="E1610" s="18"/>
    </row>
    <row r="1611" ht="22.5" hidden="1" customHeight="1">
      <c r="A1611" s="18"/>
      <c r="B1611" s="18"/>
      <c r="C1611" s="18"/>
      <c r="E1611" s="18"/>
    </row>
    <row r="1612" ht="22.5" hidden="1" customHeight="1">
      <c r="A1612" s="18"/>
      <c r="B1612" s="18"/>
      <c r="C1612" s="18"/>
      <c r="E1612" s="18"/>
    </row>
    <row r="1613" ht="22.5" hidden="1" customHeight="1">
      <c r="A1613" s="18"/>
      <c r="B1613" s="18"/>
      <c r="C1613" s="18"/>
      <c r="E1613" s="18"/>
    </row>
    <row r="1614" ht="22.5" hidden="1" customHeight="1">
      <c r="A1614" s="18"/>
      <c r="B1614" s="18"/>
      <c r="C1614" s="18"/>
      <c r="E1614" s="18"/>
    </row>
    <row r="1615" ht="22.5" hidden="1" customHeight="1">
      <c r="A1615" s="18"/>
      <c r="B1615" s="18"/>
      <c r="C1615" s="18"/>
      <c r="E1615" s="18"/>
    </row>
    <row r="1616" ht="22.5" hidden="1" customHeight="1">
      <c r="A1616" s="18"/>
      <c r="B1616" s="18"/>
      <c r="C1616" s="18"/>
      <c r="E1616" s="18"/>
    </row>
    <row r="1617" ht="22.5" hidden="1" customHeight="1">
      <c r="A1617" s="18"/>
      <c r="B1617" s="18"/>
      <c r="C1617" s="18"/>
      <c r="E1617" s="18"/>
    </row>
    <row r="1618" ht="22.5" hidden="1" customHeight="1">
      <c r="A1618" s="18"/>
      <c r="B1618" s="18"/>
      <c r="C1618" s="18"/>
      <c r="E1618" s="18"/>
    </row>
    <row r="1619" ht="22.5" hidden="1" customHeight="1">
      <c r="A1619" s="18"/>
      <c r="B1619" s="18"/>
      <c r="C1619" s="18"/>
      <c r="E1619" s="18"/>
    </row>
    <row r="1620" ht="22.5" hidden="1" customHeight="1">
      <c r="A1620" s="18"/>
      <c r="B1620" s="18"/>
      <c r="C1620" s="18"/>
      <c r="E1620" s="18"/>
    </row>
    <row r="1621" ht="22.5" hidden="1" customHeight="1">
      <c r="A1621" s="18"/>
      <c r="B1621" s="18"/>
      <c r="C1621" s="18"/>
      <c r="E1621" s="18"/>
    </row>
    <row r="1622" ht="22.5" hidden="1" customHeight="1">
      <c r="A1622" s="18"/>
      <c r="B1622" s="18"/>
      <c r="C1622" s="18"/>
      <c r="E1622" s="18"/>
    </row>
    <row r="1623" ht="22.5" hidden="1" customHeight="1">
      <c r="A1623" s="18"/>
      <c r="B1623" s="18"/>
      <c r="C1623" s="18"/>
      <c r="E1623" s="18"/>
    </row>
    <row r="1624" ht="22.5" hidden="1" customHeight="1">
      <c r="A1624" s="18"/>
      <c r="B1624" s="18"/>
      <c r="C1624" s="18"/>
      <c r="E1624" s="18"/>
    </row>
    <row r="1625" ht="22.5" hidden="1" customHeight="1">
      <c r="A1625" s="18"/>
      <c r="B1625" s="18"/>
      <c r="C1625" s="18"/>
      <c r="E1625" s="18"/>
    </row>
    <row r="1626" ht="22.5" hidden="1" customHeight="1">
      <c r="A1626" s="18"/>
      <c r="B1626" s="18"/>
      <c r="C1626" s="18"/>
      <c r="E1626" s="18"/>
    </row>
    <row r="1627" ht="22.5" hidden="1" customHeight="1">
      <c r="A1627" s="18"/>
      <c r="B1627" s="18"/>
      <c r="C1627" s="18"/>
      <c r="E1627" s="18"/>
    </row>
    <row r="1628" ht="22.5" hidden="1" customHeight="1">
      <c r="A1628" s="18"/>
      <c r="B1628" s="18"/>
      <c r="C1628" s="18"/>
      <c r="E1628" s="18"/>
    </row>
    <row r="1629" ht="22.5" hidden="1" customHeight="1">
      <c r="A1629" s="18"/>
      <c r="B1629" s="18"/>
      <c r="C1629" s="18"/>
      <c r="E1629" s="18"/>
    </row>
    <row r="1630" ht="22.5" hidden="1" customHeight="1">
      <c r="A1630" s="18"/>
      <c r="B1630" s="18"/>
      <c r="C1630" s="18"/>
      <c r="E1630" s="18"/>
    </row>
    <row r="1631" ht="22.5" hidden="1" customHeight="1">
      <c r="A1631" s="18"/>
      <c r="B1631" s="18"/>
      <c r="C1631" s="18"/>
      <c r="E1631" s="18"/>
    </row>
    <row r="1632" ht="22.5" hidden="1" customHeight="1">
      <c r="A1632" s="18"/>
      <c r="B1632" s="18"/>
      <c r="C1632" s="18"/>
      <c r="E1632" s="18"/>
    </row>
    <row r="1633" ht="22.5" hidden="1" customHeight="1">
      <c r="A1633" s="18"/>
      <c r="B1633" s="18"/>
      <c r="C1633" s="18"/>
      <c r="E1633" s="18"/>
    </row>
    <row r="1634" ht="22.5" hidden="1" customHeight="1">
      <c r="A1634" s="18"/>
      <c r="B1634" s="18"/>
      <c r="C1634" s="18"/>
      <c r="E1634" s="18"/>
    </row>
    <row r="1635" ht="22.5" hidden="1" customHeight="1">
      <c r="A1635" s="18"/>
      <c r="B1635" s="18"/>
      <c r="C1635" s="18"/>
      <c r="E1635" s="18"/>
    </row>
    <row r="1636" ht="22.5" hidden="1" customHeight="1">
      <c r="A1636" s="18"/>
      <c r="B1636" s="18"/>
      <c r="C1636" s="18"/>
      <c r="E1636" s="18"/>
    </row>
    <row r="1637" ht="22.5" hidden="1" customHeight="1">
      <c r="A1637" s="18"/>
      <c r="B1637" s="18"/>
      <c r="C1637" s="18"/>
      <c r="E1637" s="18"/>
    </row>
    <row r="1638" ht="22.5" hidden="1" customHeight="1">
      <c r="A1638" s="18"/>
      <c r="B1638" s="18"/>
      <c r="C1638" s="18"/>
      <c r="E1638" s="18"/>
    </row>
    <row r="1639" ht="22.5" hidden="1" customHeight="1">
      <c r="A1639" s="18"/>
      <c r="B1639" s="18"/>
      <c r="C1639" s="18"/>
      <c r="E1639" s="18"/>
    </row>
    <row r="1640" ht="22.5" hidden="1" customHeight="1">
      <c r="A1640" s="18"/>
      <c r="B1640" s="18"/>
      <c r="C1640" s="18"/>
      <c r="E1640" s="18"/>
    </row>
    <row r="1641" ht="22.5" hidden="1" customHeight="1">
      <c r="A1641" s="18"/>
      <c r="B1641" s="18"/>
      <c r="C1641" s="18"/>
      <c r="E1641" s="18"/>
    </row>
    <row r="1642" ht="22.5" hidden="1" customHeight="1">
      <c r="A1642" s="18"/>
      <c r="B1642" s="18"/>
      <c r="C1642" s="18"/>
      <c r="E1642" s="18"/>
    </row>
    <row r="1643" ht="22.5" hidden="1" customHeight="1">
      <c r="A1643" s="18"/>
      <c r="B1643" s="18"/>
      <c r="C1643" s="18"/>
      <c r="E1643" s="18"/>
    </row>
    <row r="1644" ht="22.5" hidden="1" customHeight="1">
      <c r="A1644" s="18"/>
      <c r="B1644" s="18"/>
      <c r="C1644" s="18"/>
      <c r="E1644" s="18"/>
    </row>
    <row r="1645" ht="22.5" hidden="1" customHeight="1">
      <c r="A1645" s="18"/>
      <c r="B1645" s="18"/>
      <c r="C1645" s="18"/>
      <c r="E1645" s="18"/>
    </row>
    <row r="1646" ht="22.5" hidden="1" customHeight="1">
      <c r="A1646" s="18"/>
      <c r="B1646" s="18"/>
      <c r="C1646" s="18"/>
      <c r="E1646" s="18"/>
    </row>
    <row r="1647" ht="22.5" hidden="1" customHeight="1">
      <c r="A1647" s="18"/>
      <c r="B1647" s="18"/>
      <c r="C1647" s="18"/>
      <c r="E1647" s="18"/>
    </row>
    <row r="1648" ht="22.5" hidden="1" customHeight="1">
      <c r="A1648" s="18"/>
      <c r="B1648" s="18"/>
      <c r="C1648" s="18"/>
      <c r="E1648" s="18"/>
    </row>
    <row r="1649" ht="22.5" hidden="1" customHeight="1">
      <c r="A1649" s="18"/>
      <c r="B1649" s="18"/>
      <c r="C1649" s="18"/>
      <c r="E1649" s="18"/>
    </row>
    <row r="1650" ht="22.5" hidden="1" customHeight="1">
      <c r="A1650" s="18"/>
      <c r="B1650" s="18"/>
      <c r="C1650" s="18"/>
      <c r="E1650" s="18"/>
    </row>
    <row r="1651" ht="22.5" hidden="1" customHeight="1">
      <c r="A1651" s="18"/>
      <c r="B1651" s="18"/>
      <c r="C1651" s="18"/>
      <c r="E1651" s="18"/>
    </row>
    <row r="1652" ht="22.5" hidden="1" customHeight="1">
      <c r="A1652" s="18"/>
      <c r="B1652" s="18"/>
      <c r="C1652" s="18"/>
      <c r="E1652" s="18"/>
    </row>
    <row r="1653" ht="22.5" hidden="1" customHeight="1">
      <c r="A1653" s="18"/>
      <c r="B1653" s="18"/>
      <c r="C1653" s="18"/>
      <c r="E1653" s="18"/>
    </row>
    <row r="1654" ht="22.5" hidden="1" customHeight="1">
      <c r="A1654" s="18"/>
      <c r="B1654" s="18"/>
      <c r="C1654" s="18"/>
      <c r="E1654" s="18"/>
    </row>
    <row r="1655" ht="22.5" hidden="1" customHeight="1">
      <c r="A1655" s="18"/>
      <c r="B1655" s="18"/>
      <c r="C1655" s="18"/>
      <c r="E1655" s="18"/>
    </row>
    <row r="1656" ht="22.5" hidden="1" customHeight="1">
      <c r="A1656" s="18"/>
      <c r="B1656" s="18"/>
      <c r="C1656" s="18"/>
      <c r="E1656" s="18"/>
    </row>
    <row r="1657" ht="22.5" hidden="1" customHeight="1">
      <c r="A1657" s="18"/>
      <c r="B1657" s="18"/>
      <c r="C1657" s="18"/>
      <c r="E1657" s="18"/>
    </row>
    <row r="1658" ht="22.5" hidden="1" customHeight="1">
      <c r="A1658" s="18"/>
      <c r="B1658" s="18"/>
      <c r="C1658" s="18"/>
      <c r="E1658" s="18"/>
    </row>
    <row r="1659" ht="22.5" hidden="1" customHeight="1">
      <c r="A1659" s="18"/>
      <c r="B1659" s="18"/>
      <c r="C1659" s="18"/>
      <c r="E1659" s="18"/>
    </row>
    <row r="1660" ht="22.5" hidden="1" customHeight="1">
      <c r="A1660" s="18"/>
      <c r="B1660" s="18"/>
      <c r="C1660" s="18"/>
      <c r="E1660" s="18"/>
    </row>
    <row r="1661" ht="22.5" hidden="1" customHeight="1">
      <c r="A1661" s="18"/>
      <c r="B1661" s="18"/>
      <c r="C1661" s="18"/>
      <c r="E1661" s="18"/>
    </row>
    <row r="1662" ht="22.5" hidden="1" customHeight="1">
      <c r="A1662" s="18"/>
      <c r="B1662" s="18"/>
      <c r="C1662" s="18"/>
      <c r="E1662" s="18"/>
    </row>
    <row r="1663" ht="22.5" hidden="1" customHeight="1">
      <c r="A1663" s="18"/>
      <c r="B1663" s="18"/>
      <c r="C1663" s="18"/>
      <c r="E1663" s="18"/>
    </row>
    <row r="1664" ht="22.5" hidden="1" customHeight="1">
      <c r="A1664" s="18"/>
      <c r="B1664" s="18"/>
      <c r="C1664" s="18"/>
      <c r="E1664" s="18"/>
    </row>
    <row r="1665" ht="22.5" hidden="1" customHeight="1">
      <c r="A1665" s="18"/>
      <c r="B1665" s="18"/>
      <c r="C1665" s="18"/>
      <c r="E1665" s="18"/>
    </row>
    <row r="1666" ht="22.5" hidden="1" customHeight="1">
      <c r="A1666" s="18"/>
      <c r="B1666" s="18"/>
      <c r="C1666" s="18"/>
      <c r="E1666" s="18"/>
    </row>
    <row r="1667" ht="22.5" hidden="1" customHeight="1">
      <c r="A1667" s="18"/>
      <c r="B1667" s="18"/>
      <c r="C1667" s="18"/>
      <c r="E1667" s="18"/>
    </row>
    <row r="1668" ht="22.5" hidden="1" customHeight="1">
      <c r="A1668" s="18"/>
      <c r="B1668" s="18"/>
      <c r="C1668" s="18"/>
      <c r="E1668" s="18"/>
    </row>
    <row r="1669" ht="22.5" hidden="1" customHeight="1">
      <c r="A1669" s="18"/>
      <c r="B1669" s="18"/>
      <c r="C1669" s="18"/>
      <c r="E1669" s="18"/>
    </row>
    <row r="1670" ht="22.5" hidden="1" customHeight="1">
      <c r="A1670" s="18"/>
      <c r="B1670" s="18"/>
      <c r="C1670" s="18"/>
      <c r="E1670" s="18"/>
    </row>
    <row r="1671" ht="22.5" hidden="1" customHeight="1">
      <c r="A1671" s="18"/>
      <c r="B1671" s="18"/>
      <c r="C1671" s="18"/>
      <c r="E1671" s="18"/>
    </row>
    <row r="1672" ht="22.5" hidden="1" customHeight="1">
      <c r="A1672" s="18"/>
      <c r="B1672" s="18"/>
      <c r="C1672" s="18"/>
      <c r="E1672" s="18"/>
    </row>
    <row r="1673" ht="22.5" hidden="1" customHeight="1">
      <c r="A1673" s="18"/>
      <c r="B1673" s="18"/>
      <c r="C1673" s="18"/>
      <c r="E1673" s="18"/>
    </row>
    <row r="1674" ht="22.5" hidden="1" customHeight="1">
      <c r="A1674" s="18"/>
      <c r="B1674" s="18"/>
      <c r="C1674" s="18"/>
      <c r="E1674" s="18"/>
    </row>
    <row r="1675" ht="22.5" hidden="1" customHeight="1">
      <c r="A1675" s="18"/>
      <c r="B1675" s="18"/>
      <c r="C1675" s="18"/>
      <c r="E1675" s="18"/>
    </row>
    <row r="1676" ht="22.5" hidden="1" customHeight="1">
      <c r="A1676" s="18"/>
      <c r="B1676" s="18"/>
      <c r="C1676" s="18"/>
      <c r="E1676" s="18"/>
    </row>
    <row r="1677" ht="22.5" hidden="1" customHeight="1">
      <c r="A1677" s="18"/>
      <c r="B1677" s="18"/>
      <c r="C1677" s="18"/>
      <c r="E1677" s="18"/>
    </row>
    <row r="1678" ht="22.5" hidden="1" customHeight="1">
      <c r="A1678" s="18"/>
      <c r="B1678" s="18"/>
      <c r="C1678" s="18"/>
      <c r="E1678" s="18"/>
    </row>
    <row r="1679" ht="22.5" hidden="1" customHeight="1">
      <c r="A1679" s="18"/>
      <c r="B1679" s="18"/>
      <c r="C1679" s="18"/>
      <c r="E1679" s="18"/>
    </row>
    <row r="1680" ht="22.5" hidden="1" customHeight="1">
      <c r="A1680" s="18"/>
      <c r="B1680" s="18"/>
      <c r="C1680" s="18"/>
      <c r="E1680" s="18"/>
    </row>
    <row r="1681" ht="22.5" hidden="1" customHeight="1">
      <c r="A1681" s="18"/>
      <c r="B1681" s="18"/>
      <c r="C1681" s="18"/>
      <c r="E1681" s="18"/>
    </row>
    <row r="1682" ht="22.5" hidden="1" customHeight="1">
      <c r="A1682" s="18"/>
      <c r="B1682" s="18"/>
      <c r="C1682" s="18"/>
      <c r="E1682" s="18"/>
    </row>
    <row r="1683" ht="22.5" hidden="1" customHeight="1">
      <c r="A1683" s="18"/>
      <c r="B1683" s="18"/>
      <c r="C1683" s="18"/>
      <c r="E1683" s="18"/>
    </row>
    <row r="1684" ht="22.5" hidden="1" customHeight="1">
      <c r="A1684" s="18"/>
      <c r="B1684" s="18"/>
      <c r="C1684" s="18"/>
      <c r="E1684" s="18"/>
    </row>
    <row r="1685" ht="22.5" hidden="1" customHeight="1">
      <c r="A1685" s="18"/>
      <c r="B1685" s="18"/>
      <c r="C1685" s="18"/>
      <c r="E1685" s="18"/>
    </row>
    <row r="1686" ht="22.5" hidden="1" customHeight="1">
      <c r="A1686" s="18"/>
      <c r="B1686" s="18"/>
      <c r="C1686" s="18"/>
      <c r="E1686" s="18"/>
    </row>
    <row r="1687" ht="22.5" hidden="1" customHeight="1">
      <c r="A1687" s="18"/>
      <c r="B1687" s="18"/>
      <c r="C1687" s="18"/>
      <c r="E1687" s="18"/>
    </row>
    <row r="1688" ht="22.5" hidden="1" customHeight="1">
      <c r="A1688" s="18"/>
      <c r="B1688" s="18"/>
      <c r="C1688" s="18"/>
      <c r="E1688" s="18"/>
    </row>
    <row r="1689" ht="22.5" hidden="1" customHeight="1">
      <c r="A1689" s="18"/>
      <c r="B1689" s="18"/>
      <c r="C1689" s="18"/>
      <c r="E1689" s="18"/>
    </row>
    <row r="1690" ht="22.5" hidden="1" customHeight="1">
      <c r="A1690" s="18"/>
      <c r="B1690" s="18"/>
      <c r="C1690" s="18"/>
      <c r="E1690" s="18"/>
    </row>
    <row r="1691" ht="22.5" hidden="1" customHeight="1">
      <c r="A1691" s="18"/>
      <c r="B1691" s="18"/>
      <c r="C1691" s="18"/>
      <c r="E1691" s="18"/>
    </row>
    <row r="1692" ht="22.5" hidden="1" customHeight="1">
      <c r="A1692" s="18"/>
      <c r="B1692" s="18"/>
      <c r="C1692" s="18"/>
      <c r="E1692" s="18"/>
    </row>
    <row r="1693" ht="22.5" hidden="1" customHeight="1">
      <c r="A1693" s="18"/>
      <c r="B1693" s="18"/>
      <c r="C1693" s="18"/>
      <c r="E1693" s="18"/>
    </row>
    <row r="1694" ht="22.5" hidden="1" customHeight="1">
      <c r="A1694" s="18"/>
      <c r="B1694" s="18"/>
      <c r="C1694" s="18"/>
      <c r="E1694" s="18"/>
    </row>
    <row r="1695" ht="22.5" hidden="1" customHeight="1">
      <c r="A1695" s="18"/>
      <c r="B1695" s="18"/>
      <c r="C1695" s="18"/>
      <c r="E1695" s="18"/>
    </row>
    <row r="1696" ht="22.5" hidden="1" customHeight="1">
      <c r="A1696" s="18"/>
      <c r="B1696" s="18"/>
      <c r="C1696" s="18"/>
      <c r="E1696" s="18"/>
    </row>
    <row r="1697" ht="22.5" hidden="1" customHeight="1">
      <c r="A1697" s="18"/>
      <c r="B1697" s="18"/>
      <c r="C1697" s="18"/>
      <c r="E1697" s="18"/>
    </row>
    <row r="1698" ht="22.5" hidden="1" customHeight="1">
      <c r="A1698" s="18"/>
      <c r="B1698" s="18"/>
      <c r="C1698" s="18"/>
      <c r="E1698" s="18"/>
    </row>
    <row r="1699" ht="22.5" hidden="1" customHeight="1">
      <c r="A1699" s="18"/>
      <c r="B1699" s="18"/>
      <c r="C1699" s="18"/>
      <c r="E1699" s="18"/>
    </row>
    <row r="1700" ht="22.5" hidden="1" customHeight="1">
      <c r="A1700" s="18"/>
      <c r="B1700" s="18"/>
      <c r="C1700" s="18"/>
      <c r="E1700" s="18"/>
    </row>
    <row r="1701" ht="22.5" hidden="1" customHeight="1">
      <c r="A1701" s="18"/>
      <c r="B1701" s="18"/>
      <c r="C1701" s="18"/>
      <c r="E1701" s="18"/>
    </row>
    <row r="1702" ht="22.5" hidden="1" customHeight="1">
      <c r="A1702" s="18"/>
      <c r="B1702" s="18"/>
      <c r="C1702" s="18"/>
      <c r="E1702" s="18"/>
    </row>
    <row r="1703" ht="22.5" hidden="1" customHeight="1">
      <c r="A1703" s="18"/>
      <c r="B1703" s="18"/>
      <c r="C1703" s="18"/>
      <c r="E1703" s="18"/>
    </row>
    <row r="1704" ht="22.5" hidden="1" customHeight="1">
      <c r="A1704" s="18"/>
      <c r="B1704" s="18"/>
      <c r="C1704" s="18"/>
      <c r="E1704" s="18"/>
    </row>
    <row r="1705" ht="22.5" hidden="1" customHeight="1">
      <c r="A1705" s="18"/>
      <c r="B1705" s="18"/>
      <c r="C1705" s="18"/>
      <c r="E1705" s="18"/>
    </row>
    <row r="1706" ht="22.5" hidden="1" customHeight="1">
      <c r="A1706" s="18"/>
      <c r="B1706" s="18"/>
      <c r="C1706" s="18"/>
      <c r="E1706" s="18"/>
    </row>
    <row r="1707" ht="22.5" hidden="1" customHeight="1">
      <c r="A1707" s="18"/>
      <c r="B1707" s="18"/>
      <c r="C1707" s="18"/>
      <c r="E1707" s="18"/>
    </row>
    <row r="1708" ht="22.5" hidden="1" customHeight="1">
      <c r="A1708" s="18"/>
      <c r="B1708" s="18"/>
      <c r="C1708" s="18"/>
      <c r="E1708" s="18"/>
    </row>
    <row r="1709" ht="22.5" hidden="1" customHeight="1">
      <c r="A1709" s="18"/>
      <c r="B1709" s="18"/>
      <c r="C1709" s="18"/>
      <c r="E1709" s="18"/>
    </row>
    <row r="1710" ht="22.5" hidden="1" customHeight="1">
      <c r="A1710" s="18"/>
      <c r="B1710" s="18"/>
      <c r="C1710" s="18"/>
      <c r="E1710" s="18"/>
    </row>
    <row r="1711" ht="22.5" hidden="1" customHeight="1">
      <c r="A1711" s="18"/>
      <c r="B1711" s="18"/>
      <c r="C1711" s="18"/>
      <c r="E1711" s="18"/>
    </row>
    <row r="1712" ht="22.5" hidden="1" customHeight="1">
      <c r="A1712" s="18"/>
      <c r="B1712" s="18"/>
      <c r="C1712" s="18"/>
      <c r="E1712" s="18"/>
    </row>
    <row r="1713" ht="22.5" hidden="1" customHeight="1">
      <c r="A1713" s="18"/>
      <c r="B1713" s="18"/>
      <c r="C1713" s="18"/>
      <c r="E1713" s="18"/>
    </row>
    <row r="1714" ht="22.5" hidden="1" customHeight="1">
      <c r="A1714" s="18"/>
      <c r="B1714" s="18"/>
      <c r="C1714" s="18"/>
      <c r="E1714" s="18"/>
    </row>
    <row r="1715" ht="22.5" hidden="1" customHeight="1">
      <c r="A1715" s="18"/>
      <c r="B1715" s="18"/>
      <c r="C1715" s="18"/>
      <c r="E1715" s="18"/>
    </row>
    <row r="1716" ht="22.5" hidden="1" customHeight="1">
      <c r="A1716" s="18"/>
      <c r="B1716" s="18"/>
      <c r="C1716" s="18"/>
      <c r="E1716" s="18"/>
    </row>
    <row r="1717" ht="22.5" hidden="1" customHeight="1">
      <c r="A1717" s="18"/>
      <c r="B1717" s="18"/>
      <c r="C1717" s="18"/>
      <c r="E1717" s="18"/>
    </row>
    <row r="1718" ht="22.5" hidden="1" customHeight="1">
      <c r="A1718" s="18"/>
      <c r="B1718" s="18"/>
      <c r="C1718" s="18"/>
      <c r="E1718" s="18"/>
    </row>
    <row r="1719" ht="22.5" hidden="1" customHeight="1">
      <c r="A1719" s="18"/>
      <c r="B1719" s="18"/>
      <c r="C1719" s="18"/>
      <c r="E1719" s="18"/>
    </row>
    <row r="1720" ht="22.5" hidden="1" customHeight="1">
      <c r="A1720" s="18"/>
      <c r="B1720" s="18"/>
      <c r="C1720" s="18"/>
      <c r="E1720" s="18"/>
    </row>
    <row r="1721" ht="22.5" hidden="1" customHeight="1">
      <c r="A1721" s="18"/>
      <c r="B1721" s="18"/>
      <c r="C1721" s="18"/>
      <c r="E1721" s="18"/>
    </row>
    <row r="1722" ht="22.5" hidden="1" customHeight="1">
      <c r="A1722" s="18"/>
      <c r="B1722" s="18"/>
      <c r="C1722" s="18"/>
      <c r="E1722" s="18"/>
    </row>
    <row r="1723" ht="22.5" hidden="1" customHeight="1">
      <c r="A1723" s="18"/>
      <c r="B1723" s="18"/>
      <c r="C1723" s="18"/>
      <c r="E1723" s="18"/>
    </row>
    <row r="1724" ht="22.5" hidden="1" customHeight="1">
      <c r="A1724" s="18"/>
      <c r="B1724" s="18"/>
      <c r="C1724" s="18"/>
      <c r="E1724" s="18"/>
    </row>
    <row r="1725" ht="22.5" hidden="1" customHeight="1">
      <c r="A1725" s="18"/>
      <c r="B1725" s="18"/>
      <c r="C1725" s="18"/>
      <c r="E1725" s="18"/>
    </row>
    <row r="1726" ht="22.5" hidden="1" customHeight="1">
      <c r="A1726" s="18"/>
      <c r="B1726" s="18"/>
      <c r="C1726" s="18"/>
      <c r="E1726" s="18"/>
    </row>
    <row r="1727" ht="22.5" hidden="1" customHeight="1">
      <c r="A1727" s="18"/>
      <c r="B1727" s="18"/>
      <c r="C1727" s="18"/>
      <c r="E1727" s="18"/>
    </row>
    <row r="1728" ht="22.5" hidden="1" customHeight="1">
      <c r="A1728" s="18"/>
      <c r="B1728" s="18"/>
      <c r="C1728" s="18"/>
      <c r="E1728" s="18"/>
    </row>
    <row r="1729" ht="22.5" hidden="1" customHeight="1">
      <c r="A1729" s="18"/>
      <c r="B1729" s="18"/>
      <c r="C1729" s="18"/>
      <c r="E1729" s="18"/>
    </row>
    <row r="1730" ht="22.5" hidden="1" customHeight="1">
      <c r="A1730" s="18"/>
      <c r="B1730" s="18"/>
      <c r="C1730" s="18"/>
      <c r="E1730" s="18"/>
    </row>
    <row r="1731" ht="22.5" hidden="1" customHeight="1">
      <c r="A1731" s="18"/>
      <c r="B1731" s="18"/>
      <c r="C1731" s="18"/>
      <c r="E1731" s="18"/>
    </row>
    <row r="1732" ht="22.5" hidden="1" customHeight="1">
      <c r="A1732" s="18"/>
      <c r="B1732" s="18"/>
      <c r="C1732" s="18"/>
      <c r="E1732" s="18"/>
    </row>
    <row r="1733" ht="22.5" hidden="1" customHeight="1">
      <c r="A1733" s="18"/>
      <c r="B1733" s="18"/>
      <c r="C1733" s="18"/>
      <c r="E1733" s="18"/>
    </row>
    <row r="1734" ht="22.5" hidden="1" customHeight="1">
      <c r="A1734" s="18"/>
      <c r="B1734" s="18"/>
      <c r="C1734" s="18"/>
      <c r="E1734" s="18"/>
    </row>
    <row r="1735" ht="22.5" hidden="1" customHeight="1">
      <c r="A1735" s="18"/>
      <c r="B1735" s="18"/>
      <c r="C1735" s="18"/>
      <c r="E1735" s="18"/>
    </row>
    <row r="1736" ht="22.5" hidden="1" customHeight="1">
      <c r="A1736" s="18"/>
      <c r="B1736" s="18"/>
      <c r="C1736" s="18"/>
      <c r="E1736" s="18"/>
    </row>
    <row r="1737" ht="22.5" hidden="1" customHeight="1">
      <c r="A1737" s="18"/>
      <c r="B1737" s="18"/>
      <c r="C1737" s="18"/>
      <c r="E1737" s="18"/>
    </row>
    <row r="1738" ht="22.5" hidden="1" customHeight="1">
      <c r="A1738" s="18"/>
      <c r="B1738" s="18"/>
      <c r="C1738" s="18"/>
      <c r="E1738" s="18"/>
    </row>
    <row r="1739" ht="22.5" hidden="1" customHeight="1">
      <c r="A1739" s="18"/>
      <c r="B1739" s="18"/>
      <c r="C1739" s="18"/>
      <c r="E1739" s="18"/>
    </row>
    <row r="1740" ht="22.5" hidden="1" customHeight="1">
      <c r="A1740" s="18"/>
      <c r="B1740" s="18"/>
      <c r="C1740" s="18"/>
      <c r="E1740" s="18"/>
    </row>
    <row r="1741" ht="22.5" hidden="1" customHeight="1">
      <c r="A1741" s="18"/>
      <c r="B1741" s="18"/>
      <c r="C1741" s="18"/>
      <c r="E1741" s="18"/>
    </row>
    <row r="1742" ht="22.5" hidden="1" customHeight="1">
      <c r="A1742" s="18"/>
      <c r="B1742" s="18"/>
      <c r="C1742" s="18"/>
      <c r="E1742" s="18"/>
    </row>
    <row r="1743" ht="22.5" hidden="1" customHeight="1">
      <c r="A1743" s="18"/>
      <c r="B1743" s="18"/>
      <c r="C1743" s="18"/>
      <c r="E1743" s="18"/>
    </row>
    <row r="1744" ht="22.5" hidden="1" customHeight="1">
      <c r="A1744" s="18"/>
      <c r="B1744" s="18"/>
      <c r="C1744" s="18"/>
      <c r="E1744" s="18"/>
    </row>
    <row r="1745" ht="22.5" hidden="1" customHeight="1">
      <c r="A1745" s="18"/>
      <c r="B1745" s="18"/>
      <c r="C1745" s="18"/>
      <c r="E1745" s="18"/>
    </row>
    <row r="1746" ht="22.5" hidden="1" customHeight="1">
      <c r="A1746" s="18"/>
      <c r="B1746" s="18"/>
      <c r="C1746" s="18"/>
      <c r="E1746" s="18"/>
    </row>
    <row r="1747" ht="22.5" hidden="1" customHeight="1">
      <c r="A1747" s="18"/>
      <c r="B1747" s="18"/>
      <c r="C1747" s="18"/>
      <c r="E1747" s="18"/>
    </row>
    <row r="1748" ht="22.5" hidden="1" customHeight="1">
      <c r="A1748" s="18"/>
      <c r="B1748" s="18"/>
      <c r="C1748" s="18"/>
      <c r="E1748" s="18"/>
    </row>
    <row r="1749" ht="22.5" hidden="1" customHeight="1">
      <c r="A1749" s="18"/>
      <c r="B1749" s="18"/>
      <c r="C1749" s="18"/>
      <c r="E1749" s="18"/>
    </row>
    <row r="1750" ht="22.5" hidden="1" customHeight="1">
      <c r="A1750" s="18"/>
      <c r="B1750" s="18"/>
      <c r="C1750" s="18"/>
      <c r="E1750" s="18"/>
    </row>
    <row r="1751" ht="22.5" hidden="1" customHeight="1">
      <c r="A1751" s="18"/>
      <c r="B1751" s="18"/>
      <c r="C1751" s="18"/>
      <c r="E1751" s="18"/>
    </row>
    <row r="1752" ht="22.5" hidden="1" customHeight="1">
      <c r="A1752" s="18"/>
      <c r="B1752" s="18"/>
      <c r="C1752" s="18"/>
      <c r="E1752" s="18"/>
    </row>
    <row r="1753" ht="22.5" hidden="1" customHeight="1">
      <c r="A1753" s="18"/>
      <c r="B1753" s="18"/>
      <c r="C1753" s="18"/>
      <c r="E1753" s="18"/>
    </row>
    <row r="1754" ht="22.5" hidden="1" customHeight="1">
      <c r="A1754" s="18"/>
      <c r="B1754" s="18"/>
      <c r="C1754" s="18"/>
      <c r="E1754" s="18"/>
    </row>
    <row r="1755" ht="22.5" hidden="1" customHeight="1">
      <c r="A1755" s="18"/>
      <c r="B1755" s="18"/>
      <c r="C1755" s="18"/>
      <c r="E1755" s="18"/>
    </row>
    <row r="1756" ht="22.5" hidden="1" customHeight="1">
      <c r="A1756" s="18"/>
      <c r="B1756" s="18"/>
      <c r="C1756" s="18"/>
      <c r="E1756" s="18"/>
    </row>
    <row r="1757" ht="22.5" hidden="1" customHeight="1">
      <c r="A1757" s="18"/>
      <c r="B1757" s="18"/>
      <c r="C1757" s="18"/>
      <c r="E1757" s="18"/>
    </row>
    <row r="1758" ht="22.5" hidden="1" customHeight="1">
      <c r="A1758" s="18"/>
      <c r="B1758" s="18"/>
      <c r="C1758" s="18"/>
      <c r="E1758" s="18"/>
    </row>
    <row r="1759" ht="22.5" hidden="1" customHeight="1">
      <c r="A1759" s="18"/>
      <c r="B1759" s="18"/>
      <c r="C1759" s="18"/>
      <c r="E1759" s="18"/>
    </row>
    <row r="1760" ht="22.5" hidden="1" customHeight="1">
      <c r="A1760" s="18"/>
      <c r="B1760" s="18"/>
      <c r="C1760" s="18"/>
      <c r="E1760" s="18"/>
    </row>
    <row r="1761" ht="22.5" hidden="1" customHeight="1">
      <c r="A1761" s="18"/>
      <c r="B1761" s="18"/>
      <c r="C1761" s="18"/>
      <c r="E1761" s="18"/>
    </row>
    <row r="1762" ht="22.5" hidden="1" customHeight="1">
      <c r="A1762" s="18"/>
      <c r="B1762" s="18"/>
      <c r="C1762" s="18"/>
      <c r="E1762" s="18"/>
    </row>
    <row r="1763" ht="22.5" hidden="1" customHeight="1">
      <c r="A1763" s="18"/>
      <c r="B1763" s="18"/>
      <c r="C1763" s="18"/>
      <c r="E1763" s="18"/>
    </row>
    <row r="1764" ht="22.5" hidden="1" customHeight="1">
      <c r="A1764" s="18"/>
      <c r="B1764" s="18"/>
      <c r="C1764" s="18"/>
      <c r="E1764" s="18"/>
    </row>
    <row r="1765" ht="22.5" hidden="1" customHeight="1">
      <c r="A1765" s="18"/>
      <c r="B1765" s="18"/>
      <c r="C1765" s="18"/>
      <c r="E1765" s="18"/>
    </row>
    <row r="1766" ht="22.5" hidden="1" customHeight="1">
      <c r="A1766" s="18"/>
      <c r="B1766" s="18"/>
      <c r="C1766" s="18"/>
      <c r="E1766" s="18"/>
    </row>
    <row r="1767" ht="22.5" hidden="1" customHeight="1">
      <c r="A1767" s="18"/>
      <c r="B1767" s="18"/>
      <c r="C1767" s="18"/>
      <c r="E1767" s="18"/>
    </row>
    <row r="1768" ht="22.5" hidden="1" customHeight="1">
      <c r="A1768" s="18"/>
      <c r="B1768" s="18"/>
      <c r="C1768" s="18"/>
      <c r="E1768" s="18"/>
    </row>
    <row r="1769" ht="22.5" hidden="1" customHeight="1">
      <c r="A1769" s="18"/>
      <c r="B1769" s="18"/>
      <c r="C1769" s="18"/>
      <c r="E1769" s="18"/>
    </row>
    <row r="1770" ht="22.5" hidden="1" customHeight="1">
      <c r="A1770" s="18"/>
      <c r="B1770" s="18"/>
      <c r="C1770" s="18"/>
      <c r="E1770" s="18"/>
    </row>
    <row r="1771" ht="22.5" hidden="1" customHeight="1">
      <c r="A1771" s="18"/>
      <c r="B1771" s="18"/>
      <c r="C1771" s="18"/>
      <c r="E1771" s="18"/>
    </row>
    <row r="1772" ht="22.5" hidden="1" customHeight="1">
      <c r="A1772" s="18"/>
      <c r="B1772" s="18"/>
      <c r="C1772" s="18"/>
      <c r="E1772" s="18"/>
    </row>
    <row r="1773" ht="22.5" hidden="1" customHeight="1">
      <c r="A1773" s="18"/>
      <c r="B1773" s="18"/>
      <c r="C1773" s="18"/>
      <c r="E1773" s="18"/>
    </row>
    <row r="1774" ht="22.5" hidden="1" customHeight="1">
      <c r="A1774" s="18"/>
      <c r="B1774" s="18"/>
      <c r="C1774" s="18"/>
      <c r="E1774" s="18"/>
    </row>
    <row r="1775" ht="22.5" hidden="1" customHeight="1">
      <c r="A1775" s="18"/>
      <c r="B1775" s="18"/>
      <c r="C1775" s="18"/>
      <c r="E1775" s="18"/>
    </row>
    <row r="1776" ht="22.5" hidden="1" customHeight="1">
      <c r="A1776" s="18"/>
      <c r="B1776" s="18"/>
      <c r="C1776" s="18"/>
      <c r="E1776" s="18"/>
    </row>
    <row r="1777" ht="22.5" hidden="1" customHeight="1">
      <c r="A1777" s="18"/>
      <c r="B1777" s="18"/>
      <c r="C1777" s="18"/>
      <c r="E1777" s="18"/>
    </row>
    <row r="1778" ht="22.5" hidden="1" customHeight="1">
      <c r="A1778" s="18"/>
      <c r="B1778" s="18"/>
      <c r="C1778" s="18"/>
      <c r="E1778" s="18"/>
    </row>
    <row r="1779" ht="22.5" hidden="1" customHeight="1">
      <c r="A1779" s="18"/>
      <c r="B1779" s="18"/>
      <c r="C1779" s="18"/>
      <c r="E1779" s="18"/>
    </row>
    <row r="1780" ht="22.5" hidden="1" customHeight="1">
      <c r="A1780" s="18"/>
      <c r="B1780" s="18"/>
      <c r="C1780" s="18"/>
      <c r="E1780" s="18"/>
    </row>
    <row r="1781" ht="22.5" hidden="1" customHeight="1">
      <c r="A1781" s="18"/>
      <c r="B1781" s="18"/>
      <c r="C1781" s="18"/>
      <c r="E1781" s="18"/>
    </row>
    <row r="1782" ht="22.5" hidden="1" customHeight="1">
      <c r="A1782" s="18"/>
      <c r="B1782" s="18"/>
      <c r="C1782" s="18"/>
      <c r="E1782" s="18"/>
    </row>
    <row r="1783" ht="22.5" hidden="1" customHeight="1">
      <c r="A1783" s="18"/>
      <c r="B1783" s="18"/>
      <c r="C1783" s="18"/>
      <c r="E1783" s="18"/>
    </row>
    <row r="1784" ht="22.5" hidden="1" customHeight="1">
      <c r="A1784" s="18"/>
      <c r="B1784" s="18"/>
      <c r="C1784" s="18"/>
      <c r="E1784" s="18"/>
    </row>
    <row r="1785" ht="22.5" hidden="1" customHeight="1">
      <c r="A1785" s="18"/>
      <c r="B1785" s="18"/>
      <c r="C1785" s="18"/>
      <c r="E1785" s="18"/>
    </row>
    <row r="1786" ht="22.5" hidden="1" customHeight="1">
      <c r="A1786" s="18"/>
      <c r="B1786" s="18"/>
      <c r="C1786" s="18"/>
      <c r="E1786" s="18"/>
    </row>
    <row r="1787" ht="22.5" hidden="1" customHeight="1">
      <c r="A1787" s="18"/>
      <c r="B1787" s="18"/>
      <c r="C1787" s="18"/>
      <c r="E1787" s="18"/>
    </row>
    <row r="1788" ht="22.5" hidden="1" customHeight="1">
      <c r="A1788" s="18"/>
      <c r="B1788" s="18"/>
      <c r="C1788" s="18"/>
      <c r="E1788" s="18"/>
    </row>
    <row r="1789" ht="22.5" hidden="1" customHeight="1">
      <c r="A1789" s="18"/>
      <c r="B1789" s="18"/>
      <c r="C1789" s="18"/>
      <c r="E1789" s="18"/>
    </row>
    <row r="1790" ht="22.5" hidden="1" customHeight="1">
      <c r="A1790" s="18"/>
      <c r="B1790" s="18"/>
      <c r="C1790" s="18"/>
      <c r="E1790" s="18"/>
    </row>
    <row r="1791" ht="22.5" hidden="1" customHeight="1">
      <c r="A1791" s="18"/>
      <c r="B1791" s="18"/>
      <c r="C1791" s="18"/>
      <c r="E1791" s="18"/>
    </row>
    <row r="1792" ht="22.5" hidden="1" customHeight="1">
      <c r="A1792" s="18"/>
      <c r="B1792" s="18"/>
      <c r="C1792" s="18"/>
      <c r="E1792" s="18"/>
    </row>
    <row r="1793" ht="22.5" hidden="1" customHeight="1">
      <c r="A1793" s="18"/>
      <c r="B1793" s="18"/>
      <c r="C1793" s="18"/>
      <c r="E1793" s="18"/>
    </row>
    <row r="1794" ht="22.5" hidden="1" customHeight="1">
      <c r="A1794" s="18"/>
      <c r="B1794" s="18"/>
      <c r="C1794" s="18"/>
      <c r="E1794" s="18"/>
    </row>
    <row r="1795" ht="22.5" hidden="1" customHeight="1">
      <c r="A1795" s="18"/>
      <c r="B1795" s="18"/>
      <c r="C1795" s="18"/>
      <c r="E1795" s="18"/>
    </row>
    <row r="1796" ht="22.5" hidden="1" customHeight="1">
      <c r="A1796" s="18"/>
      <c r="B1796" s="18"/>
      <c r="C1796" s="18"/>
      <c r="E1796" s="18"/>
    </row>
    <row r="1797" ht="22.5" hidden="1" customHeight="1">
      <c r="A1797" s="18"/>
      <c r="B1797" s="18"/>
      <c r="C1797" s="18"/>
      <c r="E1797" s="18"/>
    </row>
    <row r="1798" ht="22.5" hidden="1" customHeight="1">
      <c r="A1798" s="18"/>
      <c r="B1798" s="18"/>
      <c r="C1798" s="18"/>
      <c r="E1798" s="18"/>
    </row>
    <row r="1799" ht="22.5" hidden="1" customHeight="1">
      <c r="A1799" s="18"/>
      <c r="B1799" s="18"/>
      <c r="C1799" s="18"/>
      <c r="E1799" s="18"/>
    </row>
    <row r="1800" ht="22.5" hidden="1" customHeight="1">
      <c r="A1800" s="18"/>
      <c r="B1800" s="18"/>
      <c r="C1800" s="18"/>
      <c r="E1800" s="18"/>
    </row>
    <row r="1801" ht="22.5" hidden="1" customHeight="1">
      <c r="A1801" s="18"/>
      <c r="B1801" s="18"/>
      <c r="C1801" s="18"/>
      <c r="E1801" s="18"/>
    </row>
    <row r="1802" ht="22.5" hidden="1" customHeight="1">
      <c r="A1802" s="18"/>
      <c r="B1802" s="18"/>
      <c r="C1802" s="18"/>
      <c r="E1802" s="18"/>
    </row>
    <row r="1803" ht="22.5" hidden="1" customHeight="1">
      <c r="A1803" s="18"/>
      <c r="B1803" s="18"/>
      <c r="C1803" s="18"/>
      <c r="E1803" s="18"/>
    </row>
    <row r="1804" ht="22.5" hidden="1" customHeight="1">
      <c r="A1804" s="18"/>
      <c r="B1804" s="18"/>
      <c r="C1804" s="18"/>
      <c r="E1804" s="18"/>
    </row>
    <row r="1805" ht="22.5" hidden="1" customHeight="1">
      <c r="A1805" s="18"/>
      <c r="B1805" s="18"/>
      <c r="C1805" s="18"/>
      <c r="E1805" s="18"/>
    </row>
    <row r="1806" ht="22.5" hidden="1" customHeight="1">
      <c r="A1806" s="18"/>
      <c r="B1806" s="18"/>
      <c r="C1806" s="18"/>
      <c r="E1806" s="18"/>
    </row>
    <row r="1807" ht="22.5" hidden="1" customHeight="1">
      <c r="A1807" s="18"/>
      <c r="B1807" s="18"/>
      <c r="C1807" s="18"/>
      <c r="E1807" s="18"/>
    </row>
    <row r="1808" ht="22.5" hidden="1" customHeight="1">
      <c r="A1808" s="18"/>
      <c r="B1808" s="18"/>
      <c r="C1808" s="18"/>
      <c r="E1808" s="18"/>
    </row>
    <row r="1809" ht="22.5" hidden="1" customHeight="1">
      <c r="A1809" s="18"/>
      <c r="B1809" s="18"/>
      <c r="C1809" s="18"/>
      <c r="E1809" s="18"/>
    </row>
    <row r="1810" ht="22.5" hidden="1" customHeight="1">
      <c r="A1810" s="18"/>
      <c r="B1810" s="18"/>
      <c r="C1810" s="18"/>
      <c r="E1810" s="18"/>
    </row>
    <row r="1811" ht="22.5" hidden="1" customHeight="1">
      <c r="A1811" s="18"/>
      <c r="B1811" s="18"/>
      <c r="C1811" s="18"/>
      <c r="E1811" s="18"/>
    </row>
    <row r="1812" ht="22.5" hidden="1" customHeight="1">
      <c r="A1812" s="18"/>
      <c r="B1812" s="18"/>
      <c r="C1812" s="18"/>
      <c r="E1812" s="18"/>
    </row>
    <row r="1813" ht="22.5" hidden="1" customHeight="1">
      <c r="A1813" s="18"/>
      <c r="B1813" s="18"/>
      <c r="C1813" s="18"/>
      <c r="E1813" s="18"/>
    </row>
    <row r="1814" ht="22.5" hidden="1" customHeight="1">
      <c r="A1814" s="18"/>
      <c r="B1814" s="18"/>
      <c r="C1814" s="18"/>
      <c r="E1814" s="18"/>
    </row>
    <row r="1815" ht="22.5" hidden="1" customHeight="1">
      <c r="A1815" s="18"/>
      <c r="B1815" s="18"/>
      <c r="C1815" s="18"/>
      <c r="E1815" s="18"/>
    </row>
    <row r="1816" ht="22.5" hidden="1" customHeight="1">
      <c r="A1816" s="18"/>
      <c r="B1816" s="18"/>
      <c r="C1816" s="18"/>
      <c r="E1816" s="18"/>
    </row>
    <row r="1817" ht="22.5" hidden="1" customHeight="1">
      <c r="A1817" s="18"/>
      <c r="B1817" s="18"/>
      <c r="C1817" s="18"/>
      <c r="E1817" s="18"/>
    </row>
    <row r="1818" ht="22.5" hidden="1" customHeight="1">
      <c r="A1818" s="18"/>
      <c r="B1818" s="18"/>
      <c r="C1818" s="18"/>
      <c r="E1818" s="18"/>
    </row>
    <row r="1819" ht="22.5" hidden="1" customHeight="1">
      <c r="A1819" s="18"/>
      <c r="B1819" s="18"/>
      <c r="C1819" s="18"/>
      <c r="E1819" s="18"/>
    </row>
    <row r="1820" ht="22.5" hidden="1" customHeight="1">
      <c r="A1820" s="18"/>
      <c r="B1820" s="18"/>
      <c r="C1820" s="18"/>
      <c r="E1820" s="18"/>
    </row>
    <row r="1821" ht="22.5" hidden="1" customHeight="1">
      <c r="A1821" s="18"/>
      <c r="B1821" s="18"/>
      <c r="C1821" s="18"/>
      <c r="E1821" s="18"/>
    </row>
    <row r="1822" ht="22.5" hidden="1" customHeight="1">
      <c r="A1822" s="18"/>
      <c r="B1822" s="18"/>
      <c r="C1822" s="18"/>
      <c r="E1822" s="18"/>
    </row>
    <row r="1823" ht="22.5" hidden="1" customHeight="1">
      <c r="A1823" s="18"/>
      <c r="B1823" s="18"/>
      <c r="C1823" s="18"/>
      <c r="E1823" s="18"/>
    </row>
    <row r="1824" ht="22.5" hidden="1" customHeight="1">
      <c r="A1824" s="18"/>
      <c r="B1824" s="18"/>
      <c r="C1824" s="18"/>
      <c r="E1824" s="18"/>
    </row>
    <row r="1825" ht="22.5" hidden="1" customHeight="1">
      <c r="A1825" s="18"/>
      <c r="B1825" s="18"/>
      <c r="C1825" s="18"/>
      <c r="E1825" s="18"/>
    </row>
    <row r="1826" ht="22.5" hidden="1" customHeight="1">
      <c r="A1826" s="18"/>
      <c r="B1826" s="18"/>
      <c r="C1826" s="18"/>
      <c r="E1826" s="18"/>
    </row>
    <row r="1827" ht="22.5" hidden="1" customHeight="1">
      <c r="A1827" s="18"/>
      <c r="B1827" s="18"/>
      <c r="C1827" s="18"/>
      <c r="E1827" s="18"/>
    </row>
    <row r="1828" ht="22.5" hidden="1" customHeight="1">
      <c r="A1828" s="18"/>
      <c r="B1828" s="18"/>
      <c r="C1828" s="18"/>
      <c r="E1828" s="18"/>
    </row>
    <row r="1829" ht="22.5" hidden="1" customHeight="1">
      <c r="A1829" s="18"/>
      <c r="B1829" s="18"/>
      <c r="C1829" s="18"/>
      <c r="E1829" s="18"/>
    </row>
    <row r="1830" ht="22.5" hidden="1" customHeight="1">
      <c r="A1830" s="18"/>
      <c r="B1830" s="18"/>
      <c r="C1830" s="18"/>
      <c r="E1830" s="18"/>
    </row>
    <row r="1831" ht="22.5" hidden="1" customHeight="1">
      <c r="A1831" s="18"/>
      <c r="B1831" s="18"/>
      <c r="C1831" s="18"/>
      <c r="E1831" s="18"/>
    </row>
    <row r="1832" ht="22.5" hidden="1" customHeight="1">
      <c r="A1832" s="18"/>
      <c r="B1832" s="18"/>
      <c r="C1832" s="18"/>
      <c r="E1832" s="18"/>
    </row>
    <row r="1833" ht="22.5" hidden="1" customHeight="1">
      <c r="A1833" s="18"/>
      <c r="B1833" s="18"/>
      <c r="C1833" s="18"/>
      <c r="E1833" s="18"/>
    </row>
    <row r="1834" ht="22.5" hidden="1" customHeight="1">
      <c r="A1834" s="18"/>
      <c r="B1834" s="18"/>
      <c r="C1834" s="18"/>
      <c r="E1834" s="18"/>
    </row>
    <row r="1835" ht="22.5" hidden="1" customHeight="1">
      <c r="A1835" s="18"/>
      <c r="B1835" s="18"/>
      <c r="C1835" s="18"/>
      <c r="E1835" s="18"/>
    </row>
    <row r="1836" ht="22.5" hidden="1" customHeight="1">
      <c r="A1836" s="18"/>
      <c r="B1836" s="18"/>
      <c r="C1836" s="18"/>
      <c r="E1836" s="18"/>
    </row>
    <row r="1837" ht="22.5" hidden="1" customHeight="1">
      <c r="A1837" s="18"/>
      <c r="B1837" s="18"/>
      <c r="C1837" s="18"/>
      <c r="E1837" s="18"/>
    </row>
    <row r="1838" ht="22.5" hidden="1" customHeight="1">
      <c r="A1838" s="18"/>
      <c r="B1838" s="18"/>
      <c r="C1838" s="18"/>
      <c r="E1838" s="18"/>
    </row>
    <row r="1839" ht="22.5" hidden="1" customHeight="1">
      <c r="A1839" s="18"/>
      <c r="B1839" s="18"/>
      <c r="C1839" s="18"/>
      <c r="E1839" s="18"/>
    </row>
    <row r="1840" ht="22.5" hidden="1" customHeight="1">
      <c r="A1840" s="18"/>
      <c r="B1840" s="18"/>
      <c r="C1840" s="18"/>
      <c r="E1840" s="18"/>
    </row>
    <row r="1841" ht="22.5" hidden="1" customHeight="1">
      <c r="A1841" s="18"/>
      <c r="B1841" s="18"/>
      <c r="C1841" s="18"/>
      <c r="E1841" s="18"/>
    </row>
    <row r="1842" ht="22.5" hidden="1" customHeight="1">
      <c r="A1842" s="18"/>
      <c r="B1842" s="18"/>
      <c r="C1842" s="18"/>
      <c r="E1842" s="18"/>
    </row>
    <row r="1843" ht="22.5" hidden="1" customHeight="1">
      <c r="A1843" s="18"/>
      <c r="B1843" s="18"/>
      <c r="C1843" s="18"/>
      <c r="E1843" s="18"/>
    </row>
    <row r="1844" ht="22.5" hidden="1" customHeight="1">
      <c r="A1844" s="18"/>
      <c r="B1844" s="18"/>
      <c r="C1844" s="18"/>
      <c r="E1844" s="18"/>
    </row>
    <row r="1845" ht="22.5" hidden="1" customHeight="1">
      <c r="A1845" s="18"/>
      <c r="B1845" s="18"/>
      <c r="C1845" s="18"/>
      <c r="E1845" s="18"/>
    </row>
    <row r="1846" ht="22.5" hidden="1" customHeight="1">
      <c r="A1846" s="18"/>
      <c r="B1846" s="18"/>
      <c r="C1846" s="18"/>
      <c r="E1846" s="18"/>
    </row>
    <row r="1847" ht="22.5" hidden="1" customHeight="1">
      <c r="A1847" s="18"/>
      <c r="B1847" s="18"/>
      <c r="C1847" s="18"/>
      <c r="E1847" s="18"/>
    </row>
    <row r="1848" ht="22.5" hidden="1" customHeight="1">
      <c r="A1848" s="18"/>
      <c r="B1848" s="18"/>
      <c r="C1848" s="18"/>
      <c r="E1848" s="18"/>
    </row>
    <row r="1849" ht="22.5" hidden="1" customHeight="1">
      <c r="A1849" s="18"/>
      <c r="B1849" s="18"/>
      <c r="C1849" s="18"/>
      <c r="E1849" s="18"/>
    </row>
    <row r="1850" ht="22.5" hidden="1" customHeight="1">
      <c r="A1850" s="18"/>
      <c r="B1850" s="18"/>
      <c r="C1850" s="18"/>
      <c r="E1850" s="18"/>
    </row>
    <row r="1851" ht="22.5" hidden="1" customHeight="1">
      <c r="A1851" s="18"/>
      <c r="B1851" s="18"/>
      <c r="C1851" s="18"/>
      <c r="E1851" s="18"/>
    </row>
    <row r="1852" ht="22.5" hidden="1" customHeight="1">
      <c r="A1852" s="18"/>
      <c r="B1852" s="18"/>
      <c r="C1852" s="18"/>
      <c r="E1852" s="18"/>
    </row>
    <row r="1853" ht="22.5" hidden="1" customHeight="1">
      <c r="A1853" s="18"/>
      <c r="B1853" s="18"/>
      <c r="C1853" s="18"/>
      <c r="E1853" s="18"/>
    </row>
    <row r="1854" ht="22.5" hidden="1" customHeight="1">
      <c r="A1854" s="18"/>
      <c r="B1854" s="18"/>
      <c r="C1854" s="18"/>
      <c r="E1854" s="18"/>
    </row>
    <row r="1855" ht="22.5" hidden="1" customHeight="1">
      <c r="A1855" s="18"/>
      <c r="B1855" s="18"/>
      <c r="C1855" s="18"/>
      <c r="E1855" s="18"/>
    </row>
    <row r="1856" ht="22.5" hidden="1" customHeight="1">
      <c r="A1856" s="18"/>
      <c r="B1856" s="18"/>
      <c r="C1856" s="18"/>
      <c r="E1856" s="18"/>
    </row>
    <row r="1857" ht="22.5" hidden="1" customHeight="1">
      <c r="A1857" s="18"/>
      <c r="B1857" s="18"/>
      <c r="C1857" s="18"/>
      <c r="E1857" s="18"/>
    </row>
    <row r="1858" ht="22.5" hidden="1" customHeight="1">
      <c r="A1858" s="18"/>
      <c r="B1858" s="18"/>
      <c r="C1858" s="18"/>
      <c r="E1858" s="18"/>
    </row>
    <row r="1859" ht="22.5" hidden="1" customHeight="1">
      <c r="A1859" s="18"/>
      <c r="B1859" s="18"/>
      <c r="C1859" s="18"/>
      <c r="E1859" s="18"/>
    </row>
    <row r="1860" ht="22.5" hidden="1" customHeight="1">
      <c r="A1860" s="18"/>
      <c r="B1860" s="18"/>
      <c r="C1860" s="18"/>
      <c r="E1860" s="18"/>
    </row>
    <row r="1861" ht="22.5" hidden="1" customHeight="1">
      <c r="A1861" s="18"/>
      <c r="B1861" s="18"/>
      <c r="C1861" s="18"/>
      <c r="E1861" s="18"/>
    </row>
    <row r="1862" ht="22.5" hidden="1" customHeight="1">
      <c r="A1862" s="18"/>
      <c r="B1862" s="18"/>
      <c r="C1862" s="18"/>
      <c r="E1862" s="18"/>
    </row>
    <row r="1863" ht="22.5" hidden="1" customHeight="1">
      <c r="A1863" s="18"/>
      <c r="B1863" s="18"/>
      <c r="C1863" s="18"/>
      <c r="E1863" s="18"/>
    </row>
    <row r="1864" ht="22.5" hidden="1" customHeight="1">
      <c r="A1864" s="18"/>
      <c r="B1864" s="18"/>
      <c r="C1864" s="18"/>
      <c r="E1864" s="18"/>
    </row>
    <row r="1865" ht="22.5" hidden="1" customHeight="1">
      <c r="A1865" s="18"/>
      <c r="B1865" s="18"/>
      <c r="C1865" s="18"/>
      <c r="E1865" s="18"/>
    </row>
    <row r="1866" ht="22.5" hidden="1" customHeight="1">
      <c r="A1866" s="18"/>
      <c r="B1866" s="18"/>
      <c r="C1866" s="18"/>
      <c r="E1866" s="18"/>
    </row>
    <row r="1867" ht="22.5" hidden="1" customHeight="1">
      <c r="A1867" s="18"/>
      <c r="B1867" s="18"/>
      <c r="C1867" s="18"/>
      <c r="E1867" s="18"/>
    </row>
    <row r="1868" ht="22.5" hidden="1" customHeight="1">
      <c r="A1868" s="18"/>
      <c r="B1868" s="18"/>
      <c r="C1868" s="18"/>
      <c r="E1868" s="18"/>
    </row>
    <row r="1869" ht="22.5" hidden="1" customHeight="1">
      <c r="A1869" s="18"/>
      <c r="B1869" s="18"/>
      <c r="C1869" s="18"/>
      <c r="E1869" s="18"/>
    </row>
    <row r="1870" ht="22.5" hidden="1" customHeight="1">
      <c r="A1870" s="18"/>
      <c r="B1870" s="18"/>
      <c r="C1870" s="18"/>
      <c r="E1870" s="18"/>
    </row>
    <row r="1871" ht="22.5" hidden="1" customHeight="1">
      <c r="A1871" s="18"/>
      <c r="B1871" s="18"/>
      <c r="C1871" s="18"/>
      <c r="E1871" s="18"/>
    </row>
    <row r="1872" ht="22.5" hidden="1" customHeight="1">
      <c r="A1872" s="18"/>
      <c r="B1872" s="18"/>
      <c r="C1872" s="18"/>
      <c r="E1872" s="18"/>
    </row>
    <row r="1873" ht="22.5" hidden="1" customHeight="1">
      <c r="A1873" s="18"/>
      <c r="B1873" s="18"/>
      <c r="C1873" s="18"/>
      <c r="E1873" s="18"/>
    </row>
    <row r="1874" ht="22.5" hidden="1" customHeight="1">
      <c r="A1874" s="18"/>
      <c r="B1874" s="18"/>
      <c r="C1874" s="18"/>
      <c r="E1874" s="18"/>
    </row>
    <row r="1875" ht="22.5" hidden="1" customHeight="1">
      <c r="A1875" s="18"/>
      <c r="B1875" s="18"/>
      <c r="C1875" s="18"/>
      <c r="E1875" s="18"/>
    </row>
    <row r="1876" ht="22.5" hidden="1" customHeight="1">
      <c r="A1876" s="18"/>
      <c r="B1876" s="18"/>
      <c r="C1876" s="18"/>
      <c r="E1876" s="18"/>
    </row>
    <row r="1877" ht="22.5" hidden="1" customHeight="1">
      <c r="A1877" s="18"/>
      <c r="B1877" s="18"/>
      <c r="C1877" s="18"/>
      <c r="E1877" s="18"/>
    </row>
    <row r="1878" ht="22.5" hidden="1" customHeight="1">
      <c r="A1878" s="18"/>
      <c r="B1878" s="18"/>
      <c r="C1878" s="18"/>
      <c r="E1878" s="18"/>
    </row>
    <row r="1879" ht="22.5" hidden="1" customHeight="1">
      <c r="A1879" s="18"/>
      <c r="B1879" s="18"/>
      <c r="C1879" s="18"/>
      <c r="E1879" s="18"/>
    </row>
    <row r="1880" ht="22.5" hidden="1" customHeight="1">
      <c r="A1880" s="18"/>
      <c r="B1880" s="18"/>
      <c r="C1880" s="18"/>
      <c r="E1880" s="18"/>
    </row>
    <row r="1881" ht="22.5" hidden="1" customHeight="1">
      <c r="A1881" s="18"/>
      <c r="B1881" s="18"/>
      <c r="C1881" s="18"/>
      <c r="E1881" s="18"/>
    </row>
    <row r="1882" ht="22.5" hidden="1" customHeight="1">
      <c r="A1882" s="18"/>
      <c r="B1882" s="18"/>
      <c r="C1882" s="18"/>
      <c r="E1882" s="18"/>
    </row>
    <row r="1883" ht="22.5" hidden="1" customHeight="1">
      <c r="A1883" s="18"/>
      <c r="B1883" s="18"/>
      <c r="C1883" s="18"/>
      <c r="E1883" s="18"/>
    </row>
    <row r="1884" ht="22.5" hidden="1" customHeight="1">
      <c r="A1884" s="18"/>
      <c r="B1884" s="18"/>
      <c r="C1884" s="18"/>
      <c r="E1884" s="18"/>
    </row>
    <row r="1885" ht="22.5" hidden="1" customHeight="1">
      <c r="A1885" s="18"/>
      <c r="B1885" s="18"/>
      <c r="C1885" s="18"/>
      <c r="E1885" s="18"/>
    </row>
    <row r="1886" ht="22.5" hidden="1" customHeight="1">
      <c r="A1886" s="18"/>
      <c r="B1886" s="18"/>
      <c r="C1886" s="18"/>
      <c r="E1886" s="18"/>
    </row>
    <row r="1887" ht="22.5" hidden="1" customHeight="1">
      <c r="A1887" s="18"/>
      <c r="B1887" s="18"/>
      <c r="C1887" s="18"/>
      <c r="E1887" s="18"/>
    </row>
    <row r="1888" ht="22.5" hidden="1" customHeight="1">
      <c r="A1888" s="18"/>
      <c r="B1888" s="18"/>
      <c r="C1888" s="18"/>
      <c r="E1888" s="18"/>
    </row>
    <row r="1889" ht="22.5" hidden="1" customHeight="1">
      <c r="A1889" s="18"/>
      <c r="B1889" s="18"/>
      <c r="C1889" s="18"/>
      <c r="E1889" s="18"/>
    </row>
    <row r="1890" ht="22.5" hidden="1" customHeight="1">
      <c r="A1890" s="18"/>
      <c r="B1890" s="18"/>
      <c r="C1890" s="18"/>
      <c r="E1890" s="18"/>
    </row>
    <row r="1891" ht="22.5" hidden="1" customHeight="1">
      <c r="A1891" s="18"/>
      <c r="B1891" s="18"/>
      <c r="C1891" s="18"/>
      <c r="E1891" s="18"/>
    </row>
    <row r="1892" ht="22.5" hidden="1" customHeight="1">
      <c r="A1892" s="18"/>
      <c r="B1892" s="18"/>
      <c r="C1892" s="18"/>
      <c r="E1892" s="18"/>
    </row>
    <row r="1893" ht="22.5" hidden="1" customHeight="1">
      <c r="A1893" s="18"/>
      <c r="B1893" s="18"/>
      <c r="C1893" s="18"/>
      <c r="E1893" s="18"/>
    </row>
    <row r="1894" ht="22.5" hidden="1" customHeight="1">
      <c r="A1894" s="18"/>
      <c r="B1894" s="18"/>
      <c r="C1894" s="18"/>
      <c r="E1894" s="18"/>
    </row>
    <row r="1895" ht="22.5" hidden="1" customHeight="1">
      <c r="A1895" s="18"/>
      <c r="B1895" s="18"/>
      <c r="C1895" s="18"/>
      <c r="E1895" s="18"/>
    </row>
    <row r="1896" ht="22.5" hidden="1" customHeight="1">
      <c r="A1896" s="18"/>
      <c r="B1896" s="18"/>
      <c r="C1896" s="18"/>
      <c r="E1896" s="18"/>
    </row>
    <row r="1897" ht="22.5" hidden="1" customHeight="1">
      <c r="A1897" s="18"/>
      <c r="B1897" s="18"/>
      <c r="C1897" s="18"/>
      <c r="E1897" s="18"/>
    </row>
    <row r="1898" ht="22.5" hidden="1" customHeight="1">
      <c r="A1898" s="18"/>
      <c r="B1898" s="18"/>
      <c r="C1898" s="18"/>
      <c r="E1898" s="18"/>
    </row>
    <row r="1899" ht="22.5" hidden="1" customHeight="1">
      <c r="A1899" s="18"/>
      <c r="B1899" s="18"/>
      <c r="C1899" s="18"/>
      <c r="E1899" s="18"/>
    </row>
    <row r="1900" ht="22.5" hidden="1" customHeight="1">
      <c r="A1900" s="18"/>
      <c r="B1900" s="18"/>
      <c r="C1900" s="18"/>
      <c r="E1900" s="18"/>
    </row>
    <row r="1901" ht="22.5" hidden="1" customHeight="1">
      <c r="A1901" s="18"/>
      <c r="B1901" s="18"/>
      <c r="C1901" s="18"/>
      <c r="E1901" s="18"/>
    </row>
    <row r="1902" ht="22.5" hidden="1" customHeight="1">
      <c r="A1902" s="18"/>
      <c r="B1902" s="18"/>
      <c r="C1902" s="18"/>
      <c r="E1902" s="18"/>
    </row>
    <row r="1903" ht="22.5" hidden="1" customHeight="1">
      <c r="A1903" s="18"/>
      <c r="B1903" s="18"/>
      <c r="C1903" s="18"/>
      <c r="E1903" s="18"/>
    </row>
    <row r="1904" ht="22.5" hidden="1" customHeight="1">
      <c r="A1904" s="18"/>
      <c r="B1904" s="18"/>
      <c r="C1904" s="18"/>
      <c r="E1904" s="18"/>
    </row>
    <row r="1905" ht="22.5" hidden="1" customHeight="1">
      <c r="A1905" s="18"/>
      <c r="B1905" s="18"/>
      <c r="C1905" s="18"/>
      <c r="E1905" s="18"/>
    </row>
    <row r="1906" ht="22.5" hidden="1" customHeight="1">
      <c r="A1906" s="18"/>
      <c r="B1906" s="18"/>
      <c r="C1906" s="18"/>
      <c r="E1906" s="18"/>
    </row>
    <row r="1907" ht="22.5" hidden="1" customHeight="1">
      <c r="A1907" s="18"/>
      <c r="B1907" s="18"/>
      <c r="C1907" s="18"/>
      <c r="E1907" s="18"/>
    </row>
    <row r="1908" ht="22.5" hidden="1" customHeight="1">
      <c r="A1908" s="18"/>
      <c r="B1908" s="18"/>
      <c r="C1908" s="18"/>
      <c r="E1908" s="18"/>
    </row>
    <row r="1909" ht="22.5" hidden="1" customHeight="1">
      <c r="A1909" s="18"/>
      <c r="B1909" s="18"/>
      <c r="C1909" s="18"/>
      <c r="E1909" s="18"/>
    </row>
    <row r="1910" ht="22.5" hidden="1" customHeight="1">
      <c r="A1910" s="18"/>
      <c r="B1910" s="18"/>
      <c r="C1910" s="18"/>
      <c r="E1910" s="18"/>
    </row>
    <row r="1911" ht="22.5" hidden="1" customHeight="1">
      <c r="A1911" s="18"/>
      <c r="B1911" s="18"/>
      <c r="C1911" s="18"/>
      <c r="E1911" s="18"/>
    </row>
    <row r="1912" ht="22.5" hidden="1" customHeight="1">
      <c r="A1912" s="18"/>
      <c r="B1912" s="18"/>
      <c r="C1912" s="18"/>
      <c r="E1912" s="18"/>
    </row>
    <row r="1913" ht="22.5" hidden="1" customHeight="1">
      <c r="A1913" s="18"/>
      <c r="B1913" s="18"/>
      <c r="C1913" s="18"/>
      <c r="E1913" s="18"/>
    </row>
    <row r="1914" ht="22.5" hidden="1" customHeight="1">
      <c r="A1914" s="18"/>
      <c r="B1914" s="18"/>
      <c r="C1914" s="18"/>
      <c r="E1914" s="18"/>
    </row>
    <row r="1915" ht="22.5" hidden="1" customHeight="1">
      <c r="A1915" s="18"/>
      <c r="B1915" s="18"/>
      <c r="C1915" s="18"/>
      <c r="E1915" s="18"/>
    </row>
    <row r="1916" ht="22.5" hidden="1" customHeight="1">
      <c r="A1916" s="18"/>
      <c r="B1916" s="18"/>
      <c r="C1916" s="18"/>
      <c r="E1916" s="18"/>
    </row>
    <row r="1917" ht="22.5" hidden="1" customHeight="1">
      <c r="A1917" s="18"/>
      <c r="B1917" s="18"/>
      <c r="C1917" s="18"/>
      <c r="E1917" s="18"/>
    </row>
    <row r="1918" ht="22.5" hidden="1" customHeight="1">
      <c r="A1918" s="18"/>
      <c r="B1918" s="18"/>
      <c r="C1918" s="18"/>
      <c r="E1918" s="18"/>
    </row>
    <row r="1919" ht="22.5" hidden="1" customHeight="1">
      <c r="A1919" s="18"/>
      <c r="B1919" s="18"/>
      <c r="C1919" s="18"/>
      <c r="E1919" s="18"/>
    </row>
    <row r="1920" ht="22.5" hidden="1" customHeight="1">
      <c r="A1920" s="18"/>
      <c r="B1920" s="18"/>
      <c r="C1920" s="18"/>
      <c r="E1920" s="18"/>
    </row>
    <row r="1921" ht="22.5" hidden="1" customHeight="1">
      <c r="A1921" s="18"/>
      <c r="B1921" s="18"/>
      <c r="C1921" s="18"/>
      <c r="E1921" s="18"/>
    </row>
    <row r="1922" ht="22.5" hidden="1" customHeight="1">
      <c r="A1922" s="18"/>
      <c r="B1922" s="18"/>
      <c r="C1922" s="18"/>
      <c r="E1922" s="18"/>
    </row>
    <row r="1923" ht="22.5" hidden="1" customHeight="1">
      <c r="A1923" s="18"/>
      <c r="B1923" s="18"/>
      <c r="C1923" s="18"/>
      <c r="E1923" s="18"/>
    </row>
    <row r="1924" ht="22.5" hidden="1" customHeight="1">
      <c r="A1924" s="18"/>
      <c r="B1924" s="18"/>
      <c r="C1924" s="18"/>
      <c r="E1924" s="18"/>
    </row>
    <row r="1925" ht="22.5" hidden="1" customHeight="1">
      <c r="A1925" s="18"/>
      <c r="B1925" s="18"/>
      <c r="C1925" s="18"/>
      <c r="E1925" s="18"/>
    </row>
    <row r="1926" ht="22.5" hidden="1" customHeight="1">
      <c r="A1926" s="18"/>
      <c r="B1926" s="18"/>
      <c r="C1926" s="18"/>
      <c r="E1926" s="18"/>
    </row>
    <row r="1927" ht="22.5" hidden="1" customHeight="1">
      <c r="A1927" s="18"/>
      <c r="B1927" s="18"/>
      <c r="C1927" s="18"/>
      <c r="E1927" s="18"/>
    </row>
    <row r="1928" ht="22.5" hidden="1" customHeight="1">
      <c r="A1928" s="18"/>
      <c r="B1928" s="18"/>
      <c r="C1928" s="18"/>
      <c r="E1928" s="18"/>
    </row>
    <row r="1929" ht="22.5" hidden="1" customHeight="1">
      <c r="A1929" s="18"/>
      <c r="B1929" s="18"/>
      <c r="C1929" s="18"/>
      <c r="E1929" s="18"/>
    </row>
    <row r="1930" ht="22.5" hidden="1" customHeight="1">
      <c r="A1930" s="18"/>
      <c r="B1930" s="18"/>
      <c r="C1930" s="18"/>
      <c r="E1930" s="18"/>
    </row>
    <row r="1931" ht="22.5" hidden="1" customHeight="1">
      <c r="A1931" s="18"/>
      <c r="B1931" s="18"/>
      <c r="C1931" s="18"/>
      <c r="E1931" s="18"/>
    </row>
    <row r="1932" ht="22.5" hidden="1" customHeight="1">
      <c r="A1932" s="18"/>
      <c r="B1932" s="18"/>
      <c r="C1932" s="18"/>
      <c r="E1932" s="18"/>
    </row>
    <row r="1933" ht="22.5" hidden="1" customHeight="1">
      <c r="A1933" s="18"/>
      <c r="B1933" s="18"/>
      <c r="C1933" s="18"/>
      <c r="E1933" s="18"/>
    </row>
    <row r="1934" ht="22.5" hidden="1" customHeight="1">
      <c r="A1934" s="18"/>
      <c r="B1934" s="18"/>
      <c r="C1934" s="18"/>
      <c r="E1934" s="18"/>
    </row>
    <row r="1935" ht="22.5" hidden="1" customHeight="1">
      <c r="A1935" s="18"/>
      <c r="B1935" s="18"/>
      <c r="C1935" s="18"/>
      <c r="E1935" s="18"/>
    </row>
    <row r="1936" ht="22.5" hidden="1" customHeight="1">
      <c r="A1936" s="18"/>
      <c r="B1936" s="18"/>
      <c r="C1936" s="18"/>
      <c r="E1936" s="18"/>
    </row>
    <row r="1937" ht="22.5" hidden="1" customHeight="1">
      <c r="A1937" s="18"/>
      <c r="B1937" s="18"/>
      <c r="C1937" s="18"/>
      <c r="E1937" s="18"/>
    </row>
    <row r="1938" ht="22.5" hidden="1" customHeight="1">
      <c r="A1938" s="18"/>
      <c r="B1938" s="18"/>
      <c r="C1938" s="18"/>
      <c r="E1938" s="18"/>
    </row>
    <row r="1939" ht="22.5" hidden="1" customHeight="1">
      <c r="A1939" s="18"/>
      <c r="B1939" s="18"/>
      <c r="C1939" s="18"/>
      <c r="E1939" s="18"/>
    </row>
    <row r="1940" ht="22.5" hidden="1" customHeight="1">
      <c r="A1940" s="18"/>
      <c r="B1940" s="18"/>
      <c r="C1940" s="18"/>
      <c r="E1940" s="18"/>
    </row>
    <row r="1941" ht="22.5" hidden="1" customHeight="1">
      <c r="A1941" s="18"/>
      <c r="B1941" s="18"/>
      <c r="C1941" s="18"/>
      <c r="E1941" s="18"/>
    </row>
    <row r="1942" ht="22.5" hidden="1" customHeight="1">
      <c r="A1942" s="18"/>
      <c r="B1942" s="18"/>
      <c r="C1942" s="18"/>
      <c r="E1942" s="18"/>
    </row>
    <row r="1943" ht="22.5" hidden="1" customHeight="1">
      <c r="A1943" s="18"/>
      <c r="B1943" s="18"/>
      <c r="C1943" s="18"/>
      <c r="E1943" s="18"/>
    </row>
    <row r="1944" ht="22.5" hidden="1" customHeight="1">
      <c r="A1944" s="18"/>
      <c r="B1944" s="18"/>
      <c r="C1944" s="18"/>
      <c r="E1944" s="18"/>
    </row>
    <row r="1945" ht="22.5" hidden="1" customHeight="1">
      <c r="A1945" s="18"/>
      <c r="B1945" s="18"/>
      <c r="C1945" s="18"/>
      <c r="E1945" s="18"/>
    </row>
    <row r="1946" ht="22.5" hidden="1" customHeight="1">
      <c r="A1946" s="18"/>
      <c r="B1946" s="18"/>
      <c r="C1946" s="18"/>
      <c r="E1946" s="18"/>
    </row>
    <row r="1947" ht="22.5" hidden="1" customHeight="1">
      <c r="A1947" s="18"/>
      <c r="B1947" s="18"/>
      <c r="C1947" s="18"/>
      <c r="E1947" s="18"/>
    </row>
    <row r="1948" ht="22.5" hidden="1" customHeight="1">
      <c r="A1948" s="18"/>
      <c r="B1948" s="18"/>
      <c r="C1948" s="18"/>
      <c r="E1948" s="18"/>
    </row>
    <row r="1949" ht="22.5" hidden="1" customHeight="1">
      <c r="A1949" s="18"/>
      <c r="B1949" s="18"/>
      <c r="C1949" s="18"/>
      <c r="E1949" s="18"/>
    </row>
    <row r="1950" ht="22.5" hidden="1" customHeight="1">
      <c r="A1950" s="18"/>
      <c r="B1950" s="18"/>
      <c r="C1950" s="18"/>
      <c r="E1950" s="18"/>
    </row>
    <row r="1951" ht="22.5" hidden="1" customHeight="1">
      <c r="A1951" s="18"/>
      <c r="B1951" s="18"/>
      <c r="C1951" s="18"/>
      <c r="E1951" s="18"/>
    </row>
    <row r="1952" ht="22.5" hidden="1" customHeight="1">
      <c r="A1952" s="18"/>
      <c r="B1952" s="18"/>
      <c r="C1952" s="18"/>
      <c r="E1952" s="18"/>
    </row>
    <row r="1953" ht="22.5" hidden="1" customHeight="1">
      <c r="A1953" s="18"/>
      <c r="B1953" s="18"/>
      <c r="C1953" s="18"/>
      <c r="E1953" s="18"/>
    </row>
    <row r="1954" ht="22.5" hidden="1" customHeight="1">
      <c r="A1954" s="18"/>
      <c r="B1954" s="18"/>
      <c r="C1954" s="18"/>
      <c r="E1954" s="18"/>
    </row>
    <row r="1955" ht="22.5" hidden="1" customHeight="1">
      <c r="A1955" s="18"/>
      <c r="B1955" s="18"/>
      <c r="C1955" s="18"/>
      <c r="E1955" s="18"/>
    </row>
    <row r="1956" ht="22.5" hidden="1" customHeight="1">
      <c r="A1956" s="18"/>
      <c r="B1956" s="18"/>
      <c r="C1956" s="18"/>
      <c r="E1956" s="18"/>
    </row>
    <row r="1957" ht="22.5" hidden="1" customHeight="1">
      <c r="A1957" s="18"/>
      <c r="B1957" s="18"/>
      <c r="C1957" s="18"/>
      <c r="E1957" s="18"/>
    </row>
    <row r="1958" ht="22.5" hidden="1" customHeight="1">
      <c r="A1958" s="18"/>
      <c r="B1958" s="18"/>
      <c r="C1958" s="18"/>
      <c r="E1958" s="18"/>
    </row>
    <row r="1959" ht="22.5" hidden="1" customHeight="1">
      <c r="A1959" s="18"/>
      <c r="B1959" s="18"/>
      <c r="C1959" s="18"/>
      <c r="E1959" s="18"/>
    </row>
    <row r="1960" ht="22.5" hidden="1" customHeight="1">
      <c r="A1960" s="18"/>
      <c r="B1960" s="18"/>
      <c r="C1960" s="18"/>
      <c r="E1960" s="18"/>
    </row>
    <row r="1961" ht="22.5" hidden="1" customHeight="1">
      <c r="A1961" s="18"/>
      <c r="B1961" s="18"/>
      <c r="C1961" s="18"/>
      <c r="E1961" s="18"/>
    </row>
    <row r="1962" ht="22.5" hidden="1" customHeight="1">
      <c r="A1962" s="18"/>
      <c r="B1962" s="18"/>
      <c r="C1962" s="18"/>
      <c r="E1962" s="18"/>
    </row>
    <row r="1963" ht="22.5" hidden="1" customHeight="1">
      <c r="A1963" s="18"/>
      <c r="B1963" s="18"/>
      <c r="C1963" s="18"/>
      <c r="E1963" s="18"/>
    </row>
    <row r="1964" ht="22.5" hidden="1" customHeight="1">
      <c r="A1964" s="18"/>
      <c r="B1964" s="18"/>
      <c r="C1964" s="18"/>
      <c r="E1964" s="18"/>
    </row>
    <row r="1965" ht="22.5" hidden="1" customHeight="1">
      <c r="A1965" s="18"/>
      <c r="B1965" s="18"/>
      <c r="C1965" s="18"/>
      <c r="E1965" s="18"/>
    </row>
    <row r="1966" ht="22.5" hidden="1" customHeight="1">
      <c r="A1966" s="18"/>
      <c r="B1966" s="18"/>
      <c r="C1966" s="18"/>
      <c r="E1966" s="18"/>
    </row>
    <row r="1967" ht="22.5" hidden="1" customHeight="1">
      <c r="A1967" s="18"/>
      <c r="B1967" s="18"/>
      <c r="C1967" s="18"/>
      <c r="E1967" s="18"/>
    </row>
    <row r="1968" ht="22.5" hidden="1" customHeight="1">
      <c r="A1968" s="18"/>
      <c r="B1968" s="18"/>
      <c r="C1968" s="18"/>
      <c r="E1968" s="18"/>
    </row>
    <row r="1969" ht="22.5" hidden="1" customHeight="1">
      <c r="A1969" s="18"/>
      <c r="B1969" s="18"/>
      <c r="C1969" s="18"/>
      <c r="E1969" s="18"/>
    </row>
    <row r="1970" ht="22.5" hidden="1" customHeight="1">
      <c r="A1970" s="18"/>
      <c r="B1970" s="18"/>
      <c r="C1970" s="18"/>
      <c r="E1970" s="18"/>
    </row>
    <row r="1971" ht="22.5" hidden="1" customHeight="1">
      <c r="A1971" s="18"/>
      <c r="B1971" s="18"/>
      <c r="C1971" s="18"/>
      <c r="E1971" s="18"/>
    </row>
    <row r="1972" ht="22.5" hidden="1" customHeight="1">
      <c r="A1972" s="18"/>
      <c r="B1972" s="18"/>
      <c r="C1972" s="18"/>
      <c r="E1972" s="18"/>
    </row>
    <row r="1973" ht="22.5" hidden="1" customHeight="1">
      <c r="A1973" s="18"/>
      <c r="B1973" s="18"/>
      <c r="C1973" s="18"/>
      <c r="E1973" s="18"/>
    </row>
    <row r="1974" ht="22.5" hidden="1" customHeight="1">
      <c r="A1974" s="18"/>
      <c r="B1974" s="18"/>
      <c r="C1974" s="18"/>
      <c r="E1974" s="18"/>
    </row>
    <row r="1975" ht="22.5" hidden="1" customHeight="1">
      <c r="A1975" s="18"/>
      <c r="B1975" s="18"/>
      <c r="C1975" s="18"/>
      <c r="E1975" s="18"/>
    </row>
    <row r="1976" ht="22.5" hidden="1" customHeight="1">
      <c r="A1976" s="18"/>
      <c r="B1976" s="18"/>
      <c r="C1976" s="18"/>
      <c r="E1976" s="18"/>
    </row>
    <row r="1977" ht="22.5" hidden="1" customHeight="1">
      <c r="A1977" s="18"/>
      <c r="B1977" s="18"/>
      <c r="C1977" s="18"/>
      <c r="E1977" s="18"/>
    </row>
    <row r="1978" ht="22.5" hidden="1" customHeight="1">
      <c r="A1978" s="18"/>
      <c r="B1978" s="18"/>
      <c r="C1978" s="18"/>
      <c r="E1978" s="18"/>
    </row>
    <row r="1979" ht="22.5" hidden="1" customHeight="1">
      <c r="A1979" s="18"/>
      <c r="B1979" s="18"/>
      <c r="C1979" s="18"/>
      <c r="E1979" s="18"/>
    </row>
    <row r="1980" ht="22.5" hidden="1" customHeight="1">
      <c r="A1980" s="18"/>
      <c r="B1980" s="18"/>
      <c r="C1980" s="18"/>
      <c r="E1980" s="18"/>
    </row>
    <row r="1981" ht="22.5" hidden="1" customHeight="1">
      <c r="A1981" s="18"/>
      <c r="B1981" s="18"/>
      <c r="C1981" s="18"/>
      <c r="E1981" s="18"/>
    </row>
    <row r="1982" ht="22.5" hidden="1" customHeight="1">
      <c r="A1982" s="18"/>
      <c r="B1982" s="18"/>
      <c r="C1982" s="18"/>
      <c r="E1982" s="18"/>
    </row>
    <row r="1983" ht="22.5" hidden="1" customHeight="1">
      <c r="A1983" s="18"/>
      <c r="B1983" s="18"/>
      <c r="C1983" s="18"/>
      <c r="E1983" s="18"/>
    </row>
    <row r="1984" ht="22.5" hidden="1" customHeight="1">
      <c r="A1984" s="18"/>
      <c r="B1984" s="18"/>
      <c r="C1984" s="18"/>
      <c r="E1984" s="18"/>
    </row>
    <row r="1985" ht="22.5" hidden="1" customHeight="1">
      <c r="A1985" s="18"/>
      <c r="B1985" s="18"/>
      <c r="C1985" s="18"/>
      <c r="E1985" s="18"/>
    </row>
    <row r="1986" ht="22.5" hidden="1" customHeight="1">
      <c r="A1986" s="18"/>
      <c r="B1986" s="18"/>
      <c r="C1986" s="18"/>
      <c r="E1986" s="18"/>
    </row>
    <row r="1987" ht="22.5" hidden="1" customHeight="1">
      <c r="A1987" s="18"/>
      <c r="B1987" s="18"/>
      <c r="C1987" s="18"/>
      <c r="E1987" s="18"/>
    </row>
    <row r="1988" ht="22.5" hidden="1" customHeight="1">
      <c r="A1988" s="18"/>
      <c r="B1988" s="18"/>
      <c r="C1988" s="18"/>
      <c r="E1988" s="18"/>
    </row>
    <row r="1989" ht="22.5" hidden="1" customHeight="1">
      <c r="A1989" s="18"/>
      <c r="B1989" s="18"/>
      <c r="C1989" s="18"/>
      <c r="E1989" s="18"/>
    </row>
    <row r="1990" ht="22.5" hidden="1" customHeight="1">
      <c r="A1990" s="18"/>
      <c r="B1990" s="18"/>
      <c r="C1990" s="18"/>
      <c r="E1990" s="18"/>
    </row>
    <row r="1991" ht="22.5" hidden="1" customHeight="1">
      <c r="A1991" s="18"/>
      <c r="B1991" s="18"/>
      <c r="C1991" s="18"/>
      <c r="E1991" s="18"/>
    </row>
    <row r="1992" ht="22.5" hidden="1" customHeight="1">
      <c r="A1992" s="18"/>
      <c r="B1992" s="18"/>
      <c r="C1992" s="18"/>
      <c r="E1992" s="18"/>
    </row>
    <row r="1993" ht="22.5" hidden="1" customHeight="1">
      <c r="A1993" s="18"/>
      <c r="B1993" s="18"/>
      <c r="C1993" s="18"/>
      <c r="E1993" s="18"/>
    </row>
    <row r="1994" ht="22.5" hidden="1" customHeight="1">
      <c r="A1994" s="18"/>
      <c r="B1994" s="18"/>
      <c r="C1994" s="18"/>
      <c r="E1994" s="18"/>
    </row>
    <row r="1995" ht="22.5" hidden="1" customHeight="1">
      <c r="A1995" s="18"/>
      <c r="B1995" s="18"/>
      <c r="C1995" s="18"/>
      <c r="E1995" s="18"/>
    </row>
    <row r="1996" ht="22.5" hidden="1" customHeight="1">
      <c r="A1996" s="18"/>
      <c r="B1996" s="18"/>
      <c r="C1996" s="18"/>
      <c r="E1996" s="18"/>
    </row>
    <row r="1997" ht="22.5" hidden="1" customHeight="1">
      <c r="A1997" s="18"/>
      <c r="B1997" s="18"/>
      <c r="C1997" s="18"/>
      <c r="E1997" s="18"/>
    </row>
    <row r="1998" ht="22.5" hidden="1" customHeight="1">
      <c r="A1998" s="18"/>
      <c r="B1998" s="18"/>
      <c r="C1998" s="18"/>
      <c r="E1998" s="18"/>
    </row>
    <row r="1999" ht="22.5" hidden="1" customHeight="1">
      <c r="A1999" s="18"/>
      <c r="B1999" s="18"/>
      <c r="C1999" s="18"/>
      <c r="E1999" s="18"/>
    </row>
    <row r="2000" ht="22.5" hidden="1" customHeight="1">
      <c r="A2000" s="18"/>
      <c r="B2000" s="18"/>
      <c r="C2000" s="18"/>
      <c r="E2000" s="18"/>
    </row>
    <row r="2001" ht="22.5" hidden="1" customHeight="1">
      <c r="A2001" s="18"/>
      <c r="B2001" s="18"/>
      <c r="C2001" s="18"/>
      <c r="E2001" s="18"/>
    </row>
    <row r="2002" ht="22.5" hidden="1" customHeight="1">
      <c r="A2002" s="18"/>
      <c r="B2002" s="18"/>
      <c r="C2002" s="18"/>
      <c r="E2002" s="18"/>
    </row>
    <row r="2003" ht="22.5" hidden="1" customHeight="1">
      <c r="A2003" s="18"/>
      <c r="B2003" s="18"/>
      <c r="C2003" s="18"/>
      <c r="E2003" s="18"/>
    </row>
    <row r="2004" ht="22.5" hidden="1" customHeight="1">
      <c r="A2004" s="18"/>
      <c r="B2004" s="18"/>
      <c r="C2004" s="18"/>
      <c r="E2004" s="18"/>
    </row>
    <row r="2005" ht="22.5" hidden="1" customHeight="1">
      <c r="A2005" s="18"/>
      <c r="B2005" s="18"/>
      <c r="C2005" s="18"/>
      <c r="E2005" s="18"/>
    </row>
    <row r="2006" ht="22.5" hidden="1" customHeight="1">
      <c r="A2006" s="18"/>
      <c r="B2006" s="18"/>
      <c r="C2006" s="18"/>
      <c r="E2006" s="18"/>
    </row>
    <row r="2007" ht="22.5" hidden="1" customHeight="1">
      <c r="A2007" s="18"/>
      <c r="B2007" s="18"/>
      <c r="C2007" s="18"/>
      <c r="E2007" s="18"/>
    </row>
    <row r="2008" ht="22.5" hidden="1" customHeight="1">
      <c r="A2008" s="18"/>
      <c r="B2008" s="18"/>
      <c r="C2008" s="18"/>
      <c r="E2008" s="18"/>
    </row>
    <row r="2009" ht="22.5" hidden="1" customHeight="1">
      <c r="A2009" s="18"/>
      <c r="B2009" s="18"/>
      <c r="C2009" s="18"/>
      <c r="E2009" s="18"/>
    </row>
    <row r="2010" ht="22.5" hidden="1" customHeight="1">
      <c r="A2010" s="18"/>
      <c r="B2010" s="18"/>
      <c r="C2010" s="18"/>
      <c r="E2010" s="18"/>
    </row>
    <row r="2011" ht="22.5" hidden="1" customHeight="1">
      <c r="A2011" s="18"/>
      <c r="B2011" s="18"/>
      <c r="C2011" s="18"/>
      <c r="E2011" s="18"/>
    </row>
    <row r="2012" ht="22.5" hidden="1" customHeight="1">
      <c r="A2012" s="18"/>
      <c r="B2012" s="18"/>
      <c r="C2012" s="18"/>
      <c r="E2012" s="18"/>
    </row>
    <row r="2013" ht="22.5" hidden="1" customHeight="1">
      <c r="A2013" s="18"/>
      <c r="B2013" s="18"/>
      <c r="C2013" s="18"/>
      <c r="E2013" s="18"/>
    </row>
    <row r="2014" ht="22.5" hidden="1" customHeight="1">
      <c r="A2014" s="18"/>
      <c r="B2014" s="18"/>
      <c r="C2014" s="18"/>
      <c r="E2014" s="18"/>
    </row>
    <row r="2015" ht="22.5" hidden="1" customHeight="1">
      <c r="A2015" s="18"/>
      <c r="B2015" s="18"/>
      <c r="C2015" s="18"/>
      <c r="E2015" s="18"/>
    </row>
    <row r="2016" ht="22.5" hidden="1" customHeight="1">
      <c r="A2016" s="18"/>
      <c r="B2016" s="18"/>
      <c r="C2016" s="18"/>
      <c r="E2016" s="18"/>
    </row>
    <row r="2017" ht="22.5" hidden="1" customHeight="1">
      <c r="A2017" s="18"/>
      <c r="B2017" s="18"/>
      <c r="C2017" s="18"/>
      <c r="E2017" s="18"/>
    </row>
    <row r="2018" ht="22.5" hidden="1" customHeight="1">
      <c r="A2018" s="18"/>
      <c r="B2018" s="18"/>
      <c r="C2018" s="18"/>
      <c r="E2018" s="18"/>
    </row>
    <row r="2019" ht="22.5" hidden="1" customHeight="1">
      <c r="A2019" s="18"/>
      <c r="B2019" s="18"/>
      <c r="C2019" s="18"/>
      <c r="E2019" s="18"/>
    </row>
    <row r="2020" ht="22.5" hidden="1" customHeight="1">
      <c r="A2020" s="18"/>
      <c r="B2020" s="18"/>
      <c r="C2020" s="18"/>
      <c r="E2020" s="18"/>
    </row>
    <row r="2021" ht="22.5" hidden="1" customHeight="1">
      <c r="A2021" s="18"/>
      <c r="B2021" s="18"/>
      <c r="C2021" s="18"/>
      <c r="E2021" s="18"/>
    </row>
    <row r="2022" ht="22.5" hidden="1" customHeight="1">
      <c r="A2022" s="18"/>
      <c r="B2022" s="18"/>
      <c r="C2022" s="18"/>
      <c r="E2022" s="18"/>
    </row>
    <row r="2023" ht="22.5" hidden="1" customHeight="1">
      <c r="A2023" s="18"/>
      <c r="B2023" s="18"/>
      <c r="C2023" s="18"/>
      <c r="E2023" s="18"/>
    </row>
    <row r="2024" ht="22.5" hidden="1" customHeight="1">
      <c r="A2024" s="18"/>
      <c r="B2024" s="18"/>
      <c r="C2024" s="18"/>
      <c r="E2024" s="18"/>
    </row>
    <row r="2025" ht="22.5" hidden="1" customHeight="1">
      <c r="A2025" s="18"/>
      <c r="B2025" s="18"/>
      <c r="C2025" s="18"/>
      <c r="E2025" s="18"/>
    </row>
    <row r="2026" ht="22.5" hidden="1" customHeight="1">
      <c r="A2026" s="18"/>
      <c r="B2026" s="18"/>
      <c r="C2026" s="18"/>
      <c r="E2026" s="18"/>
    </row>
    <row r="2027" ht="22.5" hidden="1" customHeight="1">
      <c r="A2027" s="18"/>
      <c r="B2027" s="18"/>
      <c r="C2027" s="18"/>
      <c r="E2027" s="18"/>
    </row>
    <row r="2028" ht="22.5" hidden="1" customHeight="1">
      <c r="A2028" s="18"/>
      <c r="B2028" s="18"/>
      <c r="C2028" s="18"/>
      <c r="E2028" s="18"/>
    </row>
    <row r="2029" ht="22.5" hidden="1" customHeight="1">
      <c r="A2029" s="18"/>
      <c r="B2029" s="18"/>
      <c r="C2029" s="18"/>
      <c r="E2029" s="18"/>
    </row>
    <row r="2030" ht="22.5" hidden="1" customHeight="1">
      <c r="A2030" s="18"/>
      <c r="B2030" s="18"/>
      <c r="C2030" s="18"/>
      <c r="E2030" s="18"/>
    </row>
    <row r="2031" ht="22.5" hidden="1" customHeight="1">
      <c r="A2031" s="18"/>
      <c r="B2031" s="18"/>
      <c r="C2031" s="18"/>
      <c r="E2031" s="18"/>
    </row>
    <row r="2032" ht="22.5" hidden="1" customHeight="1">
      <c r="A2032" s="18"/>
      <c r="B2032" s="18"/>
      <c r="C2032" s="18"/>
      <c r="E2032" s="18"/>
    </row>
    <row r="2033" ht="22.5" hidden="1" customHeight="1">
      <c r="A2033" s="18"/>
      <c r="B2033" s="18"/>
      <c r="C2033" s="18"/>
      <c r="E2033" s="18"/>
    </row>
    <row r="2034" ht="22.5" hidden="1" customHeight="1">
      <c r="A2034" s="18"/>
      <c r="B2034" s="18"/>
      <c r="C2034" s="18"/>
      <c r="E2034" s="18"/>
    </row>
    <row r="2035" ht="22.5" hidden="1" customHeight="1">
      <c r="A2035" s="18"/>
      <c r="B2035" s="18"/>
      <c r="C2035" s="18"/>
      <c r="E2035" s="18"/>
    </row>
    <row r="2036" ht="22.5" hidden="1" customHeight="1">
      <c r="A2036" s="18"/>
      <c r="B2036" s="18"/>
      <c r="C2036" s="18"/>
      <c r="E2036" s="18"/>
    </row>
    <row r="2037" ht="22.5" hidden="1" customHeight="1">
      <c r="A2037" s="18"/>
      <c r="B2037" s="18"/>
      <c r="C2037" s="18"/>
      <c r="E2037" s="18"/>
    </row>
    <row r="2038" ht="22.5" hidden="1" customHeight="1">
      <c r="A2038" s="18"/>
      <c r="B2038" s="18"/>
      <c r="C2038" s="18"/>
      <c r="E2038" s="18"/>
    </row>
    <row r="2039" ht="22.5" hidden="1" customHeight="1">
      <c r="A2039" s="18"/>
      <c r="B2039" s="18"/>
      <c r="C2039" s="18"/>
      <c r="E2039" s="18"/>
    </row>
    <row r="2040" ht="22.5" hidden="1" customHeight="1">
      <c r="A2040" s="18"/>
      <c r="B2040" s="18"/>
      <c r="C2040" s="18"/>
      <c r="E2040" s="18"/>
    </row>
    <row r="2041" ht="22.5" hidden="1" customHeight="1">
      <c r="A2041" s="18"/>
      <c r="B2041" s="18"/>
      <c r="C2041" s="18"/>
      <c r="E2041" s="18"/>
    </row>
    <row r="2042" ht="22.5" hidden="1" customHeight="1">
      <c r="A2042" s="18"/>
      <c r="B2042" s="18"/>
      <c r="C2042" s="18"/>
      <c r="E2042" s="18"/>
    </row>
    <row r="2043" ht="22.5" hidden="1" customHeight="1">
      <c r="A2043" s="18"/>
      <c r="B2043" s="18"/>
      <c r="C2043" s="18"/>
      <c r="E2043" s="18"/>
    </row>
    <row r="2044" ht="22.5" hidden="1" customHeight="1">
      <c r="A2044" s="18"/>
      <c r="B2044" s="18"/>
      <c r="C2044" s="18"/>
      <c r="E2044" s="18"/>
    </row>
    <row r="2045" ht="22.5" hidden="1" customHeight="1">
      <c r="A2045" s="18"/>
      <c r="B2045" s="18"/>
      <c r="C2045" s="18"/>
      <c r="E2045" s="18"/>
    </row>
    <row r="2046" ht="22.5" hidden="1" customHeight="1">
      <c r="A2046" s="18"/>
      <c r="B2046" s="18"/>
      <c r="C2046" s="18"/>
      <c r="E2046" s="18"/>
    </row>
    <row r="2047" ht="22.5" hidden="1" customHeight="1">
      <c r="A2047" s="18"/>
      <c r="B2047" s="18"/>
      <c r="C2047" s="18"/>
      <c r="E2047" s="18"/>
    </row>
    <row r="2048" ht="22.5" hidden="1" customHeight="1">
      <c r="A2048" s="18"/>
      <c r="B2048" s="18"/>
      <c r="C2048" s="18"/>
      <c r="E2048" s="18"/>
    </row>
    <row r="2049" ht="22.5" hidden="1" customHeight="1">
      <c r="A2049" s="18"/>
      <c r="B2049" s="18"/>
      <c r="C2049" s="18"/>
      <c r="E2049" s="18"/>
    </row>
    <row r="2050" ht="22.5" hidden="1" customHeight="1">
      <c r="A2050" s="18"/>
      <c r="B2050" s="18"/>
      <c r="C2050" s="18"/>
      <c r="E2050" s="18"/>
    </row>
    <row r="2051" ht="22.5" hidden="1" customHeight="1">
      <c r="A2051" s="18"/>
      <c r="B2051" s="18"/>
      <c r="C2051" s="18"/>
      <c r="E2051" s="18"/>
    </row>
    <row r="2052" ht="22.5" hidden="1" customHeight="1">
      <c r="A2052" s="18"/>
      <c r="B2052" s="18"/>
      <c r="C2052" s="18"/>
      <c r="E2052" s="18"/>
    </row>
    <row r="2053" ht="22.5" hidden="1" customHeight="1">
      <c r="A2053" s="18"/>
      <c r="B2053" s="18"/>
      <c r="C2053" s="18"/>
      <c r="E2053" s="18"/>
    </row>
    <row r="2054" ht="22.5" hidden="1" customHeight="1">
      <c r="A2054" s="18"/>
      <c r="B2054" s="18"/>
      <c r="C2054" s="18"/>
      <c r="E2054" s="18"/>
    </row>
    <row r="2055" ht="22.5" hidden="1" customHeight="1">
      <c r="A2055" s="18"/>
      <c r="B2055" s="18"/>
      <c r="C2055" s="18"/>
      <c r="E2055" s="18"/>
    </row>
    <row r="2056" ht="22.5" hidden="1" customHeight="1">
      <c r="A2056" s="18"/>
      <c r="B2056" s="18"/>
      <c r="C2056" s="18"/>
      <c r="E2056" s="18"/>
    </row>
    <row r="2057" ht="22.5" hidden="1" customHeight="1">
      <c r="A2057" s="18"/>
      <c r="B2057" s="18"/>
      <c r="C2057" s="18"/>
      <c r="E2057" s="18"/>
    </row>
    <row r="2058" ht="22.5" hidden="1" customHeight="1">
      <c r="A2058" s="18"/>
      <c r="B2058" s="18"/>
      <c r="C2058" s="18"/>
      <c r="E2058" s="18"/>
    </row>
    <row r="2059" ht="22.5" hidden="1" customHeight="1">
      <c r="A2059" s="18"/>
      <c r="B2059" s="18"/>
      <c r="C2059" s="18"/>
      <c r="E2059" s="18"/>
    </row>
    <row r="2060" ht="22.5" hidden="1" customHeight="1">
      <c r="A2060" s="18"/>
      <c r="B2060" s="18"/>
      <c r="C2060" s="18"/>
      <c r="E2060" s="18"/>
    </row>
    <row r="2061" ht="22.5" hidden="1" customHeight="1">
      <c r="A2061" s="18"/>
      <c r="B2061" s="18"/>
      <c r="C2061" s="18"/>
      <c r="E2061" s="18"/>
    </row>
    <row r="2062" ht="22.5" hidden="1" customHeight="1">
      <c r="A2062" s="18"/>
      <c r="B2062" s="18"/>
      <c r="C2062" s="18"/>
      <c r="E2062" s="18"/>
    </row>
    <row r="2063" ht="22.5" hidden="1" customHeight="1">
      <c r="A2063" s="18"/>
      <c r="B2063" s="18"/>
      <c r="C2063" s="18"/>
      <c r="E2063" s="18"/>
    </row>
    <row r="2064" ht="22.5" hidden="1" customHeight="1">
      <c r="A2064" s="18"/>
      <c r="B2064" s="18"/>
      <c r="C2064" s="18"/>
      <c r="E2064" s="18"/>
    </row>
    <row r="2065" ht="22.5" hidden="1" customHeight="1">
      <c r="A2065" s="18"/>
      <c r="B2065" s="18"/>
      <c r="C2065" s="18"/>
      <c r="E2065" s="18"/>
    </row>
    <row r="2066" ht="22.5" hidden="1" customHeight="1">
      <c r="A2066" s="18"/>
      <c r="B2066" s="18"/>
      <c r="C2066" s="18"/>
      <c r="E2066" s="18"/>
    </row>
    <row r="2067" ht="22.5" hidden="1" customHeight="1">
      <c r="A2067" s="18"/>
      <c r="B2067" s="18"/>
      <c r="C2067" s="18"/>
      <c r="E2067" s="18"/>
    </row>
    <row r="2068" ht="22.5" hidden="1" customHeight="1">
      <c r="A2068" s="18"/>
      <c r="B2068" s="18"/>
      <c r="C2068" s="18"/>
      <c r="E2068" s="18"/>
    </row>
    <row r="2069" ht="22.5" hidden="1" customHeight="1">
      <c r="A2069" s="18"/>
      <c r="B2069" s="18"/>
      <c r="C2069" s="18"/>
      <c r="E2069" s="18"/>
    </row>
    <row r="2070" ht="22.5" hidden="1" customHeight="1">
      <c r="A2070" s="18"/>
      <c r="B2070" s="18"/>
      <c r="C2070" s="18"/>
      <c r="E2070" s="18"/>
    </row>
    <row r="2071" ht="22.5" hidden="1" customHeight="1">
      <c r="A2071" s="18"/>
      <c r="B2071" s="18"/>
      <c r="C2071" s="18"/>
      <c r="E2071" s="18"/>
    </row>
    <row r="2072" ht="22.5" hidden="1" customHeight="1">
      <c r="A2072" s="18"/>
      <c r="B2072" s="18"/>
      <c r="C2072" s="18"/>
      <c r="E2072" s="18"/>
    </row>
    <row r="2073" ht="22.5" hidden="1" customHeight="1">
      <c r="A2073" s="18"/>
      <c r="B2073" s="18"/>
      <c r="C2073" s="18"/>
      <c r="E2073" s="18"/>
    </row>
    <row r="2074" ht="22.5" hidden="1" customHeight="1">
      <c r="A2074" s="18"/>
      <c r="B2074" s="18"/>
      <c r="C2074" s="18"/>
      <c r="E2074" s="18"/>
    </row>
    <row r="2075" ht="22.5" hidden="1" customHeight="1">
      <c r="A2075" s="18"/>
      <c r="B2075" s="18"/>
      <c r="C2075" s="18"/>
      <c r="E2075" s="18"/>
    </row>
    <row r="2076" ht="22.5" hidden="1" customHeight="1">
      <c r="A2076" s="18"/>
      <c r="B2076" s="18"/>
      <c r="C2076" s="18"/>
      <c r="E2076" s="18"/>
    </row>
    <row r="2077" ht="22.5" hidden="1" customHeight="1">
      <c r="A2077" s="18"/>
      <c r="B2077" s="18"/>
      <c r="C2077" s="18"/>
      <c r="E2077" s="18"/>
    </row>
    <row r="2078" ht="22.5" hidden="1" customHeight="1">
      <c r="A2078" s="18"/>
      <c r="B2078" s="18"/>
      <c r="C2078" s="18"/>
      <c r="E2078" s="18"/>
    </row>
    <row r="2079" ht="22.5" hidden="1" customHeight="1">
      <c r="A2079" s="18"/>
      <c r="B2079" s="18"/>
      <c r="C2079" s="18"/>
      <c r="E2079" s="18"/>
    </row>
    <row r="2080" ht="22.5" hidden="1" customHeight="1">
      <c r="A2080" s="18"/>
      <c r="B2080" s="18"/>
      <c r="C2080" s="18"/>
      <c r="E2080" s="18"/>
    </row>
    <row r="2081" ht="22.5" hidden="1" customHeight="1">
      <c r="A2081" s="18"/>
      <c r="B2081" s="18"/>
      <c r="C2081" s="18"/>
      <c r="E2081" s="18"/>
    </row>
    <row r="2082" ht="22.5" hidden="1" customHeight="1">
      <c r="A2082" s="18"/>
      <c r="B2082" s="18"/>
      <c r="C2082" s="18"/>
      <c r="E2082" s="18"/>
    </row>
    <row r="2083" ht="22.5" hidden="1" customHeight="1">
      <c r="A2083" s="18"/>
      <c r="B2083" s="18"/>
      <c r="C2083" s="18"/>
      <c r="E2083" s="18"/>
    </row>
    <row r="2084" ht="22.5" hidden="1" customHeight="1">
      <c r="A2084" s="18"/>
      <c r="B2084" s="18"/>
      <c r="C2084" s="18"/>
      <c r="E2084" s="18"/>
    </row>
    <row r="2085" ht="22.5" hidden="1" customHeight="1">
      <c r="A2085" s="18"/>
      <c r="B2085" s="18"/>
      <c r="C2085" s="18"/>
      <c r="E2085" s="18"/>
    </row>
    <row r="2086" ht="22.5" hidden="1" customHeight="1">
      <c r="A2086" s="18"/>
      <c r="B2086" s="18"/>
      <c r="C2086" s="18"/>
      <c r="E2086" s="18"/>
    </row>
    <row r="2087" ht="22.5" hidden="1" customHeight="1">
      <c r="A2087" s="18"/>
      <c r="B2087" s="18"/>
      <c r="C2087" s="18"/>
      <c r="E2087" s="18"/>
    </row>
    <row r="2088" ht="22.5" hidden="1" customHeight="1">
      <c r="A2088" s="18"/>
      <c r="B2088" s="18"/>
      <c r="C2088" s="18"/>
      <c r="E2088" s="18"/>
    </row>
    <row r="2089" ht="22.5" hidden="1" customHeight="1">
      <c r="A2089" s="18"/>
      <c r="B2089" s="18"/>
      <c r="C2089" s="18"/>
      <c r="E2089" s="18"/>
    </row>
    <row r="2090" ht="22.5" hidden="1" customHeight="1">
      <c r="A2090" s="18"/>
      <c r="B2090" s="18"/>
      <c r="C2090" s="18"/>
      <c r="E2090" s="18"/>
    </row>
    <row r="2091" ht="22.5" hidden="1" customHeight="1">
      <c r="A2091" s="18"/>
      <c r="B2091" s="18"/>
      <c r="C2091" s="18"/>
      <c r="E2091" s="18"/>
    </row>
    <row r="2092" ht="22.5" hidden="1" customHeight="1">
      <c r="A2092" s="18"/>
      <c r="B2092" s="18"/>
      <c r="C2092" s="18"/>
      <c r="E2092" s="18"/>
    </row>
    <row r="2093" ht="22.5" hidden="1" customHeight="1">
      <c r="A2093" s="18"/>
      <c r="B2093" s="18"/>
      <c r="C2093" s="18"/>
      <c r="E2093" s="18"/>
    </row>
    <row r="2094" ht="22.5" hidden="1" customHeight="1">
      <c r="A2094" s="18"/>
      <c r="B2094" s="18"/>
      <c r="C2094" s="18"/>
      <c r="E2094" s="18"/>
    </row>
    <row r="2095" ht="22.5" hidden="1" customHeight="1">
      <c r="A2095" s="18"/>
      <c r="B2095" s="18"/>
      <c r="C2095" s="18"/>
      <c r="E2095" s="18"/>
    </row>
    <row r="2096" ht="22.5" hidden="1" customHeight="1">
      <c r="A2096" s="18"/>
      <c r="B2096" s="18"/>
      <c r="C2096" s="18"/>
      <c r="E2096" s="18"/>
    </row>
    <row r="2097" ht="22.5" hidden="1" customHeight="1">
      <c r="A2097" s="18"/>
      <c r="B2097" s="18"/>
      <c r="C2097" s="18"/>
      <c r="E2097" s="18"/>
    </row>
    <row r="2098" ht="22.5" hidden="1" customHeight="1">
      <c r="A2098" s="18"/>
      <c r="B2098" s="18"/>
      <c r="C2098" s="18"/>
      <c r="E2098" s="18"/>
    </row>
    <row r="2099" ht="22.5" hidden="1" customHeight="1">
      <c r="A2099" s="18"/>
      <c r="B2099" s="18"/>
      <c r="C2099" s="18"/>
      <c r="E2099" s="18"/>
    </row>
    <row r="2100" ht="22.5" hidden="1" customHeight="1">
      <c r="A2100" s="18"/>
      <c r="B2100" s="18"/>
      <c r="C2100" s="18"/>
      <c r="E2100" s="18"/>
    </row>
    <row r="2101" ht="22.5" hidden="1" customHeight="1">
      <c r="A2101" s="18"/>
      <c r="B2101" s="18"/>
      <c r="C2101" s="18"/>
      <c r="E2101" s="18"/>
    </row>
    <row r="2102" ht="22.5" hidden="1" customHeight="1">
      <c r="A2102" s="18"/>
      <c r="B2102" s="18"/>
      <c r="C2102" s="18"/>
      <c r="E2102" s="18"/>
    </row>
    <row r="2103" ht="22.5" hidden="1" customHeight="1">
      <c r="A2103" s="18"/>
      <c r="B2103" s="18"/>
      <c r="C2103" s="18"/>
      <c r="E2103" s="18"/>
    </row>
    <row r="2104" ht="22.5" hidden="1" customHeight="1">
      <c r="A2104" s="18"/>
      <c r="B2104" s="18"/>
      <c r="C2104" s="18"/>
      <c r="E2104" s="18"/>
    </row>
    <row r="2105" ht="22.5" hidden="1" customHeight="1">
      <c r="A2105" s="18"/>
      <c r="B2105" s="18"/>
      <c r="C2105" s="18"/>
      <c r="E2105" s="18"/>
    </row>
    <row r="2106" ht="22.5" hidden="1" customHeight="1">
      <c r="A2106" s="18"/>
      <c r="B2106" s="18"/>
      <c r="C2106" s="18"/>
      <c r="E2106" s="18"/>
    </row>
    <row r="2107" ht="22.5" hidden="1" customHeight="1">
      <c r="A2107" s="18"/>
      <c r="B2107" s="18"/>
      <c r="C2107" s="18"/>
      <c r="E2107" s="18"/>
    </row>
    <row r="2108" ht="22.5" hidden="1" customHeight="1">
      <c r="A2108" s="18"/>
      <c r="B2108" s="18"/>
      <c r="C2108" s="18"/>
      <c r="E2108" s="18"/>
    </row>
    <row r="2109" ht="22.5" hidden="1" customHeight="1">
      <c r="A2109" s="18"/>
      <c r="B2109" s="18"/>
      <c r="C2109" s="18"/>
      <c r="E2109" s="18"/>
    </row>
    <row r="2110" ht="22.5" hidden="1" customHeight="1">
      <c r="A2110" s="18"/>
      <c r="B2110" s="18"/>
      <c r="C2110" s="18"/>
      <c r="E2110" s="18"/>
    </row>
    <row r="2111" ht="22.5" hidden="1" customHeight="1">
      <c r="A2111" s="18"/>
      <c r="B2111" s="18"/>
      <c r="C2111" s="18"/>
      <c r="E2111" s="18"/>
    </row>
    <row r="2112" ht="22.5" hidden="1" customHeight="1">
      <c r="A2112" s="18"/>
      <c r="B2112" s="18"/>
      <c r="C2112" s="18"/>
      <c r="E2112" s="18"/>
    </row>
    <row r="2113" ht="22.5" hidden="1" customHeight="1">
      <c r="A2113" s="18"/>
      <c r="B2113" s="18"/>
      <c r="C2113" s="18"/>
      <c r="E2113" s="18"/>
    </row>
    <row r="2114" ht="22.5" hidden="1" customHeight="1">
      <c r="A2114" s="18"/>
      <c r="B2114" s="18"/>
      <c r="C2114" s="18"/>
      <c r="E2114" s="18"/>
    </row>
    <row r="2115" ht="22.5" hidden="1" customHeight="1">
      <c r="A2115" s="18"/>
      <c r="B2115" s="18"/>
      <c r="C2115" s="18"/>
      <c r="E2115" s="18"/>
    </row>
    <row r="2116" ht="22.5" hidden="1" customHeight="1">
      <c r="A2116" s="18"/>
      <c r="B2116" s="18"/>
      <c r="C2116" s="18"/>
      <c r="E2116" s="18"/>
    </row>
    <row r="2117" ht="22.5" hidden="1" customHeight="1">
      <c r="A2117" s="18"/>
      <c r="B2117" s="18"/>
      <c r="C2117" s="18"/>
      <c r="E2117" s="18"/>
    </row>
    <row r="2118" ht="22.5" hidden="1" customHeight="1">
      <c r="A2118" s="18"/>
      <c r="B2118" s="18"/>
      <c r="C2118" s="18"/>
      <c r="E2118" s="18"/>
    </row>
    <row r="2119" ht="22.5" hidden="1" customHeight="1">
      <c r="A2119" s="18"/>
      <c r="B2119" s="18"/>
      <c r="C2119" s="18"/>
      <c r="E2119" s="18"/>
    </row>
    <row r="2120" ht="22.5" hidden="1" customHeight="1">
      <c r="A2120" s="18"/>
      <c r="B2120" s="18"/>
      <c r="C2120" s="18"/>
      <c r="E2120" s="18"/>
    </row>
    <row r="2121" ht="22.5" hidden="1" customHeight="1">
      <c r="A2121" s="18"/>
      <c r="B2121" s="18"/>
      <c r="C2121" s="18"/>
      <c r="E2121" s="18"/>
    </row>
    <row r="2122" ht="22.5" hidden="1" customHeight="1">
      <c r="A2122" s="18"/>
      <c r="B2122" s="18"/>
      <c r="C2122" s="18"/>
      <c r="E2122" s="18"/>
    </row>
    <row r="2123" ht="22.5" hidden="1" customHeight="1">
      <c r="A2123" s="18"/>
      <c r="B2123" s="18"/>
      <c r="C2123" s="18"/>
      <c r="E2123" s="18"/>
    </row>
    <row r="2124" ht="22.5" hidden="1" customHeight="1">
      <c r="A2124" s="18"/>
      <c r="B2124" s="18"/>
      <c r="C2124" s="18"/>
      <c r="E2124" s="18"/>
    </row>
    <row r="2125" ht="22.5" hidden="1" customHeight="1">
      <c r="A2125" s="18"/>
      <c r="B2125" s="18"/>
      <c r="C2125" s="18"/>
      <c r="E2125" s="18"/>
    </row>
    <row r="2126" ht="22.5" hidden="1" customHeight="1">
      <c r="A2126" s="18"/>
      <c r="B2126" s="18"/>
      <c r="C2126" s="18"/>
      <c r="E2126" s="18"/>
    </row>
    <row r="2127" ht="22.5" hidden="1" customHeight="1">
      <c r="A2127" s="18"/>
      <c r="B2127" s="18"/>
      <c r="C2127" s="18"/>
      <c r="E2127" s="18"/>
    </row>
    <row r="2128" ht="22.5" hidden="1" customHeight="1">
      <c r="A2128" s="18"/>
      <c r="B2128" s="18"/>
      <c r="C2128" s="18"/>
      <c r="E2128" s="18"/>
    </row>
  </sheetData>
  <conditionalFormatting sqref="D82">
    <cfRule type="expression" dxfId="5" priority="1">
      <formula>AND($A82&lt;&gt;"",COUNTIF($A:$A,$A82)&gt;1)</formula>
    </cfRule>
  </conditionalFormatting>
  <conditionalFormatting sqref="B2:B2128 D2:D114 D116:D2128">
    <cfRule type="expression" dxfId="5" priority="2">
      <formula>AND($B2&lt;&gt;"",$C2&lt;&gt;"",$D2&lt;&gt;"",COUNTIFS($B:$B,$B2,$C:$C,$C2,$D:$D,$D2)&gt;1)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8" t="s">
        <v>651</v>
      </c>
      <c r="B1" s="8" t="s">
        <v>8</v>
      </c>
      <c r="C1" s="8" t="s">
        <v>20</v>
      </c>
      <c r="D1" s="8" t="s">
        <v>304</v>
      </c>
      <c r="E1" s="8" t="s">
        <v>305</v>
      </c>
      <c r="F1" s="8" t="s">
        <v>30</v>
      </c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22.5" customHeight="1">
      <c r="A2" s="18">
        <v>1.0</v>
      </c>
      <c r="B2" s="18">
        <v>1.0</v>
      </c>
      <c r="C2" s="18">
        <v>1.0</v>
      </c>
      <c r="D2" s="18">
        <v>1.0</v>
      </c>
      <c r="F2" s="19" t="s">
        <v>46</v>
      </c>
    </row>
    <row r="3" ht="22.5" customHeight="1">
      <c r="A3" s="18">
        <v>2.0</v>
      </c>
      <c r="B3" s="18">
        <v>2.0</v>
      </c>
      <c r="C3" s="18">
        <v>1.0</v>
      </c>
      <c r="D3" s="18">
        <v>1.0</v>
      </c>
      <c r="F3" s="19" t="s">
        <v>46</v>
      </c>
    </row>
    <row r="4" ht="22.5" customHeight="1">
      <c r="A4" s="18">
        <v>3.0</v>
      </c>
      <c r="B4" s="18">
        <v>3.0</v>
      </c>
      <c r="C4" s="18">
        <v>1.0</v>
      </c>
      <c r="D4" s="18">
        <v>1.0</v>
      </c>
      <c r="F4" s="19" t="s">
        <v>46</v>
      </c>
    </row>
    <row r="5" ht="22.5" customHeight="1">
      <c r="A5" s="18">
        <v>4.0</v>
      </c>
      <c r="B5" s="18">
        <v>4.0</v>
      </c>
      <c r="C5" s="18">
        <v>1.0</v>
      </c>
      <c r="D5" s="18">
        <v>1.0</v>
      </c>
      <c r="F5" s="19" t="s">
        <v>46</v>
      </c>
    </row>
    <row r="6" ht="22.5" customHeight="1">
      <c r="A6" s="18">
        <v>5.0</v>
      </c>
      <c r="B6" s="18">
        <v>5.0</v>
      </c>
      <c r="C6" s="18">
        <v>1.0</v>
      </c>
      <c r="D6" s="18">
        <v>1.0</v>
      </c>
      <c r="F6" s="19" t="s">
        <v>46</v>
      </c>
    </row>
    <row r="7" ht="22.5" customHeight="1">
      <c r="A7" s="18">
        <v>6.0</v>
      </c>
      <c r="B7" s="18">
        <v>6.0</v>
      </c>
      <c r="C7" s="18">
        <v>1.0</v>
      </c>
      <c r="D7" s="18">
        <v>1.0</v>
      </c>
      <c r="F7" s="19" t="s">
        <v>46</v>
      </c>
    </row>
    <row r="8" ht="22.5" customHeight="1">
      <c r="A8" s="18">
        <v>7.0</v>
      </c>
      <c r="B8" s="18">
        <v>7.0</v>
      </c>
      <c r="C8" s="18">
        <v>1.0</v>
      </c>
      <c r="D8" s="18">
        <v>1.0</v>
      </c>
      <c r="F8" s="19" t="s">
        <v>46</v>
      </c>
    </row>
    <row r="9" ht="22.5" customHeight="1">
      <c r="A9" s="18">
        <v>8.0</v>
      </c>
      <c r="B9" s="18">
        <v>8.0</v>
      </c>
      <c r="C9" s="18">
        <v>1.0</v>
      </c>
      <c r="D9" s="18">
        <v>1.0</v>
      </c>
      <c r="F9" s="19" t="s">
        <v>46</v>
      </c>
    </row>
    <row r="10" ht="22.5" customHeight="1">
      <c r="A10" s="18">
        <v>9.0</v>
      </c>
      <c r="B10" s="18">
        <v>9.0</v>
      </c>
      <c r="C10" s="18">
        <v>1.0</v>
      </c>
      <c r="D10" s="18">
        <v>1.0</v>
      </c>
      <c r="F10" s="19" t="s">
        <v>46</v>
      </c>
    </row>
    <row r="11" ht="22.5" customHeight="1">
      <c r="A11" s="18">
        <v>10.0</v>
      </c>
      <c r="B11" s="18">
        <v>10.0</v>
      </c>
      <c r="C11" s="18">
        <v>1.0</v>
      </c>
      <c r="D11" s="18">
        <v>1.0</v>
      </c>
      <c r="F11" s="19" t="s">
        <v>46</v>
      </c>
    </row>
    <row r="12" ht="22.5" customHeight="1">
      <c r="A12" s="18">
        <v>11.0</v>
      </c>
      <c r="B12" s="18">
        <v>11.0</v>
      </c>
      <c r="C12" s="18">
        <v>1.0</v>
      </c>
      <c r="D12" s="18">
        <v>1.0</v>
      </c>
      <c r="F12" s="19" t="s">
        <v>46</v>
      </c>
    </row>
    <row r="13" ht="22.5" customHeight="1">
      <c r="A13" s="18">
        <v>12.0</v>
      </c>
      <c r="B13" s="18">
        <v>12.0</v>
      </c>
      <c r="C13" s="18">
        <v>1.0</v>
      </c>
      <c r="D13" s="18">
        <v>1.0</v>
      </c>
      <c r="F13" s="19" t="s">
        <v>46</v>
      </c>
    </row>
    <row r="14" ht="22.5" customHeight="1">
      <c r="A14" s="18">
        <v>13.0</v>
      </c>
      <c r="B14" s="18">
        <v>13.0</v>
      </c>
      <c r="C14" s="18">
        <v>1.0</v>
      </c>
      <c r="D14" s="18">
        <v>1.0</v>
      </c>
      <c r="F14" s="19" t="s">
        <v>46</v>
      </c>
    </row>
    <row r="15" ht="22.5" customHeight="1">
      <c r="A15" s="18">
        <v>14.0</v>
      </c>
      <c r="B15" s="18">
        <v>14.0</v>
      </c>
      <c r="C15" s="18">
        <v>1.0</v>
      </c>
      <c r="D15" s="18">
        <v>1.0</v>
      </c>
      <c r="F15" s="19" t="s">
        <v>46</v>
      </c>
    </row>
    <row r="16" ht="22.5" customHeight="1">
      <c r="A16" s="18">
        <v>15.0</v>
      </c>
      <c r="B16" s="18">
        <v>15.0</v>
      </c>
      <c r="C16" s="18">
        <v>1.0</v>
      </c>
      <c r="D16" s="18">
        <v>1.0</v>
      </c>
      <c r="F16" s="19" t="s">
        <v>46</v>
      </c>
    </row>
    <row r="17" ht="22.5" customHeight="1">
      <c r="A17" s="18">
        <v>16.0</v>
      </c>
      <c r="B17" s="18">
        <v>16.0</v>
      </c>
      <c r="C17" s="18">
        <v>1.0</v>
      </c>
      <c r="D17" s="18">
        <v>1.0</v>
      </c>
      <c r="F17" s="19" t="s">
        <v>46</v>
      </c>
    </row>
    <row r="18" ht="22.5" customHeight="1">
      <c r="A18" s="18">
        <v>17.0</v>
      </c>
      <c r="B18" s="18">
        <v>17.0</v>
      </c>
      <c r="C18" s="18">
        <v>1.0</v>
      </c>
      <c r="D18" s="18">
        <v>1.0</v>
      </c>
      <c r="F18" s="19" t="s">
        <v>46</v>
      </c>
    </row>
    <row r="19" ht="22.5" customHeight="1">
      <c r="A19" s="18">
        <v>18.0</v>
      </c>
      <c r="B19" s="18">
        <v>18.0</v>
      </c>
      <c r="C19" s="18">
        <v>1.0</v>
      </c>
      <c r="D19" s="18">
        <v>1.0</v>
      </c>
      <c r="F19" s="19" t="s">
        <v>46</v>
      </c>
    </row>
    <row r="20" ht="22.5" customHeight="1">
      <c r="A20" s="18">
        <v>19.0</v>
      </c>
      <c r="B20" s="18">
        <v>19.0</v>
      </c>
      <c r="C20" s="18">
        <v>1.0</v>
      </c>
      <c r="D20" s="18">
        <v>1.0</v>
      </c>
      <c r="F20" s="19" t="s">
        <v>46</v>
      </c>
    </row>
    <row r="21" ht="22.5" customHeight="1">
      <c r="A21" s="18">
        <v>20.0</v>
      </c>
      <c r="B21" s="18">
        <v>20.0</v>
      </c>
      <c r="C21" s="18">
        <v>1.0</v>
      </c>
      <c r="D21" s="18">
        <v>1.0</v>
      </c>
      <c r="F21" s="19" t="s">
        <v>46</v>
      </c>
    </row>
    <row r="22" ht="22.5" customHeight="1">
      <c r="A22" s="18">
        <v>21.0</v>
      </c>
      <c r="B22" s="18">
        <v>21.0</v>
      </c>
      <c r="C22" s="18">
        <v>1.0</v>
      </c>
      <c r="D22" s="18">
        <v>1.0</v>
      </c>
      <c r="F22" s="19" t="s">
        <v>46</v>
      </c>
    </row>
    <row r="23" ht="22.5" customHeight="1">
      <c r="A23" s="18">
        <v>22.0</v>
      </c>
      <c r="B23" s="18">
        <v>22.0</v>
      </c>
      <c r="C23" s="18">
        <v>1.0</v>
      </c>
      <c r="D23" s="18">
        <v>1.0</v>
      </c>
      <c r="F23" s="19" t="s">
        <v>46</v>
      </c>
    </row>
    <row r="24" ht="22.5" customHeight="1">
      <c r="A24" s="18">
        <v>23.0</v>
      </c>
      <c r="B24" s="18">
        <v>23.0</v>
      </c>
      <c r="C24" s="18">
        <v>1.0</v>
      </c>
      <c r="D24" s="18">
        <v>1.0</v>
      </c>
      <c r="F24" s="19" t="s">
        <v>46</v>
      </c>
    </row>
    <row r="25" ht="22.5" customHeight="1">
      <c r="A25" s="18">
        <v>24.0</v>
      </c>
      <c r="B25" s="18">
        <v>24.0</v>
      </c>
      <c r="C25" s="18">
        <v>1.0</v>
      </c>
      <c r="D25" s="18">
        <v>1.0</v>
      </c>
      <c r="F25" s="19" t="s">
        <v>46</v>
      </c>
    </row>
    <row r="26" ht="22.5" customHeight="1">
      <c r="A26" s="18">
        <v>25.0</v>
      </c>
      <c r="B26" s="18">
        <v>25.0</v>
      </c>
      <c r="C26" s="18">
        <v>1.0</v>
      </c>
      <c r="D26" s="18">
        <v>1.0</v>
      </c>
      <c r="F26" s="19" t="s">
        <v>46</v>
      </c>
    </row>
    <row r="27" ht="22.5" customHeight="1">
      <c r="A27" s="18">
        <v>26.0</v>
      </c>
      <c r="B27" s="18">
        <v>26.0</v>
      </c>
      <c r="C27" s="18">
        <v>1.0</v>
      </c>
      <c r="D27" s="18">
        <v>1.0</v>
      </c>
      <c r="F27" s="19" t="s">
        <v>46</v>
      </c>
    </row>
    <row r="28" ht="22.5" customHeight="1">
      <c r="A28" s="18">
        <v>27.0</v>
      </c>
      <c r="B28" s="18">
        <v>27.0</v>
      </c>
      <c r="C28" s="18">
        <v>1.0</v>
      </c>
      <c r="D28" s="18">
        <v>1.0</v>
      </c>
      <c r="F28" s="19" t="s">
        <v>46</v>
      </c>
    </row>
    <row r="29" ht="22.5" customHeight="1">
      <c r="A29" s="18">
        <v>28.0</v>
      </c>
      <c r="B29" s="18">
        <v>28.0</v>
      </c>
      <c r="C29" s="18">
        <v>1.0</v>
      </c>
      <c r="D29" s="18">
        <v>1.0</v>
      </c>
      <c r="F29" s="19" t="s">
        <v>46</v>
      </c>
    </row>
    <row r="30" ht="22.5" customHeight="1">
      <c r="A30" s="18">
        <v>29.0</v>
      </c>
      <c r="B30" s="18">
        <v>29.0</v>
      </c>
      <c r="C30" s="18">
        <v>1.0</v>
      </c>
      <c r="D30" s="18">
        <v>1.0</v>
      </c>
      <c r="F30" s="19" t="s">
        <v>46</v>
      </c>
    </row>
    <row r="31" ht="22.5" customHeight="1">
      <c r="A31" s="18">
        <v>30.0</v>
      </c>
      <c r="B31" s="18">
        <v>30.0</v>
      </c>
      <c r="C31" s="18">
        <v>1.0</v>
      </c>
      <c r="D31" s="18">
        <v>1.0</v>
      </c>
      <c r="F31" s="19" t="s">
        <v>46</v>
      </c>
    </row>
    <row r="32" ht="22.5" customHeight="1">
      <c r="A32" s="18">
        <v>31.0</v>
      </c>
      <c r="B32" s="18">
        <v>31.0</v>
      </c>
      <c r="C32" s="18">
        <v>1.0</v>
      </c>
      <c r="D32" s="18">
        <v>1.0</v>
      </c>
      <c r="F32" s="19" t="s">
        <v>46</v>
      </c>
    </row>
    <row r="33" ht="22.5" customHeight="1">
      <c r="A33" s="18">
        <v>32.0</v>
      </c>
      <c r="B33" s="18">
        <v>32.0</v>
      </c>
      <c r="C33" s="18">
        <v>1.0</v>
      </c>
      <c r="D33" s="18">
        <v>1.0</v>
      </c>
      <c r="F33" s="19" t="s">
        <v>46</v>
      </c>
    </row>
    <row r="34" ht="22.5" customHeight="1">
      <c r="A34" s="18">
        <v>33.0</v>
      </c>
      <c r="B34" s="18">
        <v>33.0</v>
      </c>
      <c r="C34" s="18">
        <v>1.0</v>
      </c>
      <c r="D34" s="18">
        <v>1.0</v>
      </c>
      <c r="F34" s="19" t="s">
        <v>46</v>
      </c>
    </row>
    <row r="35" ht="22.5" customHeight="1">
      <c r="A35" s="18">
        <v>34.0</v>
      </c>
      <c r="B35" s="18">
        <v>34.0</v>
      </c>
      <c r="C35" s="18">
        <v>1.0</v>
      </c>
      <c r="D35" s="18">
        <v>1.0</v>
      </c>
      <c r="E35" s="18" t="s">
        <v>723</v>
      </c>
      <c r="F35" s="19" t="s">
        <v>46</v>
      </c>
    </row>
    <row r="36" ht="22.5" customHeight="1">
      <c r="A36" s="18">
        <v>35.0</v>
      </c>
      <c r="B36" s="18">
        <v>35.0</v>
      </c>
      <c r="C36" s="18">
        <v>1.0</v>
      </c>
      <c r="D36" s="18">
        <v>1.0</v>
      </c>
      <c r="E36" s="18" t="s">
        <v>723</v>
      </c>
      <c r="F36" s="19" t="s">
        <v>46</v>
      </c>
    </row>
    <row r="37" ht="22.5" customHeight="1">
      <c r="A37" s="18">
        <v>36.0</v>
      </c>
      <c r="B37" s="18">
        <v>36.0</v>
      </c>
      <c r="C37" s="18">
        <v>1.0</v>
      </c>
      <c r="D37" s="18">
        <v>1.0</v>
      </c>
      <c r="E37" s="18" t="s">
        <v>723</v>
      </c>
      <c r="F37" s="19" t="s">
        <v>46</v>
      </c>
    </row>
    <row r="38" ht="22.5" customHeight="1">
      <c r="A38" s="18">
        <v>37.0</v>
      </c>
      <c r="B38" s="18">
        <v>37.0</v>
      </c>
      <c r="C38" s="18">
        <v>1.0</v>
      </c>
      <c r="D38" s="18">
        <v>1.0</v>
      </c>
      <c r="E38" s="18" t="s">
        <v>723</v>
      </c>
      <c r="F38" s="19" t="s">
        <v>46</v>
      </c>
    </row>
    <row r="39" ht="22.5" customHeight="1">
      <c r="A39" s="18">
        <v>38.0</v>
      </c>
      <c r="B39" s="18">
        <v>38.0</v>
      </c>
      <c r="C39" s="18">
        <v>1.0</v>
      </c>
      <c r="D39" s="18">
        <v>1.0</v>
      </c>
      <c r="E39" s="18" t="s">
        <v>723</v>
      </c>
      <c r="F39" s="19" t="s">
        <v>46</v>
      </c>
    </row>
    <row r="40" ht="22.5" customHeight="1">
      <c r="A40" s="18">
        <v>39.0</v>
      </c>
      <c r="B40" s="18">
        <v>39.0</v>
      </c>
      <c r="C40" s="18">
        <v>1.0</v>
      </c>
      <c r="D40" s="18">
        <v>1.0</v>
      </c>
      <c r="E40" s="18" t="s">
        <v>723</v>
      </c>
      <c r="F40" s="19" t="s">
        <v>46</v>
      </c>
    </row>
    <row r="41" ht="22.5" customHeight="1">
      <c r="A41" s="18">
        <v>40.0</v>
      </c>
      <c r="B41" s="18">
        <v>40.0</v>
      </c>
      <c r="C41" s="18">
        <v>1.0</v>
      </c>
      <c r="D41" s="18">
        <v>1.0</v>
      </c>
      <c r="E41" s="18" t="s">
        <v>723</v>
      </c>
      <c r="F41" s="19" t="s">
        <v>46</v>
      </c>
    </row>
    <row r="42" ht="22.5" customHeight="1">
      <c r="A42" s="18">
        <v>41.0</v>
      </c>
      <c r="B42" s="18">
        <v>41.0</v>
      </c>
      <c r="C42" s="18">
        <v>1.0</v>
      </c>
      <c r="D42" s="18">
        <v>1.0</v>
      </c>
      <c r="E42" s="18" t="s">
        <v>723</v>
      </c>
      <c r="F42" s="19" t="s">
        <v>46</v>
      </c>
    </row>
    <row r="43" ht="22.5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746</v>
      </c>
      <c r="F43" s="19" t="s">
        <v>46</v>
      </c>
    </row>
    <row r="44" ht="22.5" customHeight="1">
      <c r="A44" s="18">
        <v>43.0</v>
      </c>
      <c r="B44" s="18">
        <v>43.0</v>
      </c>
      <c r="C44" s="18">
        <v>1.0</v>
      </c>
      <c r="D44" s="18">
        <v>1.0</v>
      </c>
      <c r="E44" s="18" t="s">
        <v>723</v>
      </c>
      <c r="F44" s="19" t="s">
        <v>46</v>
      </c>
    </row>
    <row r="45" ht="22.5" customHeight="1">
      <c r="A45" s="18">
        <v>44.0</v>
      </c>
      <c r="B45" s="18">
        <v>46.0</v>
      </c>
      <c r="C45" s="18">
        <v>1.0</v>
      </c>
      <c r="D45" s="18">
        <v>1.0</v>
      </c>
      <c r="F45" s="19" t="s">
        <v>46</v>
      </c>
    </row>
    <row r="46" ht="22.5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753</v>
      </c>
      <c r="F46" s="19" t="s">
        <v>46</v>
      </c>
    </row>
    <row r="47" ht="22.5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755</v>
      </c>
      <c r="F47" s="19" t="s">
        <v>46</v>
      </c>
    </row>
    <row r="48" ht="22.5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746</v>
      </c>
      <c r="F48" s="19" t="s">
        <v>46</v>
      </c>
    </row>
    <row r="49" ht="22.5" customHeight="1">
      <c r="A49" s="18">
        <v>49.0</v>
      </c>
      <c r="B49" s="18">
        <v>54.0</v>
      </c>
      <c r="C49" s="18">
        <v>1.0</v>
      </c>
      <c r="D49" s="18">
        <v>1.0</v>
      </c>
      <c r="F49" s="19" t="s">
        <v>46</v>
      </c>
    </row>
    <row r="50" ht="22.5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753</v>
      </c>
      <c r="F50" s="19" t="s">
        <v>46</v>
      </c>
    </row>
    <row r="51" ht="22.5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753</v>
      </c>
      <c r="F51" s="19" t="s">
        <v>46</v>
      </c>
    </row>
    <row r="52" ht="22.5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753</v>
      </c>
      <c r="F52" s="19" t="s">
        <v>46</v>
      </c>
    </row>
    <row r="53" ht="22.5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753</v>
      </c>
      <c r="F53" s="19" t="s">
        <v>46</v>
      </c>
    </row>
    <row r="54" ht="22.5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753</v>
      </c>
      <c r="F54" s="19" t="s">
        <v>46</v>
      </c>
    </row>
    <row r="55" ht="22.5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753</v>
      </c>
      <c r="F55" s="19" t="s">
        <v>46</v>
      </c>
    </row>
    <row r="56" ht="22.5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753</v>
      </c>
      <c r="F56" s="19" t="s">
        <v>46</v>
      </c>
    </row>
    <row r="57" ht="22.5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755</v>
      </c>
      <c r="F57" s="19" t="s">
        <v>46</v>
      </c>
    </row>
    <row r="58" ht="22.5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779</v>
      </c>
      <c r="F58" s="19" t="s">
        <v>46</v>
      </c>
    </row>
    <row r="59" ht="22.5" customHeight="1">
      <c r="A59" s="18">
        <v>59.0</v>
      </c>
      <c r="B59" s="18">
        <v>64.0</v>
      </c>
      <c r="C59" s="18">
        <v>1.0</v>
      </c>
      <c r="D59" s="18">
        <v>2.0</v>
      </c>
      <c r="F59" s="19" t="s">
        <v>46</v>
      </c>
    </row>
    <row r="60" ht="22.5" customHeight="1">
      <c r="A60" s="18">
        <v>60.0</v>
      </c>
      <c r="B60" s="18">
        <v>65.0</v>
      </c>
      <c r="C60" s="18">
        <v>1.0</v>
      </c>
      <c r="D60" s="18">
        <v>2.0</v>
      </c>
      <c r="F60" s="19" t="s">
        <v>46</v>
      </c>
    </row>
    <row r="61" ht="22.5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785</v>
      </c>
      <c r="F61" s="19" t="s">
        <v>46</v>
      </c>
    </row>
    <row r="62" ht="22.5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785</v>
      </c>
      <c r="F62" s="19" t="s">
        <v>46</v>
      </c>
    </row>
    <row r="63" ht="22.5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755</v>
      </c>
      <c r="F63" s="19" t="s">
        <v>46</v>
      </c>
    </row>
    <row r="64" ht="22.5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755</v>
      </c>
      <c r="F64" s="19" t="s">
        <v>46</v>
      </c>
    </row>
    <row r="65" ht="22.5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795</v>
      </c>
      <c r="F65" s="19" t="s">
        <v>46</v>
      </c>
    </row>
    <row r="66" ht="22.5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795</v>
      </c>
      <c r="F66" s="19" t="s">
        <v>46</v>
      </c>
    </row>
    <row r="67" ht="22.5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795</v>
      </c>
      <c r="F67" s="19" t="s">
        <v>46</v>
      </c>
    </row>
    <row r="68" ht="22.5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795</v>
      </c>
      <c r="F68" s="19" t="s">
        <v>46</v>
      </c>
    </row>
    <row r="69" ht="22.5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795</v>
      </c>
      <c r="F69" s="19" t="s">
        <v>46</v>
      </c>
    </row>
    <row r="70" ht="22.5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795</v>
      </c>
      <c r="F70" s="19" t="s">
        <v>46</v>
      </c>
    </row>
    <row r="71" ht="22.5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795</v>
      </c>
      <c r="F71" s="19" t="s">
        <v>46</v>
      </c>
    </row>
    <row r="72" ht="22.5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795</v>
      </c>
      <c r="F72" s="19" t="s">
        <v>46</v>
      </c>
    </row>
    <row r="73" ht="22.5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795</v>
      </c>
      <c r="F73" s="19" t="s">
        <v>46</v>
      </c>
    </row>
    <row r="74" ht="22.5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795</v>
      </c>
      <c r="F74" s="19" t="s">
        <v>46</v>
      </c>
    </row>
    <row r="75" ht="22.5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795</v>
      </c>
      <c r="F75" s="19" t="s">
        <v>46</v>
      </c>
    </row>
    <row r="76" ht="22.5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795</v>
      </c>
      <c r="F76" s="19" t="s">
        <v>46</v>
      </c>
    </row>
    <row r="77" ht="22.5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795</v>
      </c>
      <c r="F77" s="19" t="s">
        <v>46</v>
      </c>
    </row>
    <row r="78" ht="22.5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821</v>
      </c>
      <c r="F78" s="19" t="s">
        <v>46</v>
      </c>
    </row>
    <row r="79" ht="22.5" customHeight="1">
      <c r="A79" s="18">
        <v>101.0</v>
      </c>
      <c r="B79" s="18">
        <v>110.0</v>
      </c>
      <c r="C79" s="18">
        <v>1.0</v>
      </c>
      <c r="D79" s="18">
        <v>1.0</v>
      </c>
      <c r="E79" s="18" t="s">
        <v>723</v>
      </c>
      <c r="F79" s="19" t="s">
        <v>46</v>
      </c>
    </row>
    <row r="80" ht="22.5" customHeight="1">
      <c r="A80" s="18">
        <v>102.0</v>
      </c>
      <c r="B80" s="18">
        <v>111.0</v>
      </c>
      <c r="C80" s="18">
        <v>1.0</v>
      </c>
      <c r="D80" s="18">
        <v>2.0</v>
      </c>
      <c r="F80" s="19" t="s">
        <v>46</v>
      </c>
    </row>
    <row r="81" ht="22.5" customHeight="1">
      <c r="A81" s="18">
        <v>103.0</v>
      </c>
      <c r="B81" s="18">
        <v>1.0</v>
      </c>
      <c r="C81" s="18">
        <v>2.0</v>
      </c>
      <c r="D81" s="18">
        <v>1.0</v>
      </c>
      <c r="F81" s="19" t="s">
        <v>46</v>
      </c>
    </row>
    <row r="82" ht="22.5" customHeight="1">
      <c r="A82" s="18">
        <v>104.0</v>
      </c>
      <c r="B82" s="18">
        <v>2.0</v>
      </c>
      <c r="C82" s="18">
        <v>2.0</v>
      </c>
      <c r="D82" s="18">
        <v>1.0</v>
      </c>
      <c r="F82" s="19" t="s">
        <v>46</v>
      </c>
    </row>
    <row r="83" ht="22.5" customHeight="1">
      <c r="A83" s="18">
        <v>105.0</v>
      </c>
      <c r="B83" s="18">
        <v>3.0</v>
      </c>
      <c r="C83" s="18">
        <v>2.0</v>
      </c>
      <c r="D83" s="18">
        <v>1.0</v>
      </c>
      <c r="F83" s="19" t="s">
        <v>46</v>
      </c>
    </row>
    <row r="84" ht="22.5" customHeight="1">
      <c r="A84" s="18">
        <v>106.0</v>
      </c>
      <c r="B84" s="18">
        <v>4.0</v>
      </c>
      <c r="C84" s="18">
        <v>2.0</v>
      </c>
      <c r="D84" s="18">
        <v>1.0</v>
      </c>
      <c r="F84" s="19" t="s">
        <v>46</v>
      </c>
    </row>
    <row r="85" ht="22.5" customHeight="1">
      <c r="A85" s="18">
        <v>107.0</v>
      </c>
      <c r="B85" s="18">
        <v>5.0</v>
      </c>
      <c r="C85" s="18">
        <v>2.0</v>
      </c>
      <c r="D85" s="18">
        <v>1.0</v>
      </c>
      <c r="F85" s="19" t="s">
        <v>46</v>
      </c>
    </row>
    <row r="86" ht="22.5" customHeight="1">
      <c r="A86" s="18">
        <v>108.0</v>
      </c>
      <c r="B86" s="18">
        <v>6.0</v>
      </c>
      <c r="C86" s="18">
        <v>2.0</v>
      </c>
      <c r="D86" s="18">
        <v>1.0</v>
      </c>
      <c r="F86" s="19" t="s">
        <v>46</v>
      </c>
    </row>
    <row r="87" ht="22.5" customHeight="1">
      <c r="A87" s="18">
        <v>109.0</v>
      </c>
      <c r="B87" s="18">
        <v>7.0</v>
      </c>
      <c r="C87" s="18">
        <v>2.0</v>
      </c>
      <c r="D87" s="18">
        <v>1.0</v>
      </c>
      <c r="F87" s="19" t="s">
        <v>46</v>
      </c>
    </row>
    <row r="88" ht="22.5" customHeight="1">
      <c r="A88" s="18">
        <v>110.0</v>
      </c>
      <c r="B88" s="18">
        <v>8.0</v>
      </c>
      <c r="C88" s="18">
        <v>2.0</v>
      </c>
      <c r="D88" s="18">
        <v>1.0</v>
      </c>
      <c r="F88" s="19" t="s">
        <v>46</v>
      </c>
    </row>
    <row r="89" ht="22.5" customHeight="1">
      <c r="A89" s="18">
        <v>111.0</v>
      </c>
      <c r="B89" s="18">
        <v>9.0</v>
      </c>
      <c r="C89" s="18">
        <v>2.0</v>
      </c>
      <c r="D89" s="18">
        <v>1.0</v>
      </c>
      <c r="F89" s="19" t="s">
        <v>46</v>
      </c>
    </row>
    <row r="90" ht="22.5" customHeight="1">
      <c r="A90" s="18">
        <v>112.0</v>
      </c>
      <c r="B90" s="18">
        <v>10.0</v>
      </c>
      <c r="C90" s="18">
        <v>2.0</v>
      </c>
      <c r="D90" s="18">
        <v>1.0</v>
      </c>
      <c r="F90" s="19" t="s">
        <v>46</v>
      </c>
    </row>
    <row r="91" ht="22.5" customHeight="1">
      <c r="A91" s="18">
        <v>113.0</v>
      </c>
      <c r="B91" s="18">
        <v>11.0</v>
      </c>
      <c r="C91" s="18">
        <v>2.0</v>
      </c>
      <c r="D91" s="18">
        <v>1.0</v>
      </c>
      <c r="F91" s="19" t="s">
        <v>46</v>
      </c>
    </row>
    <row r="92" ht="22.5" customHeight="1">
      <c r="A92" s="18">
        <v>114.0</v>
      </c>
      <c r="B92" s="18">
        <v>12.0</v>
      </c>
      <c r="C92" s="18">
        <v>2.0</v>
      </c>
      <c r="D92" s="18">
        <v>1.0</v>
      </c>
      <c r="F92" s="19" t="s">
        <v>46</v>
      </c>
    </row>
    <row r="93" ht="22.5" customHeight="1">
      <c r="A93" s="18">
        <v>115.0</v>
      </c>
      <c r="B93" s="18">
        <v>13.0</v>
      </c>
      <c r="C93" s="18">
        <v>2.0</v>
      </c>
      <c r="D93" s="18">
        <v>1.0</v>
      </c>
      <c r="F93" s="19" t="s">
        <v>46</v>
      </c>
    </row>
    <row r="94" ht="22.5" customHeight="1">
      <c r="A94" s="18">
        <v>116.0</v>
      </c>
      <c r="B94" s="18">
        <v>14.0</v>
      </c>
      <c r="C94" s="18">
        <v>2.0</v>
      </c>
      <c r="D94" s="18">
        <v>1.0</v>
      </c>
      <c r="F94" s="19" t="s">
        <v>46</v>
      </c>
    </row>
    <row r="95" ht="22.5" customHeight="1">
      <c r="A95" s="18">
        <v>117.0</v>
      </c>
      <c r="B95" s="18">
        <v>15.0</v>
      </c>
      <c r="C95" s="18">
        <v>2.0</v>
      </c>
      <c r="D95" s="18">
        <v>1.0</v>
      </c>
      <c r="F95" s="19" t="s">
        <v>46</v>
      </c>
    </row>
    <row r="96" ht="22.5" customHeight="1">
      <c r="A96" s="18">
        <v>118.0</v>
      </c>
      <c r="B96" s="18">
        <v>16.0</v>
      </c>
      <c r="C96" s="18">
        <v>2.0</v>
      </c>
      <c r="D96" s="18">
        <v>1.0</v>
      </c>
      <c r="F96" s="19" t="s">
        <v>46</v>
      </c>
    </row>
    <row r="97" ht="22.5" customHeight="1">
      <c r="A97" s="18">
        <v>119.0</v>
      </c>
      <c r="B97" s="18">
        <v>17.0</v>
      </c>
      <c r="C97" s="18">
        <v>2.0</v>
      </c>
      <c r="D97" s="18">
        <v>1.0</v>
      </c>
      <c r="F97" s="19" t="s">
        <v>46</v>
      </c>
    </row>
    <row r="98" ht="22.5" customHeight="1">
      <c r="A98" s="18">
        <v>120.0</v>
      </c>
      <c r="B98" s="18">
        <v>18.0</v>
      </c>
      <c r="C98" s="18">
        <v>2.0</v>
      </c>
      <c r="D98" s="18">
        <v>1.0</v>
      </c>
      <c r="F98" s="19" t="s">
        <v>46</v>
      </c>
    </row>
    <row r="99" ht="22.5" customHeight="1">
      <c r="A99" s="18">
        <v>121.0</v>
      </c>
      <c r="B99" s="18">
        <v>19.0</v>
      </c>
      <c r="C99" s="18">
        <v>2.0</v>
      </c>
      <c r="D99" s="18">
        <v>1.0</v>
      </c>
      <c r="F99" s="19" t="s">
        <v>46</v>
      </c>
    </row>
    <row r="100" ht="22.5" customHeight="1">
      <c r="A100" s="18">
        <v>122.0</v>
      </c>
      <c r="B100" s="18">
        <v>20.0</v>
      </c>
      <c r="C100" s="18">
        <v>2.0</v>
      </c>
      <c r="D100" s="18">
        <v>1.0</v>
      </c>
      <c r="F100" s="19" t="s">
        <v>46</v>
      </c>
    </row>
    <row r="101" ht="22.5" customHeight="1">
      <c r="A101" s="18">
        <v>123.0</v>
      </c>
      <c r="B101" s="18">
        <v>21.0</v>
      </c>
      <c r="C101" s="18">
        <v>2.0</v>
      </c>
      <c r="D101" s="18">
        <v>1.0</v>
      </c>
      <c r="F101" s="19" t="s">
        <v>46</v>
      </c>
    </row>
    <row r="102" ht="22.5" customHeight="1">
      <c r="A102" s="18">
        <v>124.0</v>
      </c>
      <c r="B102" s="18">
        <v>22.0</v>
      </c>
      <c r="C102" s="18">
        <v>2.0</v>
      </c>
      <c r="D102" s="18">
        <v>1.0</v>
      </c>
      <c r="F102" s="19" t="s">
        <v>46</v>
      </c>
    </row>
    <row r="103" ht="22.5" customHeight="1">
      <c r="A103" s="18">
        <v>125.0</v>
      </c>
      <c r="B103" s="18">
        <v>23.0</v>
      </c>
      <c r="C103" s="18">
        <v>2.0</v>
      </c>
      <c r="D103" s="18">
        <v>1.0</v>
      </c>
      <c r="F103" s="19" t="s">
        <v>46</v>
      </c>
    </row>
    <row r="104" ht="22.5" customHeight="1">
      <c r="A104" s="18">
        <v>126.0</v>
      </c>
      <c r="B104" s="18">
        <v>24.0</v>
      </c>
      <c r="C104" s="18">
        <v>2.0</v>
      </c>
      <c r="D104" s="18">
        <v>1.0</v>
      </c>
      <c r="F104" s="19" t="s">
        <v>46</v>
      </c>
    </row>
    <row r="105" ht="22.5" customHeight="1">
      <c r="A105" s="18">
        <v>127.0</v>
      </c>
      <c r="B105" s="18">
        <v>25.0</v>
      </c>
      <c r="C105" s="18">
        <v>2.0</v>
      </c>
      <c r="D105" s="18">
        <v>1.0</v>
      </c>
      <c r="F105" s="19" t="s">
        <v>46</v>
      </c>
    </row>
    <row r="106" ht="22.5" customHeight="1">
      <c r="A106" s="18">
        <v>128.0</v>
      </c>
      <c r="B106" s="18">
        <v>26.0</v>
      </c>
      <c r="C106" s="18">
        <v>2.0</v>
      </c>
      <c r="D106" s="18">
        <v>1.0</v>
      </c>
      <c r="F106" s="19" t="s">
        <v>46</v>
      </c>
    </row>
    <row r="107" ht="22.5" customHeight="1">
      <c r="A107" s="18">
        <v>129.0</v>
      </c>
      <c r="B107" s="18">
        <v>27.0</v>
      </c>
      <c r="C107" s="18">
        <v>2.0</v>
      </c>
      <c r="D107" s="18">
        <v>1.0</v>
      </c>
      <c r="F107" s="19" t="s">
        <v>46</v>
      </c>
    </row>
    <row r="108" ht="22.5" customHeight="1">
      <c r="A108" s="18">
        <v>130.0</v>
      </c>
      <c r="B108" s="18">
        <v>28.0</v>
      </c>
      <c r="C108" s="18">
        <v>2.0</v>
      </c>
      <c r="D108" s="18">
        <v>1.0</v>
      </c>
      <c r="F108" s="19" t="s">
        <v>46</v>
      </c>
    </row>
    <row r="109" ht="22.5" customHeight="1">
      <c r="A109" s="18">
        <v>131.0</v>
      </c>
      <c r="B109" s="18">
        <v>29.0</v>
      </c>
      <c r="C109" s="18">
        <v>2.0</v>
      </c>
      <c r="D109" s="18">
        <v>1.0</v>
      </c>
      <c r="F109" s="19" t="s">
        <v>46</v>
      </c>
    </row>
    <row r="110" ht="22.5" customHeight="1">
      <c r="A110" s="18">
        <v>132.0</v>
      </c>
      <c r="B110" s="18">
        <v>30.0</v>
      </c>
      <c r="C110" s="18">
        <v>2.0</v>
      </c>
      <c r="D110" s="18">
        <v>1.0</v>
      </c>
      <c r="F110" s="19" t="s">
        <v>46</v>
      </c>
    </row>
    <row r="111" ht="22.5" customHeight="1">
      <c r="A111" s="18">
        <v>133.0</v>
      </c>
      <c r="B111" s="18">
        <v>31.0</v>
      </c>
      <c r="C111" s="18">
        <v>2.0</v>
      </c>
      <c r="D111" s="18">
        <v>1.0</v>
      </c>
      <c r="F111" s="19" t="s">
        <v>46</v>
      </c>
    </row>
    <row r="112" ht="22.5" customHeight="1">
      <c r="A112" s="18">
        <v>134.0</v>
      </c>
      <c r="B112" s="18">
        <v>32.0</v>
      </c>
      <c r="C112" s="18">
        <v>2.0</v>
      </c>
      <c r="D112" s="18">
        <v>1.0</v>
      </c>
      <c r="F112" s="19" t="s">
        <v>46</v>
      </c>
    </row>
    <row r="113" ht="22.5" customHeight="1">
      <c r="A113" s="18">
        <v>135.0</v>
      </c>
      <c r="B113" s="18">
        <v>33.0</v>
      </c>
      <c r="C113" s="18">
        <v>2.0</v>
      </c>
      <c r="D113" s="18">
        <v>1.0</v>
      </c>
      <c r="F113" s="19" t="s">
        <v>46</v>
      </c>
    </row>
    <row r="114" ht="22.5" customHeight="1">
      <c r="A114" s="18">
        <v>136.0</v>
      </c>
      <c r="B114" s="18">
        <v>34.0</v>
      </c>
      <c r="C114" s="18">
        <v>2.0</v>
      </c>
      <c r="D114" s="18">
        <v>1.0</v>
      </c>
      <c r="E114" s="18" t="s">
        <v>723</v>
      </c>
      <c r="F114" s="19" t="s">
        <v>46</v>
      </c>
    </row>
    <row r="115" ht="22.5" customHeight="1">
      <c r="A115" s="18">
        <v>137.0</v>
      </c>
      <c r="B115" s="18">
        <v>35.0</v>
      </c>
      <c r="C115" s="18">
        <v>2.0</v>
      </c>
      <c r="D115" s="18">
        <v>1.0</v>
      </c>
      <c r="E115" s="18" t="s">
        <v>723</v>
      </c>
      <c r="F115" s="19" t="s">
        <v>46</v>
      </c>
    </row>
    <row r="116" ht="22.5" customHeight="1">
      <c r="A116" s="18">
        <v>138.0</v>
      </c>
      <c r="B116" s="18">
        <v>36.0</v>
      </c>
      <c r="C116" s="18">
        <v>2.0</v>
      </c>
      <c r="D116" s="18">
        <v>1.0</v>
      </c>
      <c r="E116" s="18" t="s">
        <v>723</v>
      </c>
      <c r="F116" s="19" t="s">
        <v>46</v>
      </c>
    </row>
    <row r="117" ht="22.5" customHeight="1">
      <c r="A117" s="18">
        <v>139.0</v>
      </c>
      <c r="B117" s="18">
        <v>37.0</v>
      </c>
      <c r="C117" s="18">
        <v>2.0</v>
      </c>
      <c r="D117" s="18">
        <v>1.0</v>
      </c>
      <c r="E117" s="18" t="s">
        <v>723</v>
      </c>
      <c r="F117" s="19" t="s">
        <v>46</v>
      </c>
    </row>
    <row r="118" ht="22.5" customHeight="1">
      <c r="A118" s="18">
        <v>140.0</v>
      </c>
      <c r="B118" s="18">
        <v>38.0</v>
      </c>
      <c r="C118" s="18">
        <v>2.0</v>
      </c>
      <c r="D118" s="18">
        <v>1.0</v>
      </c>
      <c r="E118" s="18" t="s">
        <v>723</v>
      </c>
      <c r="F118" s="19" t="s">
        <v>46</v>
      </c>
    </row>
    <row r="119" ht="22.5" customHeight="1">
      <c r="A119" s="18">
        <v>141.0</v>
      </c>
      <c r="B119" s="18">
        <v>39.0</v>
      </c>
      <c r="C119" s="18">
        <v>2.0</v>
      </c>
      <c r="D119" s="18">
        <v>1.0</v>
      </c>
      <c r="E119" s="18" t="s">
        <v>723</v>
      </c>
      <c r="F119" s="19" t="s">
        <v>46</v>
      </c>
    </row>
    <row r="120" ht="22.5" customHeight="1">
      <c r="A120" s="18">
        <v>142.0</v>
      </c>
      <c r="B120" s="18">
        <v>40.0</v>
      </c>
      <c r="C120" s="18">
        <v>2.0</v>
      </c>
      <c r="D120" s="18">
        <v>1.0</v>
      </c>
      <c r="E120" s="18" t="s">
        <v>723</v>
      </c>
      <c r="F120" s="19" t="s">
        <v>46</v>
      </c>
    </row>
    <row r="121" ht="22.5" customHeight="1">
      <c r="A121" s="18">
        <v>143.0</v>
      </c>
      <c r="B121" s="18">
        <v>41.0</v>
      </c>
      <c r="C121" s="18">
        <v>2.0</v>
      </c>
      <c r="D121" s="18">
        <v>1.0</v>
      </c>
      <c r="E121" s="18" t="s">
        <v>723</v>
      </c>
      <c r="F121" s="19" t="s">
        <v>46</v>
      </c>
    </row>
    <row r="122" ht="22.5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746</v>
      </c>
      <c r="F122" s="19" t="s">
        <v>46</v>
      </c>
    </row>
    <row r="123" ht="22.5" customHeight="1">
      <c r="A123" s="18">
        <v>145.0</v>
      </c>
      <c r="B123" s="18">
        <v>43.0</v>
      </c>
      <c r="C123" s="18">
        <v>2.0</v>
      </c>
      <c r="D123" s="18">
        <v>1.0</v>
      </c>
      <c r="E123" s="18" t="s">
        <v>723</v>
      </c>
      <c r="F123" s="19" t="s">
        <v>46</v>
      </c>
    </row>
    <row r="124" ht="22.5" customHeight="1">
      <c r="A124" s="18">
        <v>146.0</v>
      </c>
      <c r="B124" s="18">
        <v>46.0</v>
      </c>
      <c r="C124" s="18">
        <v>2.0</v>
      </c>
      <c r="D124" s="18">
        <v>1.0</v>
      </c>
      <c r="F124" s="19" t="s">
        <v>46</v>
      </c>
    </row>
    <row r="125" ht="22.5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755</v>
      </c>
      <c r="F125" s="19" t="s">
        <v>46</v>
      </c>
    </row>
    <row r="126" ht="22.5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753</v>
      </c>
      <c r="F126" s="19" t="s">
        <v>46</v>
      </c>
    </row>
    <row r="127" ht="22.5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755</v>
      </c>
      <c r="F127" s="19" t="s">
        <v>46</v>
      </c>
    </row>
    <row r="128" ht="22.5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755</v>
      </c>
      <c r="F128" s="19" t="s">
        <v>46</v>
      </c>
    </row>
    <row r="129" ht="22.5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746</v>
      </c>
      <c r="F129" s="19" t="s">
        <v>46</v>
      </c>
    </row>
    <row r="130" ht="22.5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821</v>
      </c>
      <c r="F130" s="19" t="s">
        <v>46</v>
      </c>
    </row>
    <row r="131" ht="22.5" customHeight="1">
      <c r="A131" s="18">
        <v>153.0</v>
      </c>
      <c r="B131" s="18">
        <v>54.0</v>
      </c>
      <c r="C131" s="18">
        <v>2.0</v>
      </c>
      <c r="D131" s="18">
        <v>1.0</v>
      </c>
      <c r="F131" s="19" t="s">
        <v>46</v>
      </c>
    </row>
    <row r="132" ht="22.5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753</v>
      </c>
      <c r="F132" s="19" t="s">
        <v>46</v>
      </c>
    </row>
    <row r="133" ht="22.5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753</v>
      </c>
      <c r="F133" s="19" t="s">
        <v>46</v>
      </c>
    </row>
    <row r="134" ht="22.5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753</v>
      </c>
      <c r="F134" s="19" t="s">
        <v>46</v>
      </c>
    </row>
    <row r="135" ht="22.5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753</v>
      </c>
      <c r="F135" s="19" t="s">
        <v>46</v>
      </c>
    </row>
    <row r="136" ht="22.5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753</v>
      </c>
      <c r="F136" s="19" t="s">
        <v>46</v>
      </c>
    </row>
    <row r="137" ht="22.5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755</v>
      </c>
      <c r="F137" s="19" t="s">
        <v>46</v>
      </c>
    </row>
    <row r="138" ht="22.5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779</v>
      </c>
      <c r="F138" s="19" t="s">
        <v>46</v>
      </c>
    </row>
    <row r="139" ht="22.5" customHeight="1">
      <c r="A139" s="18">
        <v>161.0</v>
      </c>
      <c r="B139" s="18">
        <v>64.0</v>
      </c>
      <c r="C139" s="18">
        <v>2.0</v>
      </c>
      <c r="D139" s="18">
        <v>1.0</v>
      </c>
      <c r="F139" s="19" t="s">
        <v>46</v>
      </c>
    </row>
    <row r="140" ht="22.5" customHeight="1">
      <c r="A140" s="18">
        <v>185.0</v>
      </c>
      <c r="B140" s="27">
        <v>1.0</v>
      </c>
      <c r="C140" s="18">
        <v>3.0</v>
      </c>
      <c r="D140" s="18">
        <v>1.0</v>
      </c>
      <c r="F140" s="19" t="s">
        <v>46</v>
      </c>
    </row>
    <row r="141" ht="22.5" customHeight="1">
      <c r="A141" s="18">
        <v>186.0</v>
      </c>
      <c r="B141" s="27">
        <v>2.0</v>
      </c>
      <c r="C141" s="18">
        <v>3.0</v>
      </c>
      <c r="D141" s="18">
        <v>1.0</v>
      </c>
      <c r="F141" s="19" t="s">
        <v>46</v>
      </c>
    </row>
    <row r="142" ht="22.5" customHeight="1">
      <c r="A142" s="18">
        <v>187.0</v>
      </c>
      <c r="B142" s="27">
        <v>3.0</v>
      </c>
      <c r="C142" s="18">
        <v>3.0</v>
      </c>
      <c r="D142" s="18">
        <v>1.0</v>
      </c>
      <c r="F142" s="19" t="s">
        <v>46</v>
      </c>
    </row>
    <row r="143" ht="22.5" customHeight="1">
      <c r="A143" s="18">
        <v>188.0</v>
      </c>
      <c r="B143" s="27">
        <v>4.0</v>
      </c>
      <c r="C143" s="18">
        <v>3.0</v>
      </c>
      <c r="D143" s="18">
        <v>1.0</v>
      </c>
      <c r="F143" s="19" t="s">
        <v>46</v>
      </c>
    </row>
    <row r="144" ht="22.5" customHeight="1">
      <c r="A144" s="18">
        <v>189.0</v>
      </c>
      <c r="B144" s="27">
        <v>5.0</v>
      </c>
      <c r="C144" s="18">
        <v>3.0</v>
      </c>
      <c r="D144" s="18">
        <v>1.0</v>
      </c>
      <c r="F144" s="19" t="s">
        <v>46</v>
      </c>
    </row>
    <row r="145" ht="22.5" customHeight="1">
      <c r="A145" s="18">
        <v>190.0</v>
      </c>
      <c r="B145" s="27">
        <v>6.0</v>
      </c>
      <c r="C145" s="18">
        <v>3.0</v>
      </c>
      <c r="D145" s="18">
        <v>1.0</v>
      </c>
      <c r="F145" s="19" t="s">
        <v>46</v>
      </c>
    </row>
    <row r="146" ht="22.5" customHeight="1">
      <c r="A146" s="18">
        <v>191.0</v>
      </c>
      <c r="B146" s="27">
        <v>7.0</v>
      </c>
      <c r="C146" s="18">
        <v>3.0</v>
      </c>
      <c r="D146" s="18">
        <v>1.0</v>
      </c>
      <c r="F146" s="19" t="s">
        <v>46</v>
      </c>
    </row>
    <row r="147" ht="22.5" customHeight="1">
      <c r="A147" s="18">
        <v>192.0</v>
      </c>
      <c r="B147" s="27">
        <v>8.0</v>
      </c>
      <c r="C147" s="18">
        <v>3.0</v>
      </c>
      <c r="D147" s="18">
        <v>1.0</v>
      </c>
      <c r="F147" s="19" t="s">
        <v>46</v>
      </c>
    </row>
    <row r="148" ht="22.5" customHeight="1">
      <c r="A148" s="18">
        <v>193.0</v>
      </c>
      <c r="B148" s="27">
        <v>9.0</v>
      </c>
      <c r="C148" s="18">
        <v>3.0</v>
      </c>
      <c r="D148" s="18">
        <v>1.0</v>
      </c>
      <c r="F148" s="19" t="s">
        <v>46</v>
      </c>
    </row>
    <row r="149" ht="22.5" customHeight="1">
      <c r="A149" s="18">
        <v>194.0</v>
      </c>
      <c r="B149" s="27">
        <v>10.0</v>
      </c>
      <c r="C149" s="18">
        <v>3.0</v>
      </c>
      <c r="D149" s="18">
        <v>1.0</v>
      </c>
      <c r="F149" s="19" t="s">
        <v>46</v>
      </c>
    </row>
    <row r="150" ht="22.5" customHeight="1">
      <c r="A150" s="18">
        <v>195.0</v>
      </c>
      <c r="B150" s="27">
        <v>11.0</v>
      </c>
      <c r="C150" s="18">
        <v>3.0</v>
      </c>
      <c r="D150" s="18">
        <v>1.0</v>
      </c>
      <c r="F150" s="19" t="s">
        <v>46</v>
      </c>
    </row>
    <row r="151" ht="22.5" customHeight="1">
      <c r="A151" s="18">
        <v>196.0</v>
      </c>
      <c r="B151" s="27">
        <v>12.0</v>
      </c>
      <c r="C151" s="18">
        <v>3.0</v>
      </c>
      <c r="D151" s="18">
        <v>1.0</v>
      </c>
      <c r="F151" s="19" t="s">
        <v>46</v>
      </c>
    </row>
    <row r="152" ht="22.5" customHeight="1">
      <c r="A152" s="18">
        <v>197.0</v>
      </c>
      <c r="B152" s="27">
        <v>13.0</v>
      </c>
      <c r="C152" s="18">
        <v>3.0</v>
      </c>
      <c r="D152" s="18">
        <v>1.0</v>
      </c>
      <c r="F152" s="19" t="s">
        <v>46</v>
      </c>
    </row>
    <row r="153" ht="22.5" customHeight="1">
      <c r="A153" s="18">
        <v>198.0</v>
      </c>
      <c r="B153" s="27">
        <v>14.0</v>
      </c>
      <c r="C153" s="18">
        <v>3.0</v>
      </c>
      <c r="D153" s="18">
        <v>1.0</v>
      </c>
      <c r="F153" s="19" t="s">
        <v>46</v>
      </c>
    </row>
    <row r="154" ht="22.5" customHeight="1">
      <c r="A154" s="18">
        <v>199.0</v>
      </c>
      <c r="B154" s="27">
        <v>15.0</v>
      </c>
      <c r="C154" s="18">
        <v>3.0</v>
      </c>
      <c r="D154" s="18">
        <v>1.0</v>
      </c>
      <c r="F154" s="19" t="s">
        <v>46</v>
      </c>
    </row>
    <row r="155" ht="22.5" customHeight="1">
      <c r="A155" s="18">
        <v>200.0</v>
      </c>
      <c r="B155" s="27">
        <v>16.0</v>
      </c>
      <c r="C155" s="18">
        <v>3.0</v>
      </c>
      <c r="D155" s="18">
        <v>1.0</v>
      </c>
      <c r="F155" s="19" t="s">
        <v>46</v>
      </c>
    </row>
    <row r="156" ht="22.5" customHeight="1">
      <c r="A156" s="18">
        <v>201.0</v>
      </c>
      <c r="B156" s="27">
        <v>17.0</v>
      </c>
      <c r="C156" s="18">
        <v>3.0</v>
      </c>
      <c r="D156" s="18">
        <v>1.0</v>
      </c>
      <c r="F156" s="19" t="s">
        <v>46</v>
      </c>
    </row>
    <row r="157" ht="22.5" customHeight="1">
      <c r="A157" s="18">
        <v>202.0</v>
      </c>
      <c r="B157" s="27">
        <v>18.0</v>
      </c>
      <c r="C157" s="18">
        <v>3.0</v>
      </c>
      <c r="D157" s="18">
        <v>1.0</v>
      </c>
      <c r="F157" s="19" t="s">
        <v>46</v>
      </c>
    </row>
    <row r="158" ht="22.5" customHeight="1">
      <c r="A158" s="18">
        <v>203.0</v>
      </c>
      <c r="B158" s="27">
        <v>19.0</v>
      </c>
      <c r="C158" s="18">
        <v>3.0</v>
      </c>
      <c r="D158" s="18">
        <v>1.0</v>
      </c>
      <c r="F158" s="19" t="s">
        <v>46</v>
      </c>
    </row>
    <row r="159" ht="22.5" customHeight="1">
      <c r="A159" s="18">
        <v>204.0</v>
      </c>
      <c r="B159" s="27">
        <v>20.0</v>
      </c>
      <c r="C159" s="18">
        <v>3.0</v>
      </c>
      <c r="D159" s="18">
        <v>1.0</v>
      </c>
      <c r="F159" s="19" t="s">
        <v>46</v>
      </c>
    </row>
    <row r="160" ht="22.5" customHeight="1">
      <c r="A160" s="18">
        <v>205.0</v>
      </c>
      <c r="B160" s="27">
        <v>21.0</v>
      </c>
      <c r="C160" s="18">
        <v>3.0</v>
      </c>
      <c r="D160" s="18">
        <v>1.0</v>
      </c>
      <c r="F160" s="19" t="s">
        <v>46</v>
      </c>
    </row>
    <row r="161" ht="22.5" customHeight="1">
      <c r="A161" s="18">
        <v>206.0</v>
      </c>
      <c r="B161" s="27">
        <v>22.0</v>
      </c>
      <c r="C161" s="18">
        <v>3.0</v>
      </c>
      <c r="D161" s="18">
        <v>1.0</v>
      </c>
      <c r="F161" s="19" t="s">
        <v>46</v>
      </c>
    </row>
    <row r="162" ht="22.5" customHeight="1">
      <c r="A162" s="18">
        <v>207.0</v>
      </c>
      <c r="B162" s="27">
        <v>23.0</v>
      </c>
      <c r="C162" s="18">
        <v>3.0</v>
      </c>
      <c r="D162" s="18">
        <v>1.0</v>
      </c>
      <c r="F162" s="19" t="s">
        <v>46</v>
      </c>
    </row>
    <row r="163" ht="22.5" customHeight="1">
      <c r="A163" s="18">
        <v>208.0</v>
      </c>
      <c r="B163" s="27">
        <v>24.0</v>
      </c>
      <c r="C163" s="18">
        <v>3.0</v>
      </c>
      <c r="D163" s="18">
        <v>1.0</v>
      </c>
      <c r="F163" s="19" t="s">
        <v>46</v>
      </c>
    </row>
    <row r="164" ht="22.5" customHeight="1">
      <c r="A164" s="18">
        <v>209.0</v>
      </c>
      <c r="B164" s="27">
        <v>25.0</v>
      </c>
      <c r="C164" s="18">
        <v>3.0</v>
      </c>
      <c r="D164" s="18">
        <v>1.0</v>
      </c>
      <c r="F164" s="19" t="s">
        <v>46</v>
      </c>
    </row>
    <row r="165" ht="22.5" customHeight="1">
      <c r="A165" s="18">
        <v>210.0</v>
      </c>
      <c r="B165" s="27">
        <v>26.0</v>
      </c>
      <c r="C165" s="18">
        <v>3.0</v>
      </c>
      <c r="D165" s="18">
        <v>1.0</v>
      </c>
      <c r="F165" s="19" t="s">
        <v>46</v>
      </c>
    </row>
    <row r="166" ht="22.5" customHeight="1">
      <c r="A166" s="18">
        <v>211.0</v>
      </c>
      <c r="B166" s="27">
        <v>27.0</v>
      </c>
      <c r="C166" s="18">
        <v>3.0</v>
      </c>
      <c r="D166" s="18">
        <v>1.0</v>
      </c>
      <c r="F166" s="19" t="s">
        <v>46</v>
      </c>
    </row>
    <row r="167" ht="22.5" customHeight="1">
      <c r="A167" s="18">
        <v>212.0</v>
      </c>
      <c r="B167" s="27">
        <v>28.0</v>
      </c>
      <c r="C167" s="18">
        <v>3.0</v>
      </c>
      <c r="D167" s="18">
        <v>1.0</v>
      </c>
      <c r="F167" s="19" t="s">
        <v>46</v>
      </c>
    </row>
    <row r="168" ht="22.5" customHeight="1">
      <c r="A168" s="18">
        <v>213.0</v>
      </c>
      <c r="B168" s="27">
        <v>29.0</v>
      </c>
      <c r="C168" s="18">
        <v>3.0</v>
      </c>
      <c r="D168" s="18">
        <v>1.0</v>
      </c>
      <c r="F168" s="19" t="s">
        <v>46</v>
      </c>
    </row>
    <row r="169" ht="22.5" customHeight="1">
      <c r="A169" s="18">
        <v>214.0</v>
      </c>
      <c r="B169" s="27">
        <v>30.0</v>
      </c>
      <c r="C169" s="18">
        <v>3.0</v>
      </c>
      <c r="D169" s="18">
        <v>1.0</v>
      </c>
      <c r="F169" s="19" t="s">
        <v>46</v>
      </c>
    </row>
    <row r="170" ht="22.5" customHeight="1">
      <c r="A170" s="18">
        <v>215.0</v>
      </c>
      <c r="B170" s="27">
        <v>31.0</v>
      </c>
      <c r="C170" s="18">
        <v>3.0</v>
      </c>
      <c r="D170" s="18">
        <v>1.0</v>
      </c>
      <c r="F170" s="19" t="s">
        <v>46</v>
      </c>
    </row>
    <row r="171" ht="22.5" customHeight="1">
      <c r="A171" s="18">
        <v>216.0</v>
      </c>
      <c r="B171" s="27">
        <v>32.0</v>
      </c>
      <c r="C171" s="18">
        <v>3.0</v>
      </c>
      <c r="D171" s="18">
        <v>1.0</v>
      </c>
      <c r="F171" s="19" t="s">
        <v>46</v>
      </c>
    </row>
    <row r="172" ht="22.5" customHeight="1">
      <c r="A172" s="18">
        <v>217.0</v>
      </c>
      <c r="B172" s="27">
        <v>33.0</v>
      </c>
      <c r="C172" s="18">
        <v>3.0</v>
      </c>
      <c r="D172" s="18">
        <v>1.0</v>
      </c>
      <c r="F172" s="19" t="s">
        <v>46</v>
      </c>
    </row>
    <row r="173" ht="22.5" customHeight="1">
      <c r="A173" s="18">
        <v>218.0</v>
      </c>
      <c r="B173" s="27">
        <v>34.0</v>
      </c>
      <c r="C173" s="18">
        <v>3.0</v>
      </c>
      <c r="D173" s="18">
        <v>1.0</v>
      </c>
      <c r="E173" s="18" t="s">
        <v>723</v>
      </c>
      <c r="F173" s="19" t="s">
        <v>46</v>
      </c>
    </row>
    <row r="174" ht="22.5" customHeight="1">
      <c r="A174" s="18">
        <v>219.0</v>
      </c>
      <c r="B174" s="27">
        <v>35.0</v>
      </c>
      <c r="C174" s="18">
        <v>3.0</v>
      </c>
      <c r="D174" s="18">
        <v>1.0</v>
      </c>
      <c r="E174" s="18" t="s">
        <v>723</v>
      </c>
      <c r="F174" s="19" t="s">
        <v>46</v>
      </c>
    </row>
    <row r="175" ht="22.5" customHeight="1">
      <c r="A175" s="18">
        <v>220.0</v>
      </c>
      <c r="B175" s="27">
        <v>36.0</v>
      </c>
      <c r="C175" s="18">
        <v>3.0</v>
      </c>
      <c r="D175" s="18">
        <v>1.0</v>
      </c>
      <c r="E175" s="18" t="s">
        <v>723</v>
      </c>
      <c r="F175" s="19" t="s">
        <v>46</v>
      </c>
    </row>
    <row r="176" ht="22.5" customHeight="1">
      <c r="A176" s="18">
        <v>221.0</v>
      </c>
      <c r="B176" s="27">
        <v>37.0</v>
      </c>
      <c r="C176" s="18">
        <v>3.0</v>
      </c>
      <c r="D176" s="18">
        <v>1.0</v>
      </c>
      <c r="E176" s="18" t="s">
        <v>723</v>
      </c>
      <c r="F176" s="19" t="s">
        <v>46</v>
      </c>
    </row>
    <row r="177" ht="22.5" customHeight="1">
      <c r="A177" s="18">
        <v>222.0</v>
      </c>
      <c r="B177" s="27">
        <v>38.0</v>
      </c>
      <c r="C177" s="18">
        <v>3.0</v>
      </c>
      <c r="D177" s="18">
        <v>1.0</v>
      </c>
      <c r="E177" s="18" t="s">
        <v>723</v>
      </c>
      <c r="F177" s="19" t="s">
        <v>46</v>
      </c>
    </row>
    <row r="178" ht="22.5" customHeight="1">
      <c r="A178" s="18">
        <v>223.0</v>
      </c>
      <c r="B178" s="27">
        <v>39.0</v>
      </c>
      <c r="C178" s="18">
        <v>3.0</v>
      </c>
      <c r="D178" s="18">
        <v>1.0</v>
      </c>
      <c r="E178" s="18" t="s">
        <v>998</v>
      </c>
      <c r="F178" s="19" t="s">
        <v>46</v>
      </c>
    </row>
    <row r="179" ht="22.5" customHeight="1">
      <c r="A179" s="18">
        <v>224.0</v>
      </c>
      <c r="B179" s="27">
        <v>40.0</v>
      </c>
      <c r="C179" s="18">
        <v>3.0</v>
      </c>
      <c r="D179" s="18">
        <v>1.0</v>
      </c>
      <c r="E179" s="18" t="s">
        <v>723</v>
      </c>
      <c r="F179" s="19" t="s">
        <v>46</v>
      </c>
    </row>
    <row r="180" ht="22.5" customHeight="1">
      <c r="A180" s="18">
        <v>225.0</v>
      </c>
      <c r="B180" s="27">
        <v>41.0</v>
      </c>
      <c r="C180" s="18">
        <v>3.0</v>
      </c>
      <c r="D180" s="18">
        <v>1.0</v>
      </c>
      <c r="E180" s="18" t="s">
        <v>723</v>
      </c>
      <c r="F180" s="19" t="s">
        <v>46</v>
      </c>
    </row>
    <row r="181" ht="22.5" customHeight="1">
      <c r="A181" s="18">
        <v>226.0</v>
      </c>
      <c r="B181" s="27">
        <v>42.0</v>
      </c>
      <c r="C181" s="18">
        <v>3.0</v>
      </c>
      <c r="D181" s="18">
        <v>1.0</v>
      </c>
      <c r="E181" s="18" t="s">
        <v>746</v>
      </c>
      <c r="F181" s="19" t="s">
        <v>46</v>
      </c>
    </row>
    <row r="182" ht="22.5" customHeight="1">
      <c r="A182" s="18">
        <v>227.0</v>
      </c>
      <c r="B182" s="27">
        <v>44.0</v>
      </c>
      <c r="C182" s="18">
        <v>3.0</v>
      </c>
      <c r="D182" s="18">
        <v>1.0</v>
      </c>
      <c r="E182" s="18" t="s">
        <v>755</v>
      </c>
      <c r="F182" s="19" t="s">
        <v>46</v>
      </c>
    </row>
    <row r="183" ht="22.5" customHeight="1">
      <c r="A183" s="18">
        <v>228.0</v>
      </c>
      <c r="B183" s="27">
        <v>46.0</v>
      </c>
      <c r="C183" s="18">
        <v>3.0</v>
      </c>
      <c r="D183" s="18">
        <v>1.0</v>
      </c>
      <c r="F183" s="19" t="s">
        <v>46</v>
      </c>
    </row>
    <row r="184" ht="22.5" customHeight="1">
      <c r="A184" s="18">
        <v>229.0</v>
      </c>
      <c r="B184" s="27">
        <v>49.0</v>
      </c>
      <c r="C184" s="18">
        <v>3.0</v>
      </c>
      <c r="D184" s="18">
        <v>1.0</v>
      </c>
      <c r="E184" s="18" t="s">
        <v>753</v>
      </c>
      <c r="F184" s="19" t="s">
        <v>46</v>
      </c>
    </row>
    <row r="185" ht="22.5" customHeight="1">
      <c r="A185" s="18">
        <v>230.0</v>
      </c>
      <c r="B185" s="27">
        <v>54.0</v>
      </c>
      <c r="C185" s="18">
        <v>3.0</v>
      </c>
      <c r="D185" s="18">
        <v>1.0</v>
      </c>
      <c r="F185" s="19" t="s">
        <v>46</v>
      </c>
    </row>
    <row r="186" ht="22.5" customHeight="1">
      <c r="A186" s="18">
        <v>231.0</v>
      </c>
      <c r="B186" s="27">
        <v>57.0</v>
      </c>
      <c r="C186" s="18">
        <v>3.0</v>
      </c>
      <c r="D186" s="18">
        <v>1.0</v>
      </c>
      <c r="E186" s="18" t="s">
        <v>753</v>
      </c>
      <c r="F186" s="19" t="s">
        <v>46</v>
      </c>
    </row>
    <row r="187" ht="22.5" customHeight="1">
      <c r="A187" s="18">
        <v>232.0</v>
      </c>
      <c r="B187" s="27">
        <v>58.0</v>
      </c>
      <c r="C187" s="18">
        <v>3.0</v>
      </c>
      <c r="D187" s="18">
        <v>1.0</v>
      </c>
      <c r="E187" s="18" t="s">
        <v>753</v>
      </c>
      <c r="F187" s="19" t="s">
        <v>46</v>
      </c>
    </row>
    <row r="188" ht="22.5" customHeight="1">
      <c r="A188" s="18">
        <v>233.0</v>
      </c>
      <c r="B188" s="27">
        <v>59.0</v>
      </c>
      <c r="C188" s="18">
        <v>3.0</v>
      </c>
      <c r="D188" s="18">
        <v>1.0</v>
      </c>
      <c r="E188" s="18" t="s">
        <v>753</v>
      </c>
      <c r="F188" s="19" t="s">
        <v>46</v>
      </c>
    </row>
    <row r="189" ht="22.5" customHeight="1">
      <c r="A189" s="18">
        <v>234.0</v>
      </c>
      <c r="B189" s="27">
        <v>60.0</v>
      </c>
      <c r="C189" s="18">
        <v>3.0</v>
      </c>
      <c r="D189" s="18">
        <v>1.0</v>
      </c>
      <c r="E189" s="18" t="s">
        <v>753</v>
      </c>
      <c r="F189" s="19" t="s">
        <v>46</v>
      </c>
    </row>
    <row r="190" ht="22.5" customHeight="1">
      <c r="A190" s="18">
        <v>235.0</v>
      </c>
      <c r="B190" s="27">
        <v>61.0</v>
      </c>
      <c r="C190" s="18">
        <v>3.0</v>
      </c>
      <c r="D190" s="18">
        <v>1.0</v>
      </c>
      <c r="E190" s="18" t="s">
        <v>753</v>
      </c>
      <c r="F190" s="19" t="s">
        <v>46</v>
      </c>
    </row>
    <row r="191" ht="22.5" customHeight="1">
      <c r="A191" s="18">
        <v>236.0</v>
      </c>
      <c r="B191" s="27">
        <v>63.0</v>
      </c>
      <c r="C191" s="18">
        <v>3.0</v>
      </c>
      <c r="D191" s="18">
        <v>2.0</v>
      </c>
      <c r="E191" s="18" t="s">
        <v>779</v>
      </c>
      <c r="F191" s="19" t="s">
        <v>46</v>
      </c>
    </row>
    <row r="192" ht="22.5" customHeight="1">
      <c r="A192" s="18">
        <v>237.0</v>
      </c>
      <c r="B192" s="27">
        <v>64.0</v>
      </c>
      <c r="C192" s="18">
        <v>3.0</v>
      </c>
      <c r="D192" s="18">
        <v>1.0</v>
      </c>
      <c r="F192" s="19" t="s">
        <v>46</v>
      </c>
    </row>
    <row r="193" ht="22.5" customHeight="1">
      <c r="A193" s="18">
        <v>238.0</v>
      </c>
      <c r="B193" s="27">
        <v>65.0</v>
      </c>
      <c r="C193" s="18">
        <v>3.0</v>
      </c>
      <c r="D193" s="18">
        <v>1.0</v>
      </c>
      <c r="F193" s="19" t="s">
        <v>46</v>
      </c>
    </row>
    <row r="194" ht="22.5" customHeight="1">
      <c r="A194" s="18">
        <v>239.0</v>
      </c>
      <c r="B194" s="27">
        <v>66.0</v>
      </c>
      <c r="C194" s="18">
        <v>3.0</v>
      </c>
      <c r="D194" s="18">
        <v>2.0</v>
      </c>
      <c r="E194" s="18" t="s">
        <v>785</v>
      </c>
      <c r="F194" s="19" t="s">
        <v>46</v>
      </c>
    </row>
    <row r="195" ht="22.5" customHeight="1">
      <c r="A195" s="18">
        <v>240.0</v>
      </c>
      <c r="B195" s="27">
        <v>67.0</v>
      </c>
      <c r="C195" s="18">
        <v>3.0</v>
      </c>
      <c r="D195" s="18">
        <v>2.0</v>
      </c>
      <c r="E195" s="18" t="s">
        <v>785</v>
      </c>
      <c r="F195" s="19" t="s">
        <v>46</v>
      </c>
    </row>
    <row r="196" ht="22.5" customHeight="1">
      <c r="A196" s="18">
        <v>241.0</v>
      </c>
      <c r="B196" s="27">
        <v>68.0</v>
      </c>
      <c r="C196" s="18">
        <v>3.0</v>
      </c>
      <c r="D196" s="18">
        <v>2.0</v>
      </c>
      <c r="E196" s="18" t="s">
        <v>755</v>
      </c>
      <c r="F196" s="19" t="s">
        <v>46</v>
      </c>
    </row>
    <row r="197" ht="22.5" customHeight="1">
      <c r="A197" s="18">
        <v>242.0</v>
      </c>
      <c r="B197" s="27">
        <v>70.0</v>
      </c>
      <c r="C197" s="18">
        <v>3.0</v>
      </c>
      <c r="D197" s="18">
        <v>2.0</v>
      </c>
      <c r="E197" s="18" t="s">
        <v>795</v>
      </c>
      <c r="F197" s="19" t="s">
        <v>46</v>
      </c>
    </row>
    <row r="198" ht="22.5" customHeight="1">
      <c r="A198" s="18">
        <v>243.0</v>
      </c>
      <c r="B198" s="27">
        <v>71.0</v>
      </c>
      <c r="C198" s="18">
        <v>3.0</v>
      </c>
      <c r="D198" s="18">
        <v>2.0</v>
      </c>
      <c r="E198" s="18" t="s">
        <v>795</v>
      </c>
      <c r="F198" s="19" t="s">
        <v>46</v>
      </c>
    </row>
    <row r="199" ht="22.5" customHeight="1">
      <c r="A199" s="18">
        <v>244.0</v>
      </c>
      <c r="B199" s="27">
        <v>72.0</v>
      </c>
      <c r="C199" s="18">
        <v>3.0</v>
      </c>
      <c r="D199" s="18">
        <v>2.0</v>
      </c>
      <c r="E199" s="18" t="s">
        <v>795</v>
      </c>
      <c r="F199" s="19" t="s">
        <v>46</v>
      </c>
    </row>
    <row r="200" ht="22.5" customHeight="1">
      <c r="A200" s="18">
        <v>245.0</v>
      </c>
      <c r="B200" s="27">
        <v>73.0</v>
      </c>
      <c r="C200" s="18">
        <v>3.0</v>
      </c>
      <c r="D200" s="18">
        <v>2.0</v>
      </c>
      <c r="E200" s="18" t="s">
        <v>795</v>
      </c>
      <c r="F200" s="19" t="s">
        <v>46</v>
      </c>
    </row>
    <row r="201" ht="22.5" customHeight="1">
      <c r="A201" s="18">
        <v>246.0</v>
      </c>
      <c r="B201" s="27">
        <v>74.0</v>
      </c>
      <c r="C201" s="18">
        <v>3.0</v>
      </c>
      <c r="D201" s="18">
        <v>2.0</v>
      </c>
      <c r="E201" s="18" t="s">
        <v>795</v>
      </c>
      <c r="F201" s="19" t="s">
        <v>46</v>
      </c>
    </row>
    <row r="202" ht="22.5" customHeight="1">
      <c r="A202" s="18">
        <v>247.0</v>
      </c>
      <c r="B202" s="27">
        <v>75.0</v>
      </c>
      <c r="C202" s="18">
        <v>3.0</v>
      </c>
      <c r="D202" s="18">
        <v>2.0</v>
      </c>
      <c r="E202" s="18" t="s">
        <v>795</v>
      </c>
      <c r="F202" s="19" t="s">
        <v>46</v>
      </c>
    </row>
    <row r="203" ht="22.5" customHeight="1">
      <c r="A203" s="18">
        <v>248.0</v>
      </c>
      <c r="B203" s="27">
        <v>76.0</v>
      </c>
      <c r="C203" s="18">
        <v>3.0</v>
      </c>
      <c r="D203" s="18">
        <v>2.0</v>
      </c>
      <c r="E203" s="18" t="s">
        <v>795</v>
      </c>
      <c r="F203" s="19" t="s">
        <v>46</v>
      </c>
    </row>
    <row r="204" ht="22.5" customHeight="1">
      <c r="A204" s="18">
        <v>249.0</v>
      </c>
      <c r="B204" s="27">
        <v>77.0</v>
      </c>
      <c r="C204" s="18">
        <v>3.0</v>
      </c>
      <c r="D204" s="18">
        <v>2.0</v>
      </c>
      <c r="E204" s="18" t="s">
        <v>795</v>
      </c>
      <c r="F204" s="19" t="s">
        <v>46</v>
      </c>
    </row>
    <row r="205" ht="22.5" customHeight="1">
      <c r="A205" s="18">
        <v>250.0</v>
      </c>
      <c r="B205" s="27">
        <v>78.0</v>
      </c>
      <c r="C205" s="18">
        <v>3.0</v>
      </c>
      <c r="D205" s="18">
        <v>2.0</v>
      </c>
      <c r="E205" s="18" t="s">
        <v>795</v>
      </c>
      <c r="F205" s="19" t="s">
        <v>46</v>
      </c>
    </row>
    <row r="206" ht="22.5" customHeight="1">
      <c r="A206" s="18">
        <v>251.0</v>
      </c>
      <c r="B206" s="27">
        <v>79.0</v>
      </c>
      <c r="C206" s="18">
        <v>3.0</v>
      </c>
      <c r="D206" s="18">
        <v>2.0</v>
      </c>
      <c r="E206" s="18" t="s">
        <v>795</v>
      </c>
      <c r="F206" s="19" t="s">
        <v>46</v>
      </c>
    </row>
    <row r="207" ht="22.5" customHeight="1">
      <c r="A207" s="18">
        <v>252.0</v>
      </c>
      <c r="B207" s="27">
        <v>80.0</v>
      </c>
      <c r="C207" s="18">
        <v>3.0</v>
      </c>
      <c r="D207" s="18">
        <v>2.0</v>
      </c>
      <c r="E207" s="18" t="s">
        <v>795</v>
      </c>
      <c r="F207" s="19" t="s">
        <v>46</v>
      </c>
    </row>
    <row r="208" ht="22.5" customHeight="1">
      <c r="A208" s="18">
        <v>253.0</v>
      </c>
      <c r="B208" s="27">
        <v>81.0</v>
      </c>
      <c r="C208" s="18">
        <v>3.0</v>
      </c>
      <c r="D208" s="18">
        <v>2.0</v>
      </c>
      <c r="E208" s="18" t="s">
        <v>795</v>
      </c>
      <c r="F208" s="19" t="s">
        <v>46</v>
      </c>
    </row>
    <row r="209" ht="22.5" customHeight="1">
      <c r="A209" s="18">
        <v>254.0</v>
      </c>
      <c r="B209" s="27">
        <v>83.0</v>
      </c>
      <c r="C209" s="18">
        <v>3.0</v>
      </c>
      <c r="D209" s="18">
        <v>2.0</v>
      </c>
      <c r="E209" s="18" t="s">
        <v>795</v>
      </c>
      <c r="F209" s="19" t="s">
        <v>46</v>
      </c>
    </row>
    <row r="210" ht="22.5" customHeight="1">
      <c r="A210" s="18">
        <v>255.0</v>
      </c>
      <c r="B210" s="27">
        <v>84.0</v>
      </c>
      <c r="C210" s="18">
        <v>3.0</v>
      </c>
      <c r="D210" s="18">
        <v>2.0</v>
      </c>
      <c r="E210" s="18" t="s">
        <v>795</v>
      </c>
      <c r="F210" s="19" t="s">
        <v>46</v>
      </c>
    </row>
    <row r="211" ht="22.5" customHeight="1">
      <c r="A211" s="18">
        <v>279.0</v>
      </c>
      <c r="B211" s="27">
        <v>109.0</v>
      </c>
      <c r="C211" s="18">
        <v>3.0</v>
      </c>
      <c r="D211" s="18">
        <v>1.0</v>
      </c>
      <c r="E211" s="18" t="s">
        <v>821</v>
      </c>
      <c r="F211" s="19" t="s">
        <v>46</v>
      </c>
    </row>
    <row r="212" ht="22.5" customHeight="1">
      <c r="A212" s="18">
        <v>280.0</v>
      </c>
      <c r="B212" s="27">
        <v>110.0</v>
      </c>
      <c r="C212" s="18">
        <v>3.0</v>
      </c>
      <c r="D212" s="18">
        <v>1.0</v>
      </c>
      <c r="E212" s="18" t="s">
        <v>723</v>
      </c>
      <c r="F212" s="19" t="s">
        <v>46</v>
      </c>
    </row>
    <row r="213" ht="22.5" customHeight="1">
      <c r="A213" s="18">
        <v>281.0</v>
      </c>
      <c r="B213" s="27">
        <v>111.0</v>
      </c>
      <c r="C213" s="18">
        <v>3.0</v>
      </c>
      <c r="D213" s="18">
        <v>1.0</v>
      </c>
      <c r="F213" s="19" t="s">
        <v>46</v>
      </c>
    </row>
    <row r="214" ht="22.5" customHeight="1">
      <c r="A214" s="18">
        <v>282.0</v>
      </c>
      <c r="B214" s="27">
        <v>1.0</v>
      </c>
      <c r="C214" s="18">
        <v>4.0</v>
      </c>
      <c r="D214" s="18">
        <v>1.0</v>
      </c>
      <c r="F214" s="19" t="s">
        <v>46</v>
      </c>
    </row>
    <row r="215" ht="22.5" customHeight="1">
      <c r="A215" s="18">
        <v>283.0</v>
      </c>
      <c r="B215" s="27">
        <v>2.0</v>
      </c>
      <c r="C215" s="18">
        <v>4.0</v>
      </c>
      <c r="D215" s="18">
        <v>2.0</v>
      </c>
      <c r="F215" s="19" t="s">
        <v>46</v>
      </c>
    </row>
    <row r="216" ht="22.5" customHeight="1">
      <c r="A216" s="18">
        <v>284.0</v>
      </c>
      <c r="B216" s="27">
        <v>3.0</v>
      </c>
      <c r="C216" s="18">
        <v>4.0</v>
      </c>
      <c r="D216" s="18">
        <v>1.0</v>
      </c>
      <c r="F216" s="19" t="s">
        <v>46</v>
      </c>
    </row>
    <row r="217" ht="22.5" customHeight="1">
      <c r="A217" s="18">
        <v>285.0</v>
      </c>
      <c r="B217" s="27">
        <v>4.0</v>
      </c>
      <c r="C217" s="18">
        <v>4.0</v>
      </c>
      <c r="D217" s="18">
        <v>1.0</v>
      </c>
      <c r="F217" s="19" t="s">
        <v>46</v>
      </c>
    </row>
    <row r="218" ht="22.5" customHeight="1">
      <c r="A218" s="18">
        <v>286.0</v>
      </c>
      <c r="B218" s="27">
        <v>5.0</v>
      </c>
      <c r="C218" s="18">
        <v>4.0</v>
      </c>
      <c r="D218" s="18">
        <v>2.0</v>
      </c>
      <c r="F218" s="19" t="s">
        <v>46</v>
      </c>
    </row>
    <row r="219" ht="22.5" customHeight="1">
      <c r="A219" s="18">
        <v>287.0</v>
      </c>
      <c r="B219" s="27">
        <v>6.0</v>
      </c>
      <c r="C219" s="18">
        <v>4.0</v>
      </c>
      <c r="D219" s="18">
        <v>1.0</v>
      </c>
      <c r="F219" s="19" t="s">
        <v>46</v>
      </c>
    </row>
    <row r="220" ht="22.5" customHeight="1">
      <c r="A220" s="18">
        <v>288.0</v>
      </c>
      <c r="B220" s="27">
        <v>7.0</v>
      </c>
      <c r="C220" s="18">
        <v>4.0</v>
      </c>
      <c r="D220" s="18">
        <v>1.0</v>
      </c>
      <c r="F220" s="19" t="s">
        <v>46</v>
      </c>
    </row>
    <row r="221" ht="22.5" customHeight="1">
      <c r="A221" s="18">
        <v>289.0</v>
      </c>
      <c r="B221" s="27">
        <v>8.0</v>
      </c>
      <c r="C221" s="18">
        <v>4.0</v>
      </c>
      <c r="D221" s="18">
        <v>1.0</v>
      </c>
      <c r="F221" s="19" t="s">
        <v>46</v>
      </c>
    </row>
    <row r="222" ht="22.5" customHeight="1">
      <c r="A222" s="18">
        <v>290.0</v>
      </c>
      <c r="B222" s="27">
        <v>9.0</v>
      </c>
      <c r="C222" s="18">
        <v>4.0</v>
      </c>
      <c r="D222" s="18">
        <v>1.0</v>
      </c>
      <c r="F222" s="19" t="s">
        <v>46</v>
      </c>
    </row>
    <row r="223" ht="22.5" customHeight="1">
      <c r="A223" s="18">
        <v>291.0</v>
      </c>
      <c r="B223" s="27">
        <v>10.0</v>
      </c>
      <c r="C223" s="18">
        <v>4.0</v>
      </c>
      <c r="D223" s="18">
        <v>1.0</v>
      </c>
      <c r="F223" s="19" t="s">
        <v>46</v>
      </c>
    </row>
    <row r="224" ht="22.5" customHeight="1">
      <c r="A224" s="18">
        <v>292.0</v>
      </c>
      <c r="B224" s="27">
        <v>11.0</v>
      </c>
      <c r="C224" s="18">
        <v>4.0</v>
      </c>
      <c r="D224" s="18">
        <v>1.0</v>
      </c>
      <c r="F224" s="19" t="s">
        <v>46</v>
      </c>
    </row>
    <row r="225" ht="22.5" customHeight="1">
      <c r="A225" s="18">
        <v>293.0</v>
      </c>
      <c r="B225" s="27">
        <v>12.0</v>
      </c>
      <c r="C225" s="18">
        <v>4.0</v>
      </c>
      <c r="D225" s="18">
        <v>1.0</v>
      </c>
      <c r="F225" s="19" t="s">
        <v>46</v>
      </c>
    </row>
    <row r="226" ht="22.5" customHeight="1">
      <c r="A226" s="18">
        <v>294.0</v>
      </c>
      <c r="B226" s="27">
        <v>13.0</v>
      </c>
      <c r="C226" s="18">
        <v>4.0</v>
      </c>
      <c r="D226" s="18">
        <v>1.0</v>
      </c>
      <c r="F226" s="19" t="s">
        <v>46</v>
      </c>
    </row>
    <row r="227" ht="22.5" customHeight="1">
      <c r="A227" s="18">
        <v>295.0</v>
      </c>
      <c r="B227" s="27">
        <v>14.0</v>
      </c>
      <c r="C227" s="18">
        <v>4.0</v>
      </c>
      <c r="D227" s="18">
        <v>1.0</v>
      </c>
      <c r="F227" s="19" t="s">
        <v>46</v>
      </c>
    </row>
    <row r="228" ht="22.5" customHeight="1">
      <c r="A228" s="18">
        <v>296.0</v>
      </c>
      <c r="B228" s="27">
        <v>15.0</v>
      </c>
      <c r="C228" s="18">
        <v>4.0</v>
      </c>
      <c r="D228" s="18">
        <v>1.0</v>
      </c>
      <c r="F228" s="19" t="s">
        <v>46</v>
      </c>
    </row>
    <row r="229" ht="22.5" customHeight="1">
      <c r="A229" s="18">
        <v>297.0</v>
      </c>
      <c r="B229" s="27">
        <v>16.0</v>
      </c>
      <c r="C229" s="18">
        <v>4.0</v>
      </c>
      <c r="D229" s="18">
        <v>1.0</v>
      </c>
      <c r="F229" s="19" t="s">
        <v>46</v>
      </c>
    </row>
    <row r="230" ht="22.5" customHeight="1">
      <c r="A230" s="18">
        <v>298.0</v>
      </c>
      <c r="B230" s="27">
        <v>17.0</v>
      </c>
      <c r="C230" s="18">
        <v>4.0</v>
      </c>
      <c r="D230" s="18">
        <v>1.0</v>
      </c>
      <c r="F230" s="19" t="s">
        <v>46</v>
      </c>
    </row>
    <row r="231" ht="22.5" customHeight="1">
      <c r="A231" s="18">
        <v>299.0</v>
      </c>
      <c r="B231" s="27">
        <v>18.0</v>
      </c>
      <c r="C231" s="18">
        <v>4.0</v>
      </c>
      <c r="D231" s="18">
        <v>1.0</v>
      </c>
      <c r="F231" s="19" t="s">
        <v>46</v>
      </c>
    </row>
    <row r="232" ht="22.5" customHeight="1">
      <c r="A232" s="18">
        <v>300.0</v>
      </c>
      <c r="B232" s="27">
        <v>19.0</v>
      </c>
      <c r="C232" s="18">
        <v>4.0</v>
      </c>
      <c r="D232" s="18">
        <v>1.0</v>
      </c>
      <c r="F232" s="19" t="s">
        <v>46</v>
      </c>
    </row>
    <row r="233" ht="22.5" customHeight="1">
      <c r="A233" s="18">
        <v>301.0</v>
      </c>
      <c r="B233" s="27">
        <v>20.0</v>
      </c>
      <c r="C233" s="18">
        <v>4.0</v>
      </c>
      <c r="D233" s="18">
        <v>1.0</v>
      </c>
      <c r="F233" s="19" t="s">
        <v>46</v>
      </c>
    </row>
    <row r="234" ht="22.5" customHeight="1">
      <c r="A234" s="18">
        <v>302.0</v>
      </c>
      <c r="B234" s="27">
        <v>21.0</v>
      </c>
      <c r="C234" s="18">
        <v>4.0</v>
      </c>
      <c r="D234" s="18">
        <v>1.0</v>
      </c>
      <c r="F234" s="19" t="s">
        <v>46</v>
      </c>
    </row>
    <row r="235" ht="22.5" customHeight="1">
      <c r="A235" s="18">
        <v>303.0</v>
      </c>
      <c r="B235" s="27">
        <v>22.0</v>
      </c>
      <c r="C235" s="18">
        <v>4.0</v>
      </c>
      <c r="D235" s="18">
        <v>1.0</v>
      </c>
      <c r="F235" s="19" t="s">
        <v>46</v>
      </c>
    </row>
    <row r="236" ht="22.5" customHeight="1">
      <c r="A236" s="18">
        <v>304.0</v>
      </c>
      <c r="B236" s="27">
        <v>23.0</v>
      </c>
      <c r="C236" s="18">
        <v>4.0</v>
      </c>
      <c r="D236" s="18">
        <v>1.0</v>
      </c>
      <c r="F236" s="19" t="s">
        <v>46</v>
      </c>
    </row>
    <row r="237" ht="22.5" customHeight="1">
      <c r="A237" s="18">
        <v>305.0</v>
      </c>
      <c r="B237" s="27">
        <v>24.0</v>
      </c>
      <c r="C237" s="18">
        <v>4.0</v>
      </c>
      <c r="D237" s="18">
        <v>1.0</v>
      </c>
      <c r="F237" s="19" t="s">
        <v>46</v>
      </c>
    </row>
    <row r="238" ht="22.5" customHeight="1">
      <c r="A238" s="18">
        <v>306.0</v>
      </c>
      <c r="B238" s="27">
        <v>25.0</v>
      </c>
      <c r="C238" s="18">
        <v>4.0</v>
      </c>
      <c r="D238" s="18">
        <v>1.0</v>
      </c>
      <c r="F238" s="19" t="s">
        <v>46</v>
      </c>
    </row>
    <row r="239" ht="22.5" customHeight="1">
      <c r="A239" s="18">
        <v>307.0</v>
      </c>
      <c r="B239" s="27">
        <v>26.0</v>
      </c>
      <c r="C239" s="18">
        <v>4.0</v>
      </c>
      <c r="D239" s="18">
        <v>1.0</v>
      </c>
      <c r="F239" s="19" t="s">
        <v>46</v>
      </c>
    </row>
    <row r="240" ht="22.5" customHeight="1">
      <c r="A240" s="18">
        <v>308.0</v>
      </c>
      <c r="B240" s="27">
        <v>27.0</v>
      </c>
      <c r="C240" s="18">
        <v>4.0</v>
      </c>
      <c r="D240" s="18">
        <v>1.0</v>
      </c>
      <c r="F240" s="19" t="s">
        <v>46</v>
      </c>
    </row>
    <row r="241" ht="22.5" customHeight="1">
      <c r="A241" s="18">
        <v>309.0</v>
      </c>
      <c r="B241" s="27">
        <v>28.0</v>
      </c>
      <c r="C241" s="18">
        <v>4.0</v>
      </c>
      <c r="D241" s="18">
        <v>1.0</v>
      </c>
      <c r="F241" s="19" t="s">
        <v>46</v>
      </c>
    </row>
    <row r="242" ht="22.5" customHeight="1">
      <c r="A242" s="18">
        <v>310.0</v>
      </c>
      <c r="B242" s="27">
        <v>29.0</v>
      </c>
      <c r="C242" s="18">
        <v>4.0</v>
      </c>
      <c r="D242" s="18">
        <v>2.0</v>
      </c>
      <c r="F242" s="19" t="s">
        <v>46</v>
      </c>
    </row>
    <row r="243" ht="22.5" customHeight="1">
      <c r="A243" s="18">
        <v>311.0</v>
      </c>
      <c r="B243" s="27">
        <v>30.0</v>
      </c>
      <c r="C243" s="18">
        <v>4.0</v>
      </c>
      <c r="D243" s="18">
        <v>2.0</v>
      </c>
      <c r="F243" s="19" t="s">
        <v>46</v>
      </c>
    </row>
    <row r="244" ht="22.5" customHeight="1">
      <c r="A244" s="18">
        <v>312.0</v>
      </c>
      <c r="B244" s="27">
        <v>31.0</v>
      </c>
      <c r="C244" s="18">
        <v>4.0</v>
      </c>
      <c r="D244" s="18">
        <v>1.0</v>
      </c>
      <c r="F244" s="19" t="s">
        <v>46</v>
      </c>
    </row>
    <row r="245" ht="22.5" customHeight="1">
      <c r="A245" s="18">
        <v>313.0</v>
      </c>
      <c r="B245" s="27">
        <v>32.0</v>
      </c>
      <c r="C245" s="18">
        <v>4.0</v>
      </c>
      <c r="D245" s="18">
        <v>2.0</v>
      </c>
      <c r="F245" s="19" t="s">
        <v>46</v>
      </c>
    </row>
    <row r="246" ht="22.5" customHeight="1">
      <c r="A246" s="18">
        <v>314.0</v>
      </c>
      <c r="B246" s="27">
        <v>33.0</v>
      </c>
      <c r="C246" s="18">
        <v>4.0</v>
      </c>
      <c r="D246" s="18">
        <v>1.0</v>
      </c>
      <c r="F246" s="19" t="s">
        <v>46</v>
      </c>
    </row>
    <row r="247" ht="22.5" customHeight="1">
      <c r="A247" s="18">
        <v>315.0</v>
      </c>
      <c r="B247" s="27">
        <v>34.0</v>
      </c>
      <c r="C247" s="18">
        <v>4.0</v>
      </c>
      <c r="D247" s="18">
        <v>1.0</v>
      </c>
      <c r="E247" s="18" t="s">
        <v>723</v>
      </c>
      <c r="F247" s="19" t="s">
        <v>46</v>
      </c>
    </row>
    <row r="248" ht="22.5" customHeight="1">
      <c r="A248" s="18">
        <v>316.0</v>
      </c>
      <c r="B248" s="27">
        <v>35.0</v>
      </c>
      <c r="C248" s="18">
        <v>4.0</v>
      </c>
      <c r="D248" s="18">
        <v>1.0</v>
      </c>
      <c r="E248" s="18" t="s">
        <v>723</v>
      </c>
      <c r="F248" s="19" t="s">
        <v>46</v>
      </c>
    </row>
    <row r="249" ht="22.5" customHeight="1">
      <c r="A249" s="18">
        <v>317.0</v>
      </c>
      <c r="B249" s="27">
        <v>36.0</v>
      </c>
      <c r="C249" s="18">
        <v>4.0</v>
      </c>
      <c r="D249" s="18">
        <v>1.0</v>
      </c>
      <c r="E249" s="18" t="s">
        <v>723</v>
      </c>
      <c r="F249" s="19" t="s">
        <v>46</v>
      </c>
    </row>
    <row r="250" ht="22.5" customHeight="1">
      <c r="A250" s="18">
        <v>318.0</v>
      </c>
      <c r="B250" s="27">
        <v>37.0</v>
      </c>
      <c r="C250" s="18">
        <v>4.0</v>
      </c>
      <c r="D250" s="18">
        <v>1.0</v>
      </c>
      <c r="E250" s="18" t="s">
        <v>723</v>
      </c>
      <c r="F250" s="19" t="s">
        <v>46</v>
      </c>
    </row>
    <row r="251" ht="22.5" customHeight="1">
      <c r="A251" s="18">
        <v>319.0</v>
      </c>
      <c r="B251" s="27">
        <v>38.0</v>
      </c>
      <c r="C251" s="18">
        <v>4.0</v>
      </c>
      <c r="D251" s="18">
        <v>1.0</v>
      </c>
      <c r="E251" s="18" t="s">
        <v>723</v>
      </c>
      <c r="F251" s="19" t="s">
        <v>46</v>
      </c>
    </row>
    <row r="252" ht="22.5" customHeight="1">
      <c r="A252" s="18">
        <v>320.0</v>
      </c>
      <c r="B252" s="27">
        <v>40.0</v>
      </c>
      <c r="C252" s="18">
        <v>4.0</v>
      </c>
      <c r="D252" s="18">
        <v>1.0</v>
      </c>
      <c r="E252" s="18" t="s">
        <v>723</v>
      </c>
      <c r="F252" s="19" t="s">
        <v>46</v>
      </c>
    </row>
    <row r="253" ht="22.5" customHeight="1">
      <c r="A253" s="18">
        <v>321.0</v>
      </c>
      <c r="B253" s="27">
        <v>41.0</v>
      </c>
      <c r="C253" s="18">
        <v>4.0</v>
      </c>
      <c r="D253" s="18">
        <v>1.0</v>
      </c>
      <c r="E253" s="18" t="s">
        <v>723</v>
      </c>
      <c r="F253" s="19" t="s">
        <v>46</v>
      </c>
    </row>
    <row r="254" ht="22.5" customHeight="1">
      <c r="A254" s="18">
        <v>322.0</v>
      </c>
      <c r="B254" s="27">
        <v>42.0</v>
      </c>
      <c r="C254" s="18">
        <v>4.0</v>
      </c>
      <c r="D254" s="18">
        <v>1.0</v>
      </c>
      <c r="E254" s="18" t="s">
        <v>746</v>
      </c>
      <c r="F254" s="19" t="s">
        <v>46</v>
      </c>
    </row>
    <row r="255" ht="22.5" customHeight="1">
      <c r="A255" s="18">
        <v>323.0</v>
      </c>
      <c r="B255" s="27">
        <v>44.0</v>
      </c>
      <c r="C255" s="18">
        <v>4.0</v>
      </c>
      <c r="D255" s="18">
        <v>1.0</v>
      </c>
      <c r="E255" s="18" t="s">
        <v>755</v>
      </c>
      <c r="F255" s="19" t="s">
        <v>46</v>
      </c>
    </row>
    <row r="256" ht="22.5" customHeight="1">
      <c r="A256" s="18">
        <v>324.0</v>
      </c>
      <c r="B256" s="27">
        <v>63.0</v>
      </c>
      <c r="C256" s="18">
        <v>4.0</v>
      </c>
      <c r="D256" s="18">
        <v>1.0</v>
      </c>
      <c r="E256" s="18" t="s">
        <v>779</v>
      </c>
      <c r="F256" s="19" t="s">
        <v>46</v>
      </c>
    </row>
    <row r="257" ht="22.5" customHeight="1">
      <c r="A257" s="18">
        <v>325.0</v>
      </c>
      <c r="B257" s="27">
        <v>64.0</v>
      </c>
      <c r="C257" s="18">
        <v>4.0</v>
      </c>
      <c r="D257" s="18">
        <v>1.0</v>
      </c>
      <c r="F257" s="19" t="s">
        <v>46</v>
      </c>
    </row>
    <row r="258" ht="22.5" customHeight="1">
      <c r="A258" s="18">
        <v>326.0</v>
      </c>
      <c r="B258" s="27">
        <v>65.0</v>
      </c>
      <c r="C258" s="18">
        <v>4.0</v>
      </c>
      <c r="D258" s="18">
        <v>2.0</v>
      </c>
      <c r="F258" s="19" t="s">
        <v>46</v>
      </c>
    </row>
    <row r="259" ht="22.5" customHeight="1">
      <c r="A259" s="18">
        <v>327.0</v>
      </c>
      <c r="B259" s="27">
        <v>70.0</v>
      </c>
      <c r="C259" s="18">
        <v>4.0</v>
      </c>
      <c r="D259" s="18">
        <v>2.0</v>
      </c>
      <c r="E259" s="18" t="s">
        <v>795</v>
      </c>
      <c r="F259" s="19" t="s">
        <v>46</v>
      </c>
    </row>
    <row r="260" ht="22.5" customHeight="1">
      <c r="A260" s="18">
        <v>328.0</v>
      </c>
      <c r="B260" s="27">
        <v>76.0</v>
      </c>
      <c r="C260" s="18">
        <v>4.0</v>
      </c>
      <c r="D260" s="18">
        <v>2.0</v>
      </c>
      <c r="E260" s="18" t="s">
        <v>795</v>
      </c>
      <c r="F260" s="19" t="s">
        <v>46</v>
      </c>
    </row>
    <row r="261" ht="22.5" customHeight="1">
      <c r="A261" s="18">
        <v>329.0</v>
      </c>
      <c r="B261" s="27">
        <v>77.0</v>
      </c>
      <c r="C261" s="18">
        <v>4.0</v>
      </c>
      <c r="D261" s="18">
        <v>2.0</v>
      </c>
      <c r="E261" s="18" t="s">
        <v>795</v>
      </c>
      <c r="F261" s="19" t="s">
        <v>46</v>
      </c>
    </row>
    <row r="262" ht="22.5" customHeight="1">
      <c r="A262" s="18">
        <v>330.0</v>
      </c>
      <c r="B262" s="27">
        <v>78.0</v>
      </c>
      <c r="C262" s="18">
        <v>4.0</v>
      </c>
      <c r="D262" s="18">
        <v>2.0</v>
      </c>
      <c r="E262" s="18" t="s">
        <v>795</v>
      </c>
      <c r="F262" s="19" t="s">
        <v>46</v>
      </c>
    </row>
    <row r="263" ht="22.5" customHeight="1">
      <c r="A263" s="18">
        <v>331.0</v>
      </c>
      <c r="B263" s="27">
        <v>79.0</v>
      </c>
      <c r="C263" s="18">
        <v>4.0</v>
      </c>
      <c r="D263" s="18">
        <v>2.0</v>
      </c>
      <c r="E263" s="18" t="s">
        <v>795</v>
      </c>
      <c r="F263" s="19" t="s">
        <v>46</v>
      </c>
    </row>
    <row r="264" ht="22.5" customHeight="1">
      <c r="A264" s="18">
        <v>332.0</v>
      </c>
      <c r="B264" s="27">
        <v>80.0</v>
      </c>
      <c r="C264" s="18">
        <v>4.0</v>
      </c>
      <c r="D264" s="18">
        <v>2.0</v>
      </c>
      <c r="E264" s="18" t="s">
        <v>795</v>
      </c>
      <c r="F264" s="19" t="s">
        <v>46</v>
      </c>
    </row>
    <row r="265" ht="22.5" customHeight="1">
      <c r="A265" s="18">
        <v>333.0</v>
      </c>
      <c r="B265" s="27">
        <v>83.0</v>
      </c>
      <c r="C265" s="18">
        <v>4.0</v>
      </c>
      <c r="D265" s="18">
        <v>2.0</v>
      </c>
      <c r="E265" s="18" t="s">
        <v>795</v>
      </c>
      <c r="F265" s="19" t="s">
        <v>46</v>
      </c>
    </row>
    <row r="266" ht="22.5" customHeight="1">
      <c r="A266" s="18">
        <v>334.0</v>
      </c>
      <c r="B266" s="27">
        <v>84.0</v>
      </c>
      <c r="C266" s="18">
        <v>4.0</v>
      </c>
      <c r="D266" s="18">
        <v>2.0</v>
      </c>
      <c r="E266" s="18" t="s">
        <v>795</v>
      </c>
      <c r="F266" s="19" t="s">
        <v>46</v>
      </c>
    </row>
    <row r="267" ht="22.5" customHeight="1">
      <c r="A267" s="18">
        <v>358.0</v>
      </c>
      <c r="B267" s="27">
        <v>111.0</v>
      </c>
      <c r="C267" s="18">
        <v>4.0</v>
      </c>
      <c r="D267" s="18">
        <v>2.0</v>
      </c>
      <c r="F267" s="19" t="s">
        <v>46</v>
      </c>
    </row>
    <row r="268" ht="22.5" customHeight="1">
      <c r="A268" s="18">
        <v>359.0</v>
      </c>
      <c r="B268" s="18">
        <v>1.0</v>
      </c>
      <c r="C268" s="18">
        <v>5.0</v>
      </c>
      <c r="D268" s="18">
        <v>1.0</v>
      </c>
      <c r="F268" s="19" t="s">
        <v>46</v>
      </c>
    </row>
    <row r="269" ht="22.5" customHeight="1">
      <c r="A269" s="18">
        <v>360.0</v>
      </c>
      <c r="B269" s="18">
        <v>2.0</v>
      </c>
      <c r="C269" s="18">
        <v>5.0</v>
      </c>
      <c r="D269" s="18">
        <v>1.0</v>
      </c>
      <c r="F269" s="19" t="s">
        <v>46</v>
      </c>
    </row>
    <row r="270" ht="22.5" customHeight="1">
      <c r="A270" s="18">
        <v>361.0</v>
      </c>
      <c r="B270" s="18">
        <v>3.0</v>
      </c>
      <c r="C270" s="18">
        <v>5.0</v>
      </c>
      <c r="D270" s="18">
        <v>1.0</v>
      </c>
      <c r="F270" s="19" t="s">
        <v>46</v>
      </c>
    </row>
    <row r="271" ht="22.5" customHeight="1">
      <c r="A271" s="18">
        <v>362.0</v>
      </c>
      <c r="B271" s="18">
        <v>4.0</v>
      </c>
      <c r="C271" s="18">
        <v>5.0</v>
      </c>
      <c r="D271" s="18">
        <v>1.0</v>
      </c>
      <c r="F271" s="19" t="s">
        <v>46</v>
      </c>
    </row>
    <row r="272" ht="22.5" customHeight="1">
      <c r="A272" s="18">
        <v>363.0</v>
      </c>
      <c r="B272" s="18">
        <v>5.0</v>
      </c>
      <c r="C272" s="18">
        <v>5.0</v>
      </c>
      <c r="D272" s="18">
        <v>1.0</v>
      </c>
      <c r="F272" s="19" t="s">
        <v>46</v>
      </c>
    </row>
    <row r="273" ht="22.5" customHeight="1">
      <c r="A273" s="18">
        <v>364.0</v>
      </c>
      <c r="B273" s="18">
        <v>6.0</v>
      </c>
      <c r="C273" s="18">
        <v>5.0</v>
      </c>
      <c r="D273" s="18">
        <v>1.0</v>
      </c>
      <c r="F273" s="19" t="s">
        <v>46</v>
      </c>
    </row>
    <row r="274" ht="22.5" customHeight="1">
      <c r="A274" s="18">
        <v>365.0</v>
      </c>
      <c r="B274" s="18">
        <v>7.0</v>
      </c>
      <c r="C274" s="18">
        <v>5.0</v>
      </c>
      <c r="D274" s="18">
        <v>1.0</v>
      </c>
      <c r="F274" s="19" t="s">
        <v>46</v>
      </c>
    </row>
    <row r="275" ht="22.5" customHeight="1">
      <c r="A275" s="18">
        <v>366.0</v>
      </c>
      <c r="B275" s="18">
        <v>8.0</v>
      </c>
      <c r="C275" s="18">
        <v>5.0</v>
      </c>
      <c r="D275" s="18">
        <v>1.0</v>
      </c>
      <c r="F275" s="19" t="s">
        <v>46</v>
      </c>
    </row>
    <row r="276" ht="22.5" customHeight="1">
      <c r="A276" s="18">
        <v>367.0</v>
      </c>
      <c r="B276" s="18">
        <v>9.0</v>
      </c>
      <c r="C276" s="18">
        <v>5.0</v>
      </c>
      <c r="D276" s="18">
        <v>1.0</v>
      </c>
      <c r="F276" s="19" t="s">
        <v>46</v>
      </c>
    </row>
    <row r="277" ht="22.5" customHeight="1">
      <c r="A277" s="18">
        <v>368.0</v>
      </c>
      <c r="B277" s="18">
        <v>10.0</v>
      </c>
      <c r="C277" s="18">
        <v>5.0</v>
      </c>
      <c r="D277" s="18">
        <v>1.0</v>
      </c>
      <c r="F277" s="19" t="s">
        <v>46</v>
      </c>
    </row>
    <row r="278" ht="22.5" customHeight="1">
      <c r="A278" s="18">
        <v>369.0</v>
      </c>
      <c r="B278" s="18">
        <v>11.0</v>
      </c>
      <c r="C278" s="18">
        <v>5.0</v>
      </c>
      <c r="D278" s="18">
        <v>1.0</v>
      </c>
      <c r="F278" s="19" t="s">
        <v>46</v>
      </c>
    </row>
    <row r="279" ht="22.5" customHeight="1">
      <c r="A279" s="18">
        <v>370.0</v>
      </c>
      <c r="B279" s="18">
        <v>12.0</v>
      </c>
      <c r="C279" s="18">
        <v>5.0</v>
      </c>
      <c r="D279" s="18">
        <v>1.0</v>
      </c>
      <c r="F279" s="19" t="s">
        <v>46</v>
      </c>
    </row>
    <row r="280" ht="22.5" customHeight="1">
      <c r="A280" s="18">
        <v>371.0</v>
      </c>
      <c r="B280" s="18">
        <v>13.0</v>
      </c>
      <c r="C280" s="18">
        <v>5.0</v>
      </c>
      <c r="D280" s="18">
        <v>1.0</v>
      </c>
      <c r="F280" s="19" t="s">
        <v>46</v>
      </c>
    </row>
    <row r="281" ht="22.5" customHeight="1">
      <c r="A281" s="18">
        <v>372.0</v>
      </c>
      <c r="B281" s="18">
        <v>14.0</v>
      </c>
      <c r="C281" s="18">
        <v>5.0</v>
      </c>
      <c r="D281" s="18">
        <v>1.0</v>
      </c>
      <c r="F281" s="19" t="s">
        <v>46</v>
      </c>
    </row>
    <row r="282" ht="22.5" customHeight="1">
      <c r="A282" s="18">
        <v>373.0</v>
      </c>
      <c r="B282" s="18">
        <v>15.0</v>
      </c>
      <c r="C282" s="18">
        <v>5.0</v>
      </c>
      <c r="D282" s="18">
        <v>1.0</v>
      </c>
      <c r="F282" s="19" t="s">
        <v>46</v>
      </c>
    </row>
    <row r="283" ht="22.5" customHeight="1">
      <c r="A283" s="18">
        <v>374.0</v>
      </c>
      <c r="B283" s="18">
        <v>16.0</v>
      </c>
      <c r="C283" s="18">
        <v>5.0</v>
      </c>
      <c r="D283" s="18">
        <v>1.0</v>
      </c>
      <c r="F283" s="19" t="s">
        <v>46</v>
      </c>
    </row>
    <row r="284" ht="22.5" customHeight="1">
      <c r="A284" s="18">
        <v>375.0</v>
      </c>
      <c r="B284" s="18">
        <v>17.0</v>
      </c>
      <c r="C284" s="18">
        <v>5.0</v>
      </c>
      <c r="D284" s="18">
        <v>1.0</v>
      </c>
      <c r="F284" s="19" t="s">
        <v>46</v>
      </c>
    </row>
    <row r="285" ht="22.5" customHeight="1">
      <c r="A285" s="18">
        <v>376.0</v>
      </c>
      <c r="B285" s="18">
        <v>18.0</v>
      </c>
      <c r="C285" s="18">
        <v>5.0</v>
      </c>
      <c r="D285" s="18">
        <v>1.0</v>
      </c>
      <c r="F285" s="19" t="s">
        <v>46</v>
      </c>
    </row>
    <row r="286" ht="22.5" customHeight="1">
      <c r="A286" s="18">
        <v>377.0</v>
      </c>
      <c r="B286" s="18">
        <v>19.0</v>
      </c>
      <c r="C286" s="18">
        <v>5.0</v>
      </c>
      <c r="D286" s="18">
        <v>1.0</v>
      </c>
      <c r="F286" s="19" t="s">
        <v>46</v>
      </c>
    </row>
    <row r="287" ht="22.5" customHeight="1">
      <c r="A287" s="18">
        <v>378.0</v>
      </c>
      <c r="B287" s="18">
        <v>20.0</v>
      </c>
      <c r="C287" s="18">
        <v>5.0</v>
      </c>
      <c r="D287" s="18">
        <v>1.0</v>
      </c>
      <c r="F287" s="19" t="s">
        <v>46</v>
      </c>
    </row>
    <row r="288" ht="22.5" customHeight="1">
      <c r="A288" s="18">
        <v>379.0</v>
      </c>
      <c r="B288" s="18">
        <v>21.0</v>
      </c>
      <c r="C288" s="18">
        <v>5.0</v>
      </c>
      <c r="D288" s="18">
        <v>1.0</v>
      </c>
      <c r="F288" s="19" t="s">
        <v>46</v>
      </c>
    </row>
    <row r="289" ht="22.5" customHeight="1">
      <c r="A289" s="18">
        <v>380.0</v>
      </c>
      <c r="B289" s="18">
        <v>22.0</v>
      </c>
      <c r="C289" s="18">
        <v>5.0</v>
      </c>
      <c r="D289" s="18">
        <v>1.0</v>
      </c>
      <c r="F289" s="19" t="s">
        <v>46</v>
      </c>
    </row>
    <row r="290" ht="22.5" customHeight="1">
      <c r="A290" s="18">
        <v>381.0</v>
      </c>
      <c r="B290" s="18">
        <v>23.0</v>
      </c>
      <c r="C290" s="18">
        <v>5.0</v>
      </c>
      <c r="D290" s="18">
        <v>1.0</v>
      </c>
      <c r="F290" s="19" t="s">
        <v>46</v>
      </c>
    </row>
    <row r="291" ht="22.5" customHeight="1">
      <c r="A291" s="18">
        <v>382.0</v>
      </c>
      <c r="B291" s="18">
        <v>24.0</v>
      </c>
      <c r="C291" s="18">
        <v>5.0</v>
      </c>
      <c r="D291" s="18">
        <v>1.0</v>
      </c>
      <c r="F291" s="19" t="s">
        <v>46</v>
      </c>
    </row>
    <row r="292" ht="22.5" customHeight="1">
      <c r="A292" s="18">
        <v>383.0</v>
      </c>
      <c r="B292" s="18">
        <v>25.0</v>
      </c>
      <c r="C292" s="18">
        <v>5.0</v>
      </c>
      <c r="D292" s="18">
        <v>1.0</v>
      </c>
      <c r="F292" s="19" t="s">
        <v>46</v>
      </c>
    </row>
    <row r="293" ht="22.5" customHeight="1">
      <c r="A293" s="18">
        <v>384.0</v>
      </c>
      <c r="B293" s="18">
        <v>26.0</v>
      </c>
      <c r="C293" s="18">
        <v>5.0</v>
      </c>
      <c r="D293" s="18">
        <v>1.0</v>
      </c>
      <c r="F293" s="19" t="s">
        <v>46</v>
      </c>
    </row>
    <row r="294" ht="22.5" customHeight="1">
      <c r="A294" s="18">
        <v>385.0</v>
      </c>
      <c r="B294" s="18">
        <v>27.0</v>
      </c>
      <c r="C294" s="18">
        <v>5.0</v>
      </c>
      <c r="D294" s="18">
        <v>1.0</v>
      </c>
      <c r="F294" s="19" t="s">
        <v>46</v>
      </c>
    </row>
    <row r="295" ht="22.5" customHeight="1">
      <c r="A295" s="18">
        <v>386.0</v>
      </c>
      <c r="B295" s="18">
        <v>28.0</v>
      </c>
      <c r="C295" s="18">
        <v>5.0</v>
      </c>
      <c r="D295" s="18">
        <v>1.0</v>
      </c>
      <c r="F295" s="19" t="s">
        <v>46</v>
      </c>
    </row>
    <row r="296" ht="22.5" customHeight="1">
      <c r="A296" s="18">
        <v>387.0</v>
      </c>
      <c r="B296" s="18">
        <v>29.0</v>
      </c>
      <c r="C296" s="18">
        <v>5.0</v>
      </c>
      <c r="D296" s="18">
        <v>1.0</v>
      </c>
      <c r="F296" s="19" t="s">
        <v>46</v>
      </c>
    </row>
    <row r="297" ht="22.5" customHeight="1">
      <c r="A297" s="18">
        <v>388.0</v>
      </c>
      <c r="B297" s="18">
        <v>31.0</v>
      </c>
      <c r="C297" s="18">
        <v>5.0</v>
      </c>
      <c r="D297" s="18">
        <v>1.0</v>
      </c>
      <c r="F297" s="19" t="s">
        <v>46</v>
      </c>
    </row>
    <row r="298" ht="22.5" customHeight="1">
      <c r="A298" s="18">
        <v>389.0</v>
      </c>
      <c r="B298" s="18">
        <v>32.0</v>
      </c>
      <c r="C298" s="18">
        <v>5.0</v>
      </c>
      <c r="D298" s="18">
        <v>1.0</v>
      </c>
      <c r="F298" s="19" t="s">
        <v>46</v>
      </c>
    </row>
    <row r="299" ht="22.5" customHeight="1">
      <c r="A299" s="18">
        <v>390.0</v>
      </c>
      <c r="B299" s="18">
        <v>33.0</v>
      </c>
      <c r="C299" s="18">
        <v>5.0</v>
      </c>
      <c r="D299" s="18">
        <v>1.0</v>
      </c>
      <c r="F299" s="19" t="s">
        <v>46</v>
      </c>
    </row>
    <row r="300" ht="22.5" customHeight="1">
      <c r="A300" s="18">
        <v>391.0</v>
      </c>
      <c r="B300" s="18">
        <v>34.0</v>
      </c>
      <c r="C300" s="18">
        <v>5.0</v>
      </c>
      <c r="D300" s="18">
        <v>1.0</v>
      </c>
      <c r="E300" s="18" t="s">
        <v>723</v>
      </c>
      <c r="F300" s="19" t="s">
        <v>46</v>
      </c>
    </row>
    <row r="301" ht="22.5" customHeight="1">
      <c r="A301" s="18">
        <v>392.0</v>
      </c>
      <c r="B301" s="18">
        <v>35.0</v>
      </c>
      <c r="C301" s="18">
        <v>5.0</v>
      </c>
      <c r="D301" s="18">
        <v>1.0</v>
      </c>
      <c r="E301" s="18" t="s">
        <v>723</v>
      </c>
      <c r="F301" s="19" t="s">
        <v>46</v>
      </c>
    </row>
    <row r="302" ht="22.5" customHeight="1">
      <c r="A302" s="18">
        <v>393.0</v>
      </c>
      <c r="B302" s="18">
        <v>36.0</v>
      </c>
      <c r="C302" s="18">
        <v>5.0</v>
      </c>
      <c r="D302" s="18">
        <v>1.0</v>
      </c>
      <c r="E302" s="18" t="s">
        <v>723</v>
      </c>
      <c r="F302" s="19" t="s">
        <v>46</v>
      </c>
    </row>
    <row r="303" ht="22.5" customHeight="1">
      <c r="A303" s="18">
        <v>394.0</v>
      </c>
      <c r="B303" s="18">
        <v>37.0</v>
      </c>
      <c r="C303" s="18">
        <v>5.0</v>
      </c>
      <c r="D303" s="18">
        <v>1.0</v>
      </c>
      <c r="E303" s="18" t="s">
        <v>723</v>
      </c>
      <c r="F303" s="19" t="s">
        <v>46</v>
      </c>
    </row>
    <row r="304" ht="22.5" customHeight="1">
      <c r="A304" s="18">
        <v>395.0</v>
      </c>
      <c r="B304" s="18">
        <v>38.0</v>
      </c>
      <c r="C304" s="18">
        <v>5.0</v>
      </c>
      <c r="D304" s="18">
        <v>1.0</v>
      </c>
      <c r="E304" s="18" t="s">
        <v>723</v>
      </c>
      <c r="F304" s="19" t="s">
        <v>46</v>
      </c>
    </row>
    <row r="305" ht="22.5" customHeight="1">
      <c r="A305" s="18">
        <v>396.0</v>
      </c>
      <c r="B305" s="18">
        <v>40.0</v>
      </c>
      <c r="C305" s="18">
        <v>5.0</v>
      </c>
      <c r="D305" s="18">
        <v>1.0</v>
      </c>
      <c r="E305" s="18" t="s">
        <v>723</v>
      </c>
      <c r="F305" s="19" t="s">
        <v>46</v>
      </c>
    </row>
    <row r="306" ht="22.5" customHeight="1">
      <c r="A306" s="18">
        <v>397.0</v>
      </c>
      <c r="B306" s="18">
        <v>41.0</v>
      </c>
      <c r="C306" s="18">
        <v>5.0</v>
      </c>
      <c r="D306" s="18">
        <v>1.0</v>
      </c>
      <c r="E306" s="18" t="s">
        <v>723</v>
      </c>
      <c r="F306" s="19" t="s">
        <v>46</v>
      </c>
    </row>
    <row r="307" ht="22.5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779</v>
      </c>
      <c r="F307" s="19" t="s">
        <v>46</v>
      </c>
    </row>
    <row r="308" ht="22.5" customHeight="1">
      <c r="A308" s="18">
        <v>399.0</v>
      </c>
      <c r="B308" s="18">
        <v>64.0</v>
      </c>
      <c r="C308" s="18">
        <v>5.0</v>
      </c>
      <c r="D308" s="18">
        <v>2.0</v>
      </c>
      <c r="F308" s="19" t="s">
        <v>46</v>
      </c>
    </row>
    <row r="309" ht="22.5" customHeight="1">
      <c r="A309" s="18">
        <v>400.0</v>
      </c>
      <c r="B309" s="18">
        <v>1.0</v>
      </c>
      <c r="C309" s="18">
        <v>6.0</v>
      </c>
      <c r="D309" s="18">
        <v>1.0</v>
      </c>
      <c r="F309" s="19" t="s">
        <v>46</v>
      </c>
    </row>
    <row r="310" ht="22.5" customHeight="1">
      <c r="A310" s="18">
        <v>401.0</v>
      </c>
      <c r="B310" s="18">
        <v>2.0</v>
      </c>
      <c r="C310" s="18">
        <v>6.0</v>
      </c>
      <c r="D310" s="18">
        <v>1.0</v>
      </c>
      <c r="F310" s="19" t="s">
        <v>46</v>
      </c>
    </row>
    <row r="311" ht="22.5" customHeight="1">
      <c r="A311" s="18">
        <v>402.0</v>
      </c>
      <c r="B311" s="18">
        <v>3.0</v>
      </c>
      <c r="C311" s="18">
        <v>6.0</v>
      </c>
      <c r="D311" s="18">
        <v>1.0</v>
      </c>
      <c r="F311" s="19" t="s">
        <v>46</v>
      </c>
    </row>
    <row r="312" ht="22.5" customHeight="1">
      <c r="A312" s="18">
        <v>403.0</v>
      </c>
      <c r="B312" s="18">
        <v>4.0</v>
      </c>
      <c r="C312" s="18">
        <v>6.0</v>
      </c>
      <c r="D312" s="18">
        <v>1.0</v>
      </c>
      <c r="F312" s="19" t="s">
        <v>46</v>
      </c>
    </row>
    <row r="313" ht="22.5" customHeight="1">
      <c r="A313" s="18">
        <v>404.0</v>
      </c>
      <c r="B313" s="18">
        <v>5.0</v>
      </c>
      <c r="C313" s="18">
        <v>6.0</v>
      </c>
      <c r="D313" s="18">
        <v>1.0</v>
      </c>
      <c r="F313" s="19" t="s">
        <v>46</v>
      </c>
    </row>
    <row r="314" ht="22.5" customHeight="1">
      <c r="A314" s="18">
        <v>405.0</v>
      </c>
      <c r="B314" s="18">
        <v>6.0</v>
      </c>
      <c r="C314" s="18">
        <v>6.0</v>
      </c>
      <c r="D314" s="18">
        <v>1.0</v>
      </c>
      <c r="F314" s="19" t="s">
        <v>46</v>
      </c>
    </row>
    <row r="315" ht="22.5" customHeight="1">
      <c r="A315" s="18">
        <v>406.0</v>
      </c>
      <c r="B315" s="18">
        <v>7.0</v>
      </c>
      <c r="C315" s="18">
        <v>6.0</v>
      </c>
      <c r="D315" s="18">
        <v>1.0</v>
      </c>
      <c r="F315" s="19" t="s">
        <v>46</v>
      </c>
    </row>
    <row r="316" ht="22.5" customHeight="1">
      <c r="A316" s="18">
        <v>407.0</v>
      </c>
      <c r="B316" s="18">
        <v>8.0</v>
      </c>
      <c r="C316" s="18">
        <v>6.0</v>
      </c>
      <c r="D316" s="18">
        <v>1.0</v>
      </c>
      <c r="F316" s="19" t="s">
        <v>46</v>
      </c>
    </row>
    <row r="317" ht="22.5" customHeight="1">
      <c r="A317" s="18">
        <v>408.0</v>
      </c>
      <c r="B317" s="18">
        <v>9.0</v>
      </c>
      <c r="C317" s="18">
        <v>6.0</v>
      </c>
      <c r="D317" s="18">
        <v>1.0</v>
      </c>
      <c r="F317" s="19" t="s">
        <v>46</v>
      </c>
    </row>
    <row r="318" ht="22.5" customHeight="1">
      <c r="A318" s="18">
        <v>409.0</v>
      </c>
      <c r="B318" s="18">
        <v>10.0</v>
      </c>
      <c r="C318" s="18">
        <v>6.0</v>
      </c>
      <c r="D318" s="18">
        <v>1.0</v>
      </c>
      <c r="F318" s="19" t="s">
        <v>46</v>
      </c>
    </row>
    <row r="319" ht="22.5" customHeight="1">
      <c r="A319" s="18">
        <v>410.0</v>
      </c>
      <c r="B319" s="18">
        <v>11.0</v>
      </c>
      <c r="C319" s="18">
        <v>6.0</v>
      </c>
      <c r="D319" s="18">
        <v>1.0</v>
      </c>
      <c r="F319" s="19" t="s">
        <v>46</v>
      </c>
    </row>
    <row r="320" ht="22.5" customHeight="1">
      <c r="A320" s="18">
        <v>411.0</v>
      </c>
      <c r="B320" s="18">
        <v>12.0</v>
      </c>
      <c r="C320" s="18">
        <v>6.0</v>
      </c>
      <c r="D320" s="18">
        <v>1.0</v>
      </c>
      <c r="F320" s="19" t="s">
        <v>46</v>
      </c>
    </row>
    <row r="321" ht="22.5" customHeight="1">
      <c r="A321" s="18">
        <v>412.0</v>
      </c>
      <c r="B321" s="18">
        <v>13.0</v>
      </c>
      <c r="C321" s="18">
        <v>6.0</v>
      </c>
      <c r="D321" s="18">
        <v>1.0</v>
      </c>
      <c r="F321" s="19" t="s">
        <v>46</v>
      </c>
    </row>
    <row r="322" ht="22.5" customHeight="1">
      <c r="A322" s="18">
        <v>413.0</v>
      </c>
      <c r="B322" s="18">
        <v>14.0</v>
      </c>
      <c r="C322" s="18">
        <v>6.0</v>
      </c>
      <c r="D322" s="18">
        <v>1.0</v>
      </c>
      <c r="F322" s="19" t="s">
        <v>46</v>
      </c>
    </row>
    <row r="323" ht="22.5" customHeight="1">
      <c r="A323" s="18">
        <v>414.0</v>
      </c>
      <c r="B323" s="18">
        <v>15.0</v>
      </c>
      <c r="C323" s="18">
        <v>6.0</v>
      </c>
      <c r="D323" s="18">
        <v>1.0</v>
      </c>
      <c r="F323" s="19" t="s">
        <v>46</v>
      </c>
    </row>
    <row r="324" ht="22.5" customHeight="1">
      <c r="A324" s="18">
        <v>415.0</v>
      </c>
      <c r="B324" s="18">
        <v>16.0</v>
      </c>
      <c r="C324" s="18">
        <v>6.0</v>
      </c>
      <c r="D324" s="18">
        <v>1.0</v>
      </c>
      <c r="F324" s="19" t="s">
        <v>46</v>
      </c>
    </row>
    <row r="325" ht="22.5" customHeight="1">
      <c r="A325" s="18">
        <v>416.0</v>
      </c>
      <c r="B325" s="18">
        <v>17.0</v>
      </c>
      <c r="C325" s="18">
        <v>6.0</v>
      </c>
      <c r="D325" s="18">
        <v>1.0</v>
      </c>
      <c r="F325" s="19" t="s">
        <v>46</v>
      </c>
    </row>
    <row r="326" ht="22.5" customHeight="1">
      <c r="A326" s="18">
        <v>417.0</v>
      </c>
      <c r="B326" s="18">
        <v>18.0</v>
      </c>
      <c r="C326" s="18">
        <v>6.0</v>
      </c>
      <c r="D326" s="18">
        <v>1.0</v>
      </c>
      <c r="F326" s="19" t="s">
        <v>46</v>
      </c>
    </row>
    <row r="327" ht="22.5" customHeight="1">
      <c r="A327" s="18">
        <v>418.0</v>
      </c>
      <c r="B327" s="18">
        <v>19.0</v>
      </c>
      <c r="C327" s="18">
        <v>6.0</v>
      </c>
      <c r="D327" s="18">
        <v>1.0</v>
      </c>
      <c r="F327" s="19" t="s">
        <v>46</v>
      </c>
    </row>
    <row r="328" ht="22.5" customHeight="1">
      <c r="A328" s="18">
        <v>419.0</v>
      </c>
      <c r="B328" s="18">
        <v>20.0</v>
      </c>
      <c r="C328" s="18">
        <v>6.0</v>
      </c>
      <c r="D328" s="18">
        <v>1.0</v>
      </c>
      <c r="F328" s="19" t="s">
        <v>46</v>
      </c>
    </row>
    <row r="329" ht="22.5" customHeight="1">
      <c r="A329" s="18">
        <v>420.0</v>
      </c>
      <c r="B329" s="18">
        <v>21.0</v>
      </c>
      <c r="C329" s="18">
        <v>6.0</v>
      </c>
      <c r="D329" s="18">
        <v>1.0</v>
      </c>
      <c r="F329" s="19" t="s">
        <v>46</v>
      </c>
    </row>
    <row r="330" ht="22.5" customHeight="1">
      <c r="A330" s="18">
        <v>421.0</v>
      </c>
      <c r="B330" s="18">
        <v>22.0</v>
      </c>
      <c r="C330" s="18">
        <v>6.0</v>
      </c>
      <c r="D330" s="18">
        <v>1.0</v>
      </c>
      <c r="F330" s="19" t="s">
        <v>46</v>
      </c>
    </row>
    <row r="331" ht="22.5" customHeight="1">
      <c r="A331" s="18">
        <v>422.0</v>
      </c>
      <c r="B331" s="18">
        <v>23.0</v>
      </c>
      <c r="C331" s="18">
        <v>6.0</v>
      </c>
      <c r="D331" s="18">
        <v>1.0</v>
      </c>
      <c r="F331" s="19" t="s">
        <v>46</v>
      </c>
    </row>
    <row r="332" ht="22.5" customHeight="1">
      <c r="A332" s="18">
        <v>423.0</v>
      </c>
      <c r="B332" s="18">
        <v>24.0</v>
      </c>
      <c r="C332" s="18">
        <v>6.0</v>
      </c>
      <c r="D332" s="18">
        <v>1.0</v>
      </c>
      <c r="F332" s="19" t="s">
        <v>46</v>
      </c>
    </row>
    <row r="333" ht="22.5" customHeight="1">
      <c r="A333" s="18">
        <v>424.0</v>
      </c>
      <c r="B333" s="18">
        <v>25.0</v>
      </c>
      <c r="C333" s="18">
        <v>6.0</v>
      </c>
      <c r="D333" s="18">
        <v>1.0</v>
      </c>
      <c r="F333" s="19" t="s">
        <v>46</v>
      </c>
    </row>
    <row r="334" ht="22.5" customHeight="1">
      <c r="A334" s="18">
        <v>425.0</v>
      </c>
      <c r="B334" s="18">
        <v>26.0</v>
      </c>
      <c r="C334" s="18">
        <v>6.0</v>
      </c>
      <c r="D334" s="18">
        <v>1.0</v>
      </c>
      <c r="F334" s="19" t="s">
        <v>46</v>
      </c>
    </row>
    <row r="335" ht="22.5" customHeight="1">
      <c r="A335" s="18">
        <v>426.0</v>
      </c>
      <c r="B335" s="18">
        <v>27.0</v>
      </c>
      <c r="C335" s="18">
        <v>6.0</v>
      </c>
      <c r="D335" s="18">
        <v>1.0</v>
      </c>
      <c r="F335" s="19" t="s">
        <v>46</v>
      </c>
    </row>
    <row r="336" ht="22.5" customHeight="1">
      <c r="A336" s="18">
        <v>427.0</v>
      </c>
      <c r="B336" s="18">
        <v>28.0</v>
      </c>
      <c r="C336" s="18">
        <v>6.0</v>
      </c>
      <c r="D336" s="18">
        <v>1.0</v>
      </c>
      <c r="F336" s="19" t="s">
        <v>46</v>
      </c>
    </row>
    <row r="337" ht="22.5" customHeight="1">
      <c r="A337" s="18">
        <v>428.0</v>
      </c>
      <c r="B337" s="18">
        <v>29.0</v>
      </c>
      <c r="C337" s="18">
        <v>6.0</v>
      </c>
      <c r="D337" s="18">
        <v>1.0</v>
      </c>
      <c r="F337" s="19" t="s">
        <v>46</v>
      </c>
    </row>
    <row r="338" ht="22.5" customHeight="1">
      <c r="A338" s="18">
        <v>429.0</v>
      </c>
      <c r="B338" s="18">
        <v>31.0</v>
      </c>
      <c r="C338" s="18">
        <v>6.0</v>
      </c>
      <c r="D338" s="18">
        <v>1.0</v>
      </c>
      <c r="F338" s="19" t="s">
        <v>46</v>
      </c>
    </row>
    <row r="339" ht="22.5" customHeight="1">
      <c r="A339" s="18">
        <v>430.0</v>
      </c>
      <c r="B339" s="18">
        <v>32.0</v>
      </c>
      <c r="C339" s="18">
        <v>6.0</v>
      </c>
      <c r="D339" s="18">
        <v>1.0</v>
      </c>
      <c r="F339" s="19" t="s">
        <v>46</v>
      </c>
    </row>
    <row r="340" ht="22.5" customHeight="1">
      <c r="A340" s="18">
        <v>431.0</v>
      </c>
      <c r="B340" s="18">
        <v>33.0</v>
      </c>
      <c r="C340" s="18">
        <v>6.0</v>
      </c>
      <c r="D340" s="18">
        <v>1.0</v>
      </c>
      <c r="F340" s="19" t="s">
        <v>46</v>
      </c>
    </row>
    <row r="341" ht="22.5" customHeight="1">
      <c r="A341" s="18">
        <v>432.0</v>
      </c>
      <c r="B341" s="18">
        <v>34.0</v>
      </c>
      <c r="C341" s="18">
        <v>6.0</v>
      </c>
      <c r="D341" s="18">
        <v>1.0</v>
      </c>
      <c r="E341" s="18" t="s">
        <v>723</v>
      </c>
      <c r="F341" s="19" t="s">
        <v>46</v>
      </c>
    </row>
    <row r="342" ht="22.5" customHeight="1">
      <c r="A342" s="18">
        <v>433.0</v>
      </c>
      <c r="B342" s="18">
        <v>35.0</v>
      </c>
      <c r="C342" s="18">
        <v>6.0</v>
      </c>
      <c r="D342" s="18">
        <v>1.0</v>
      </c>
      <c r="E342" s="18" t="s">
        <v>723</v>
      </c>
      <c r="F342" s="19" t="s">
        <v>46</v>
      </c>
    </row>
    <row r="343" ht="22.5" customHeight="1">
      <c r="A343" s="18">
        <v>434.0</v>
      </c>
      <c r="B343" s="18">
        <v>36.0</v>
      </c>
      <c r="C343" s="18">
        <v>6.0</v>
      </c>
      <c r="D343" s="18">
        <v>1.0</v>
      </c>
      <c r="E343" s="18" t="s">
        <v>723</v>
      </c>
      <c r="F343" s="19" t="s">
        <v>46</v>
      </c>
    </row>
    <row r="344" ht="22.5" customHeight="1">
      <c r="A344" s="18">
        <v>435.0</v>
      </c>
      <c r="B344" s="18">
        <v>37.0</v>
      </c>
      <c r="C344" s="18">
        <v>6.0</v>
      </c>
      <c r="D344" s="18">
        <v>1.0</v>
      </c>
      <c r="E344" s="18" t="s">
        <v>723</v>
      </c>
      <c r="F344" s="19" t="s">
        <v>46</v>
      </c>
    </row>
    <row r="345" ht="22.5" customHeight="1">
      <c r="A345" s="18">
        <v>436.0</v>
      </c>
      <c r="B345" s="18">
        <v>38.0</v>
      </c>
      <c r="C345" s="18">
        <v>6.0</v>
      </c>
      <c r="D345" s="18">
        <v>1.0</v>
      </c>
      <c r="E345" s="18" t="s">
        <v>723</v>
      </c>
      <c r="F345" s="19" t="s">
        <v>46</v>
      </c>
    </row>
    <row r="346" ht="22.5" customHeight="1">
      <c r="A346" s="18">
        <v>437.0</v>
      </c>
      <c r="B346" s="18">
        <v>40.0</v>
      </c>
      <c r="C346" s="18">
        <v>6.0</v>
      </c>
      <c r="D346" s="18">
        <v>1.0</v>
      </c>
      <c r="E346" s="18" t="s">
        <v>723</v>
      </c>
      <c r="F346" s="19" t="s">
        <v>46</v>
      </c>
    </row>
    <row r="347" ht="22.5" customHeight="1">
      <c r="A347" s="18">
        <v>438.0</v>
      </c>
      <c r="B347" s="18">
        <v>41.0</v>
      </c>
      <c r="C347" s="18">
        <v>6.0</v>
      </c>
      <c r="D347" s="18">
        <v>1.0</v>
      </c>
      <c r="E347" s="18" t="s">
        <v>723</v>
      </c>
      <c r="F347" s="19" t="s">
        <v>46</v>
      </c>
    </row>
    <row r="348" ht="22.5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746</v>
      </c>
      <c r="F348" s="19" t="s">
        <v>46</v>
      </c>
    </row>
    <row r="349" ht="22.5" customHeight="1">
      <c r="A349" s="18">
        <v>440.0</v>
      </c>
      <c r="B349" s="18">
        <v>43.0</v>
      </c>
      <c r="C349" s="18">
        <v>6.0</v>
      </c>
      <c r="D349" s="18">
        <v>1.0</v>
      </c>
      <c r="E349" s="18" t="s">
        <v>723</v>
      </c>
      <c r="F349" s="19" t="s">
        <v>46</v>
      </c>
    </row>
    <row r="350" ht="22.5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753</v>
      </c>
      <c r="F350" s="19" t="s">
        <v>46</v>
      </c>
    </row>
    <row r="351" ht="22.5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753</v>
      </c>
      <c r="F351" s="19" t="s">
        <v>46</v>
      </c>
    </row>
    <row r="352" ht="22.5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753</v>
      </c>
      <c r="F352" s="19" t="s">
        <v>46</v>
      </c>
    </row>
    <row r="353" ht="22.5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753</v>
      </c>
      <c r="F353" s="19" t="s">
        <v>46</v>
      </c>
    </row>
    <row r="354" ht="22.5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779</v>
      </c>
      <c r="F354" s="19" t="s">
        <v>46</v>
      </c>
    </row>
    <row r="355" ht="22.5" customHeight="1">
      <c r="A355" s="18">
        <v>446.0</v>
      </c>
      <c r="B355" s="18">
        <v>64.0</v>
      </c>
      <c r="C355" s="18">
        <v>6.0</v>
      </c>
      <c r="D355" s="18">
        <v>1.0</v>
      </c>
      <c r="F355" s="19" t="s">
        <v>46</v>
      </c>
    </row>
    <row r="356" ht="22.5" customHeight="1">
      <c r="A356" s="18">
        <v>447.0</v>
      </c>
      <c r="B356" s="18">
        <v>65.0</v>
      </c>
      <c r="C356" s="18">
        <v>6.0</v>
      </c>
      <c r="D356" s="18">
        <v>1.0</v>
      </c>
      <c r="F356" s="19" t="s">
        <v>46</v>
      </c>
    </row>
    <row r="357" ht="22.5" customHeight="1">
      <c r="A357" s="18">
        <v>448.0</v>
      </c>
      <c r="B357" s="18">
        <v>111.0</v>
      </c>
      <c r="C357" s="18">
        <v>6.0</v>
      </c>
      <c r="D357" s="18">
        <v>1.0</v>
      </c>
      <c r="F357" s="19" t="s">
        <v>46</v>
      </c>
    </row>
    <row r="358" ht="22.5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785</v>
      </c>
      <c r="F358" s="19" t="s">
        <v>46</v>
      </c>
    </row>
    <row r="359" ht="22.5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785</v>
      </c>
      <c r="F359" s="19" t="s">
        <v>46</v>
      </c>
    </row>
    <row r="360" ht="22.5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795</v>
      </c>
      <c r="F360" s="19" t="s">
        <v>46</v>
      </c>
    </row>
    <row r="361" ht="22.5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795</v>
      </c>
      <c r="F361" s="19" t="s">
        <v>46</v>
      </c>
    </row>
    <row r="362" ht="22.5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795</v>
      </c>
      <c r="F362" s="19" t="s">
        <v>46</v>
      </c>
    </row>
    <row r="363" ht="22.5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795</v>
      </c>
      <c r="F363" s="19" t="s">
        <v>46</v>
      </c>
    </row>
    <row r="364" ht="22.5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795</v>
      </c>
      <c r="F364" s="19" t="s">
        <v>46</v>
      </c>
    </row>
    <row r="365" ht="22.5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795</v>
      </c>
      <c r="F365" s="19" t="s">
        <v>46</v>
      </c>
    </row>
    <row r="366" ht="22.5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795</v>
      </c>
      <c r="F366" s="19" t="s">
        <v>46</v>
      </c>
    </row>
    <row r="367" ht="22.5" customHeight="1">
      <c r="A367" s="18">
        <v>458.0</v>
      </c>
      <c r="B367" s="18">
        <v>1.0</v>
      </c>
      <c r="C367" s="18">
        <v>7.0</v>
      </c>
      <c r="D367" s="18">
        <v>1.0</v>
      </c>
      <c r="F367" s="19" t="s">
        <v>46</v>
      </c>
    </row>
    <row r="368" ht="22.5" customHeight="1">
      <c r="A368" s="18">
        <v>459.0</v>
      </c>
      <c r="B368" s="18">
        <v>2.0</v>
      </c>
      <c r="C368" s="18">
        <v>7.0</v>
      </c>
      <c r="D368" s="18">
        <v>1.0</v>
      </c>
      <c r="F368" s="19" t="s">
        <v>46</v>
      </c>
    </row>
    <row r="369" ht="22.5" customHeight="1">
      <c r="A369" s="18">
        <v>460.0</v>
      </c>
      <c r="B369" s="18">
        <v>3.0</v>
      </c>
      <c r="C369" s="18">
        <v>7.0</v>
      </c>
      <c r="D369" s="18">
        <v>1.0</v>
      </c>
      <c r="F369" s="19" t="s">
        <v>46</v>
      </c>
    </row>
    <row r="370" ht="22.5" customHeight="1">
      <c r="A370" s="18">
        <v>461.0</v>
      </c>
      <c r="B370" s="18">
        <v>4.0</v>
      </c>
      <c r="C370" s="18">
        <v>7.0</v>
      </c>
      <c r="D370" s="18">
        <v>1.0</v>
      </c>
      <c r="F370" s="19" t="s">
        <v>46</v>
      </c>
    </row>
    <row r="371" ht="22.5" customHeight="1">
      <c r="A371" s="18">
        <v>462.0</v>
      </c>
      <c r="B371" s="18">
        <v>5.0</v>
      </c>
      <c r="C371" s="18">
        <v>7.0</v>
      </c>
      <c r="D371" s="18">
        <v>1.0</v>
      </c>
      <c r="F371" s="19" t="s">
        <v>46</v>
      </c>
    </row>
    <row r="372" ht="22.5" customHeight="1">
      <c r="A372" s="18">
        <v>463.0</v>
      </c>
      <c r="B372" s="18">
        <v>6.0</v>
      </c>
      <c r="C372" s="18">
        <v>7.0</v>
      </c>
      <c r="D372" s="18">
        <v>1.0</v>
      </c>
      <c r="F372" s="19" t="s">
        <v>46</v>
      </c>
    </row>
    <row r="373" ht="22.5" customHeight="1">
      <c r="A373" s="18">
        <v>464.0</v>
      </c>
      <c r="B373" s="18">
        <v>7.0</v>
      </c>
      <c r="C373" s="18">
        <v>7.0</v>
      </c>
      <c r="D373" s="18">
        <v>1.0</v>
      </c>
      <c r="F373" s="19" t="s">
        <v>46</v>
      </c>
    </row>
    <row r="374" ht="22.5" customHeight="1">
      <c r="A374" s="18">
        <v>465.0</v>
      </c>
      <c r="B374" s="18">
        <v>8.0</v>
      </c>
      <c r="C374" s="18">
        <v>7.0</v>
      </c>
      <c r="D374" s="18">
        <v>1.0</v>
      </c>
      <c r="F374" s="19" t="s">
        <v>46</v>
      </c>
    </row>
    <row r="375" ht="22.5" customHeight="1">
      <c r="A375" s="18">
        <v>466.0</v>
      </c>
      <c r="B375" s="18">
        <v>9.0</v>
      </c>
      <c r="C375" s="18">
        <v>7.0</v>
      </c>
      <c r="D375" s="18">
        <v>1.0</v>
      </c>
      <c r="F375" s="19" t="s">
        <v>46</v>
      </c>
    </row>
    <row r="376" ht="22.5" customHeight="1">
      <c r="A376" s="18">
        <v>467.0</v>
      </c>
      <c r="B376" s="18">
        <v>10.0</v>
      </c>
      <c r="C376" s="18">
        <v>7.0</v>
      </c>
      <c r="D376" s="18">
        <v>1.0</v>
      </c>
      <c r="F376" s="19" t="s">
        <v>46</v>
      </c>
    </row>
    <row r="377" ht="22.5" customHeight="1">
      <c r="A377" s="18">
        <v>468.0</v>
      </c>
      <c r="B377" s="18">
        <v>11.0</v>
      </c>
      <c r="C377" s="18">
        <v>7.0</v>
      </c>
      <c r="D377" s="18">
        <v>1.0</v>
      </c>
      <c r="F377" s="19" t="s">
        <v>46</v>
      </c>
    </row>
    <row r="378" ht="22.5" customHeight="1">
      <c r="A378" s="18">
        <v>469.0</v>
      </c>
      <c r="B378" s="18">
        <v>12.0</v>
      </c>
      <c r="C378" s="18">
        <v>7.0</v>
      </c>
      <c r="D378" s="18">
        <v>1.0</v>
      </c>
      <c r="F378" s="19" t="s">
        <v>46</v>
      </c>
    </row>
    <row r="379" ht="22.5" customHeight="1">
      <c r="A379" s="18">
        <v>470.0</v>
      </c>
      <c r="B379" s="18">
        <v>13.0</v>
      </c>
      <c r="C379" s="18">
        <v>7.0</v>
      </c>
      <c r="D379" s="18">
        <v>1.0</v>
      </c>
      <c r="F379" s="19" t="s">
        <v>46</v>
      </c>
    </row>
    <row r="380" ht="22.5" customHeight="1">
      <c r="A380" s="18">
        <v>471.0</v>
      </c>
      <c r="B380" s="18">
        <v>14.0</v>
      </c>
      <c r="C380" s="18">
        <v>7.0</v>
      </c>
      <c r="D380" s="18">
        <v>1.0</v>
      </c>
      <c r="F380" s="19" t="s">
        <v>46</v>
      </c>
    </row>
    <row r="381" ht="22.5" customHeight="1">
      <c r="A381" s="18">
        <v>472.0</v>
      </c>
      <c r="B381" s="18">
        <v>15.0</v>
      </c>
      <c r="C381" s="18">
        <v>7.0</v>
      </c>
      <c r="D381" s="18">
        <v>1.0</v>
      </c>
      <c r="F381" s="19" t="s">
        <v>46</v>
      </c>
    </row>
    <row r="382" ht="22.5" customHeight="1">
      <c r="A382" s="18">
        <v>473.0</v>
      </c>
      <c r="B382" s="18">
        <v>16.0</v>
      </c>
      <c r="C382" s="18">
        <v>7.0</v>
      </c>
      <c r="D382" s="18">
        <v>1.0</v>
      </c>
      <c r="F382" s="19" t="s">
        <v>46</v>
      </c>
    </row>
    <row r="383" ht="22.5" customHeight="1">
      <c r="A383" s="18">
        <v>474.0</v>
      </c>
      <c r="B383" s="18">
        <v>17.0</v>
      </c>
      <c r="C383" s="18">
        <v>7.0</v>
      </c>
      <c r="D383" s="18">
        <v>1.0</v>
      </c>
      <c r="F383" s="19" t="s">
        <v>46</v>
      </c>
    </row>
    <row r="384" ht="22.5" customHeight="1">
      <c r="A384" s="18">
        <v>475.0</v>
      </c>
      <c r="B384" s="18">
        <v>18.0</v>
      </c>
      <c r="C384" s="18">
        <v>7.0</v>
      </c>
      <c r="D384" s="18">
        <v>1.0</v>
      </c>
      <c r="F384" s="19" t="s">
        <v>46</v>
      </c>
    </row>
    <row r="385" ht="22.5" customHeight="1">
      <c r="A385" s="18">
        <v>476.0</v>
      </c>
      <c r="B385" s="18">
        <v>19.0</v>
      </c>
      <c r="C385" s="18">
        <v>7.0</v>
      </c>
      <c r="D385" s="18">
        <v>1.0</v>
      </c>
      <c r="F385" s="19" t="s">
        <v>46</v>
      </c>
    </row>
    <row r="386" ht="22.5" customHeight="1">
      <c r="A386" s="18">
        <v>477.0</v>
      </c>
      <c r="B386" s="18">
        <v>20.0</v>
      </c>
      <c r="C386" s="18">
        <v>7.0</v>
      </c>
      <c r="D386" s="18">
        <v>1.0</v>
      </c>
      <c r="F386" s="19" t="s">
        <v>46</v>
      </c>
    </row>
    <row r="387" ht="22.5" customHeight="1">
      <c r="A387" s="18">
        <v>478.0</v>
      </c>
      <c r="B387" s="18">
        <v>21.0</v>
      </c>
      <c r="C387" s="18">
        <v>7.0</v>
      </c>
      <c r="D387" s="18">
        <v>1.0</v>
      </c>
      <c r="F387" s="19" t="s">
        <v>46</v>
      </c>
    </row>
    <row r="388" ht="22.5" customHeight="1">
      <c r="A388" s="18">
        <v>479.0</v>
      </c>
      <c r="B388" s="18">
        <v>22.0</v>
      </c>
      <c r="C388" s="18">
        <v>7.0</v>
      </c>
      <c r="D388" s="18">
        <v>1.0</v>
      </c>
      <c r="F388" s="19" t="s">
        <v>46</v>
      </c>
    </row>
    <row r="389" ht="22.5" customHeight="1">
      <c r="A389" s="18">
        <v>480.0</v>
      </c>
      <c r="B389" s="18">
        <v>23.0</v>
      </c>
      <c r="C389" s="18">
        <v>7.0</v>
      </c>
      <c r="D389" s="18">
        <v>1.0</v>
      </c>
      <c r="F389" s="19" t="s">
        <v>46</v>
      </c>
    </row>
    <row r="390" ht="22.5" customHeight="1">
      <c r="A390" s="18">
        <v>481.0</v>
      </c>
      <c r="B390" s="18">
        <v>24.0</v>
      </c>
      <c r="C390" s="18">
        <v>7.0</v>
      </c>
      <c r="D390" s="18">
        <v>1.0</v>
      </c>
      <c r="F390" s="19" t="s">
        <v>46</v>
      </c>
    </row>
    <row r="391" ht="22.5" customHeight="1">
      <c r="A391" s="18">
        <v>482.0</v>
      </c>
      <c r="B391" s="18">
        <v>25.0</v>
      </c>
      <c r="C391" s="18">
        <v>7.0</v>
      </c>
      <c r="D391" s="18">
        <v>1.0</v>
      </c>
      <c r="F391" s="19" t="s">
        <v>46</v>
      </c>
    </row>
    <row r="392" ht="22.5" customHeight="1">
      <c r="A392" s="18">
        <v>483.0</v>
      </c>
      <c r="B392" s="18">
        <v>26.0</v>
      </c>
      <c r="C392" s="18">
        <v>7.0</v>
      </c>
      <c r="D392" s="18">
        <v>1.0</v>
      </c>
      <c r="F392" s="19" t="s">
        <v>46</v>
      </c>
    </row>
    <row r="393" ht="22.5" customHeight="1">
      <c r="A393" s="18">
        <v>484.0</v>
      </c>
      <c r="B393" s="18">
        <v>27.0</v>
      </c>
      <c r="C393" s="18">
        <v>7.0</v>
      </c>
      <c r="D393" s="18">
        <v>1.0</v>
      </c>
      <c r="F393" s="19" t="s">
        <v>46</v>
      </c>
    </row>
    <row r="394" ht="22.5" customHeight="1">
      <c r="A394" s="18">
        <v>485.0</v>
      </c>
      <c r="B394" s="18">
        <v>28.0</v>
      </c>
      <c r="C394" s="18">
        <v>7.0</v>
      </c>
      <c r="D394" s="18">
        <v>1.0</v>
      </c>
      <c r="F394" s="19" t="s">
        <v>46</v>
      </c>
    </row>
    <row r="395" ht="22.5" customHeight="1">
      <c r="A395" s="18">
        <v>486.0</v>
      </c>
      <c r="B395" s="18">
        <v>29.0</v>
      </c>
      <c r="C395" s="18">
        <v>7.0</v>
      </c>
      <c r="D395" s="18">
        <v>1.0</v>
      </c>
      <c r="F395" s="19" t="s">
        <v>46</v>
      </c>
    </row>
    <row r="396" ht="22.5" customHeight="1">
      <c r="A396" s="18">
        <v>487.0</v>
      </c>
      <c r="B396" s="18">
        <v>31.0</v>
      </c>
      <c r="C396" s="18">
        <v>7.0</v>
      </c>
      <c r="D396" s="18">
        <v>1.0</v>
      </c>
      <c r="F396" s="19" t="s">
        <v>46</v>
      </c>
    </row>
    <row r="397" ht="22.5" customHeight="1">
      <c r="A397" s="18">
        <v>488.0</v>
      </c>
      <c r="B397" s="18">
        <v>32.0</v>
      </c>
      <c r="C397" s="18">
        <v>7.0</v>
      </c>
      <c r="D397" s="18">
        <v>1.0</v>
      </c>
      <c r="F397" s="19" t="s">
        <v>46</v>
      </c>
    </row>
    <row r="398" ht="22.5" customHeight="1">
      <c r="A398" s="18">
        <v>489.0</v>
      </c>
      <c r="B398" s="18">
        <v>33.0</v>
      </c>
      <c r="C398" s="18">
        <v>7.0</v>
      </c>
      <c r="D398" s="18">
        <v>1.0</v>
      </c>
      <c r="F398" s="19" t="s">
        <v>46</v>
      </c>
    </row>
    <row r="399" ht="22.5" customHeight="1">
      <c r="A399" s="18">
        <v>490.0</v>
      </c>
      <c r="B399" s="18">
        <v>34.0</v>
      </c>
      <c r="C399" s="18">
        <v>7.0</v>
      </c>
      <c r="D399" s="18">
        <v>1.0</v>
      </c>
      <c r="E399" s="18" t="s">
        <v>723</v>
      </c>
      <c r="F399" s="19" t="s">
        <v>46</v>
      </c>
    </row>
    <row r="400" ht="22.5" customHeight="1">
      <c r="A400" s="18">
        <v>491.0</v>
      </c>
      <c r="B400" s="18">
        <v>35.0</v>
      </c>
      <c r="C400" s="18">
        <v>7.0</v>
      </c>
      <c r="D400" s="18">
        <v>1.0</v>
      </c>
      <c r="E400" s="18" t="s">
        <v>723</v>
      </c>
      <c r="F400" s="19" t="s">
        <v>46</v>
      </c>
    </row>
    <row r="401" ht="22.5" customHeight="1">
      <c r="A401" s="18">
        <v>492.0</v>
      </c>
      <c r="B401" s="18">
        <v>36.0</v>
      </c>
      <c r="C401" s="18">
        <v>7.0</v>
      </c>
      <c r="D401" s="18">
        <v>1.0</v>
      </c>
      <c r="E401" s="18" t="s">
        <v>723</v>
      </c>
      <c r="F401" s="19" t="s">
        <v>46</v>
      </c>
    </row>
    <row r="402" ht="22.5" customHeight="1">
      <c r="A402" s="18">
        <v>493.0</v>
      </c>
      <c r="B402" s="18">
        <v>37.0</v>
      </c>
      <c r="C402" s="18">
        <v>7.0</v>
      </c>
      <c r="D402" s="18">
        <v>1.0</v>
      </c>
      <c r="E402" s="18" t="s">
        <v>723</v>
      </c>
      <c r="F402" s="19" t="s">
        <v>46</v>
      </c>
    </row>
    <row r="403" ht="22.5" customHeight="1">
      <c r="A403" s="18">
        <v>494.0</v>
      </c>
      <c r="B403" s="18">
        <v>38.0</v>
      </c>
      <c r="C403" s="18">
        <v>7.0</v>
      </c>
      <c r="D403" s="18">
        <v>1.0</v>
      </c>
      <c r="E403" s="18" t="s">
        <v>723</v>
      </c>
      <c r="F403" s="19" t="s">
        <v>46</v>
      </c>
    </row>
    <row r="404" ht="22.5" customHeight="1">
      <c r="A404" s="18">
        <v>495.0</v>
      </c>
      <c r="B404" s="18">
        <v>40.0</v>
      </c>
      <c r="C404" s="18">
        <v>7.0</v>
      </c>
      <c r="D404" s="18">
        <v>1.0</v>
      </c>
      <c r="E404" s="18" t="s">
        <v>723</v>
      </c>
      <c r="F404" s="19" t="s">
        <v>46</v>
      </c>
    </row>
    <row r="405" ht="22.5" customHeight="1">
      <c r="A405" s="18">
        <v>496.0</v>
      </c>
      <c r="B405" s="18">
        <v>41.0</v>
      </c>
      <c r="C405" s="18">
        <v>7.0</v>
      </c>
      <c r="D405" s="18">
        <v>1.0</v>
      </c>
      <c r="E405" s="18" t="s">
        <v>723</v>
      </c>
      <c r="F405" s="19" t="s">
        <v>46</v>
      </c>
    </row>
    <row r="406" ht="22.5" customHeight="1">
      <c r="A406" s="18">
        <v>497.0</v>
      </c>
      <c r="B406" s="18">
        <v>1.0</v>
      </c>
      <c r="C406" s="18">
        <v>8.0</v>
      </c>
      <c r="D406" s="18">
        <v>1.0</v>
      </c>
      <c r="F406" s="19" t="s">
        <v>46</v>
      </c>
    </row>
    <row r="407" ht="22.5" customHeight="1">
      <c r="A407" s="18">
        <v>498.0</v>
      </c>
      <c r="B407" s="18">
        <v>2.0</v>
      </c>
      <c r="C407" s="18">
        <v>8.0</v>
      </c>
      <c r="D407" s="18">
        <v>1.0</v>
      </c>
      <c r="F407" s="19" t="s">
        <v>46</v>
      </c>
    </row>
    <row r="408" ht="22.5" customHeight="1">
      <c r="A408" s="18">
        <v>499.0</v>
      </c>
      <c r="B408" s="18">
        <v>3.0</v>
      </c>
      <c r="C408" s="18">
        <v>8.0</v>
      </c>
      <c r="D408" s="18">
        <v>1.0</v>
      </c>
      <c r="F408" s="19" t="s">
        <v>46</v>
      </c>
    </row>
    <row r="409" ht="22.5" customHeight="1">
      <c r="A409" s="18">
        <v>500.0</v>
      </c>
      <c r="B409" s="18">
        <v>4.0</v>
      </c>
      <c r="C409" s="18">
        <v>8.0</v>
      </c>
      <c r="D409" s="18">
        <v>1.0</v>
      </c>
      <c r="F409" s="19" t="s">
        <v>46</v>
      </c>
    </row>
    <row r="410" ht="22.5" customHeight="1">
      <c r="A410" s="18">
        <v>501.0</v>
      </c>
      <c r="B410" s="18">
        <v>5.0</v>
      </c>
      <c r="C410" s="18">
        <v>8.0</v>
      </c>
      <c r="D410" s="18">
        <v>1.0</v>
      </c>
      <c r="F410" s="19" t="s">
        <v>46</v>
      </c>
    </row>
    <row r="411" ht="22.5" customHeight="1">
      <c r="A411" s="18">
        <v>502.0</v>
      </c>
      <c r="B411" s="18">
        <v>6.0</v>
      </c>
      <c r="C411" s="18">
        <v>8.0</v>
      </c>
      <c r="D411" s="18">
        <v>1.0</v>
      </c>
      <c r="F411" s="19" t="s">
        <v>46</v>
      </c>
    </row>
    <row r="412" ht="22.5" customHeight="1">
      <c r="A412" s="18">
        <v>503.0</v>
      </c>
      <c r="B412" s="18">
        <v>7.0</v>
      </c>
      <c r="C412" s="18">
        <v>8.0</v>
      </c>
      <c r="D412" s="18">
        <v>1.0</v>
      </c>
      <c r="F412" s="19" t="s">
        <v>46</v>
      </c>
    </row>
    <row r="413" ht="22.5" customHeight="1">
      <c r="A413" s="18">
        <v>504.0</v>
      </c>
      <c r="B413" s="18">
        <v>8.0</v>
      </c>
      <c r="C413" s="18">
        <v>8.0</v>
      </c>
      <c r="D413" s="18">
        <v>1.0</v>
      </c>
      <c r="F413" s="19" t="s">
        <v>46</v>
      </c>
    </row>
    <row r="414" ht="22.5" customHeight="1">
      <c r="A414" s="18">
        <v>505.0</v>
      </c>
      <c r="B414" s="18">
        <v>9.0</v>
      </c>
      <c r="C414" s="18">
        <v>8.0</v>
      </c>
      <c r="D414" s="18">
        <v>1.0</v>
      </c>
      <c r="F414" s="19" t="s">
        <v>46</v>
      </c>
    </row>
    <row r="415" ht="22.5" customHeight="1">
      <c r="A415" s="18">
        <v>506.0</v>
      </c>
      <c r="B415" s="18">
        <v>10.0</v>
      </c>
      <c r="C415" s="18">
        <v>8.0</v>
      </c>
      <c r="D415" s="18">
        <v>1.0</v>
      </c>
      <c r="F415" s="19" t="s">
        <v>46</v>
      </c>
    </row>
    <row r="416" ht="22.5" customHeight="1">
      <c r="A416" s="18">
        <v>507.0</v>
      </c>
      <c r="B416" s="18">
        <v>11.0</v>
      </c>
      <c r="C416" s="18">
        <v>8.0</v>
      </c>
      <c r="D416" s="18">
        <v>1.0</v>
      </c>
      <c r="F416" s="19" t="s">
        <v>46</v>
      </c>
    </row>
    <row r="417" ht="22.5" customHeight="1">
      <c r="A417" s="18">
        <v>508.0</v>
      </c>
      <c r="B417" s="18">
        <v>12.0</v>
      </c>
      <c r="C417" s="18">
        <v>8.0</v>
      </c>
      <c r="D417" s="18">
        <v>1.0</v>
      </c>
      <c r="F417" s="19" t="s">
        <v>46</v>
      </c>
    </row>
    <row r="418" ht="22.5" customHeight="1">
      <c r="A418" s="18">
        <v>509.0</v>
      </c>
      <c r="B418" s="18">
        <v>13.0</v>
      </c>
      <c r="C418" s="18">
        <v>8.0</v>
      </c>
      <c r="D418" s="18">
        <v>1.0</v>
      </c>
      <c r="F418" s="19" t="s">
        <v>46</v>
      </c>
    </row>
    <row r="419" ht="22.5" customHeight="1">
      <c r="A419" s="18">
        <v>510.0</v>
      </c>
      <c r="B419" s="18">
        <v>14.0</v>
      </c>
      <c r="C419" s="18">
        <v>8.0</v>
      </c>
      <c r="D419" s="18">
        <v>1.0</v>
      </c>
      <c r="F419" s="19" t="s">
        <v>46</v>
      </c>
    </row>
    <row r="420" ht="22.5" customHeight="1">
      <c r="A420" s="18">
        <v>511.0</v>
      </c>
      <c r="B420" s="18">
        <v>15.0</v>
      </c>
      <c r="C420" s="18">
        <v>8.0</v>
      </c>
      <c r="D420" s="18">
        <v>1.0</v>
      </c>
      <c r="F420" s="19" t="s">
        <v>46</v>
      </c>
    </row>
    <row r="421" ht="22.5" customHeight="1">
      <c r="A421" s="18">
        <v>512.0</v>
      </c>
      <c r="B421" s="18">
        <v>16.0</v>
      </c>
      <c r="C421" s="18">
        <v>8.0</v>
      </c>
      <c r="D421" s="18">
        <v>1.0</v>
      </c>
      <c r="F421" s="19" t="s">
        <v>46</v>
      </c>
    </row>
    <row r="422" ht="22.5" customHeight="1">
      <c r="A422" s="18">
        <v>513.0</v>
      </c>
      <c r="B422" s="18">
        <v>17.0</v>
      </c>
      <c r="C422" s="18">
        <v>8.0</v>
      </c>
      <c r="D422" s="18">
        <v>1.0</v>
      </c>
      <c r="F422" s="19" t="s">
        <v>46</v>
      </c>
    </row>
    <row r="423" ht="22.5" customHeight="1">
      <c r="A423" s="18">
        <v>514.0</v>
      </c>
      <c r="B423" s="18">
        <v>18.0</v>
      </c>
      <c r="C423" s="18">
        <v>8.0</v>
      </c>
      <c r="D423" s="18">
        <v>1.0</v>
      </c>
      <c r="F423" s="19" t="s">
        <v>46</v>
      </c>
    </row>
    <row r="424" ht="22.5" customHeight="1">
      <c r="A424" s="18">
        <v>515.0</v>
      </c>
      <c r="B424" s="18">
        <v>19.0</v>
      </c>
      <c r="C424" s="18">
        <v>8.0</v>
      </c>
      <c r="D424" s="18">
        <v>1.0</v>
      </c>
      <c r="F424" s="19" t="s">
        <v>46</v>
      </c>
    </row>
    <row r="425" ht="22.5" customHeight="1">
      <c r="A425" s="18">
        <v>516.0</v>
      </c>
      <c r="B425" s="18">
        <v>20.0</v>
      </c>
      <c r="C425" s="18">
        <v>8.0</v>
      </c>
      <c r="D425" s="18">
        <v>1.0</v>
      </c>
      <c r="F425" s="19" t="s">
        <v>46</v>
      </c>
    </row>
    <row r="426" ht="22.5" customHeight="1">
      <c r="A426" s="18">
        <v>517.0</v>
      </c>
      <c r="B426" s="18">
        <v>21.0</v>
      </c>
      <c r="C426" s="18">
        <v>8.0</v>
      </c>
      <c r="D426" s="18">
        <v>1.0</v>
      </c>
      <c r="F426" s="19" t="s">
        <v>46</v>
      </c>
    </row>
    <row r="427" ht="22.5" customHeight="1">
      <c r="A427" s="18">
        <v>518.0</v>
      </c>
      <c r="B427" s="18">
        <v>22.0</v>
      </c>
      <c r="C427" s="18">
        <v>8.0</v>
      </c>
      <c r="D427" s="18">
        <v>1.0</v>
      </c>
      <c r="F427" s="19" t="s">
        <v>46</v>
      </c>
    </row>
    <row r="428" ht="22.5" customHeight="1">
      <c r="A428" s="18">
        <v>519.0</v>
      </c>
      <c r="B428" s="18">
        <v>23.0</v>
      </c>
      <c r="C428" s="18">
        <v>8.0</v>
      </c>
      <c r="D428" s="18">
        <v>1.0</v>
      </c>
      <c r="F428" s="19" t="s">
        <v>46</v>
      </c>
    </row>
    <row r="429" ht="22.5" customHeight="1">
      <c r="A429" s="18">
        <v>520.0</v>
      </c>
      <c r="B429" s="18">
        <v>24.0</v>
      </c>
      <c r="C429" s="18">
        <v>8.0</v>
      </c>
      <c r="D429" s="18">
        <v>1.0</v>
      </c>
      <c r="F429" s="19" t="s">
        <v>46</v>
      </c>
    </row>
    <row r="430" ht="22.5" customHeight="1">
      <c r="A430" s="18">
        <v>521.0</v>
      </c>
      <c r="B430" s="18">
        <v>25.0</v>
      </c>
      <c r="C430" s="18">
        <v>8.0</v>
      </c>
      <c r="D430" s="18">
        <v>1.0</v>
      </c>
      <c r="F430" s="19" t="s">
        <v>46</v>
      </c>
    </row>
    <row r="431" ht="22.5" customHeight="1">
      <c r="A431" s="18">
        <v>522.0</v>
      </c>
      <c r="B431" s="18">
        <v>26.0</v>
      </c>
      <c r="C431" s="18">
        <v>8.0</v>
      </c>
      <c r="D431" s="18">
        <v>1.0</v>
      </c>
      <c r="F431" s="19" t="s">
        <v>46</v>
      </c>
    </row>
    <row r="432" ht="22.5" customHeight="1">
      <c r="A432" s="18">
        <v>523.0</v>
      </c>
      <c r="B432" s="18">
        <v>27.0</v>
      </c>
      <c r="C432" s="18">
        <v>8.0</v>
      </c>
      <c r="D432" s="18">
        <v>1.0</v>
      </c>
      <c r="F432" s="19" t="s">
        <v>46</v>
      </c>
    </row>
    <row r="433" ht="22.5" customHeight="1">
      <c r="A433" s="18">
        <v>524.0</v>
      </c>
      <c r="B433" s="18">
        <v>28.0</v>
      </c>
      <c r="C433" s="18">
        <v>8.0</v>
      </c>
      <c r="D433" s="18">
        <v>1.0</v>
      </c>
      <c r="F433" s="19" t="s">
        <v>46</v>
      </c>
    </row>
    <row r="434" ht="22.5" customHeight="1">
      <c r="A434" s="18">
        <v>525.0</v>
      </c>
      <c r="B434" s="18">
        <v>110.0</v>
      </c>
      <c r="C434" s="18">
        <v>8.0</v>
      </c>
      <c r="D434" s="18">
        <v>1.0</v>
      </c>
      <c r="E434" s="18" t="s">
        <v>723</v>
      </c>
      <c r="F434" s="19" t="s">
        <v>46</v>
      </c>
    </row>
    <row r="435" ht="22.5" customHeight="1">
      <c r="A435" s="18">
        <v>526.0</v>
      </c>
      <c r="B435" s="18">
        <v>29.0</v>
      </c>
      <c r="C435" s="18">
        <v>8.0</v>
      </c>
      <c r="D435" s="18">
        <v>1.0</v>
      </c>
      <c r="F435" s="19" t="s">
        <v>46</v>
      </c>
    </row>
    <row r="436" ht="22.5" customHeight="1">
      <c r="A436" s="18">
        <v>527.0</v>
      </c>
      <c r="B436" s="18">
        <v>31.0</v>
      </c>
      <c r="C436" s="18">
        <v>8.0</v>
      </c>
      <c r="D436" s="18">
        <v>1.0</v>
      </c>
      <c r="F436" s="19" t="s">
        <v>46</v>
      </c>
    </row>
    <row r="437" ht="22.5" customHeight="1">
      <c r="A437" s="18">
        <v>528.0</v>
      </c>
      <c r="B437" s="18">
        <v>32.0</v>
      </c>
      <c r="C437" s="18">
        <v>8.0</v>
      </c>
      <c r="D437" s="18">
        <v>1.0</v>
      </c>
      <c r="F437" s="19" t="s">
        <v>46</v>
      </c>
    </row>
    <row r="438" ht="22.5" customHeight="1">
      <c r="A438" s="18">
        <v>529.0</v>
      </c>
      <c r="B438" s="18">
        <v>33.0</v>
      </c>
      <c r="C438" s="18">
        <v>8.0</v>
      </c>
      <c r="D438" s="18">
        <v>1.0</v>
      </c>
      <c r="F438" s="19" t="s">
        <v>46</v>
      </c>
    </row>
    <row r="439" ht="22.5" customHeight="1">
      <c r="A439" s="18">
        <v>530.0</v>
      </c>
      <c r="B439" s="18">
        <v>34.0</v>
      </c>
      <c r="C439" s="18">
        <v>8.0</v>
      </c>
      <c r="D439" s="18">
        <v>1.0</v>
      </c>
      <c r="E439" s="18" t="s">
        <v>723</v>
      </c>
      <c r="F439" s="19" t="s">
        <v>46</v>
      </c>
    </row>
    <row r="440" ht="22.5" customHeight="1">
      <c r="A440" s="18">
        <v>531.0</v>
      </c>
      <c r="B440" s="18">
        <v>35.0</v>
      </c>
      <c r="C440" s="18">
        <v>8.0</v>
      </c>
      <c r="D440" s="18">
        <v>1.0</v>
      </c>
      <c r="E440" s="18" t="s">
        <v>723</v>
      </c>
      <c r="F440" s="19" t="s">
        <v>46</v>
      </c>
    </row>
    <row r="441" ht="22.5" customHeight="1">
      <c r="A441" s="18">
        <v>532.0</v>
      </c>
      <c r="B441" s="18">
        <v>36.0</v>
      </c>
      <c r="C441" s="18">
        <v>8.0</v>
      </c>
      <c r="D441" s="18">
        <v>1.0</v>
      </c>
      <c r="E441" s="18" t="s">
        <v>723</v>
      </c>
      <c r="F441" s="19" t="s">
        <v>46</v>
      </c>
    </row>
    <row r="442" ht="22.5" customHeight="1">
      <c r="A442" s="18">
        <v>533.0</v>
      </c>
      <c r="B442" s="18">
        <v>37.0</v>
      </c>
      <c r="C442" s="18">
        <v>8.0</v>
      </c>
      <c r="D442" s="18">
        <v>1.0</v>
      </c>
      <c r="E442" s="18" t="s">
        <v>723</v>
      </c>
      <c r="F442" s="19" t="s">
        <v>46</v>
      </c>
    </row>
    <row r="443" ht="22.5" customHeight="1">
      <c r="A443" s="18">
        <v>534.0</v>
      </c>
      <c r="B443" s="18">
        <v>38.0</v>
      </c>
      <c r="C443" s="18">
        <v>8.0</v>
      </c>
      <c r="D443" s="18">
        <v>1.0</v>
      </c>
      <c r="E443" s="18" t="s">
        <v>723</v>
      </c>
      <c r="F443" s="19" t="s">
        <v>46</v>
      </c>
    </row>
    <row r="444" ht="22.5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998</v>
      </c>
      <c r="F444" s="19" t="s">
        <v>46</v>
      </c>
    </row>
    <row r="445" ht="22.5" customHeight="1">
      <c r="A445" s="18">
        <v>536.0</v>
      </c>
      <c r="B445" s="18">
        <v>40.0</v>
      </c>
      <c r="C445" s="18">
        <v>8.0</v>
      </c>
      <c r="D445" s="18">
        <v>1.0</v>
      </c>
      <c r="E445" s="18" t="s">
        <v>723</v>
      </c>
      <c r="F445" s="19" t="s">
        <v>46</v>
      </c>
    </row>
    <row r="446" ht="22.5" customHeight="1">
      <c r="A446" s="18">
        <v>537.0</v>
      </c>
      <c r="B446" s="18">
        <v>41.0</v>
      </c>
      <c r="C446" s="18">
        <v>8.0</v>
      </c>
      <c r="D446" s="18">
        <v>1.0</v>
      </c>
      <c r="E446" s="18" t="s">
        <v>723</v>
      </c>
      <c r="F446" s="19" t="s">
        <v>46</v>
      </c>
    </row>
    <row r="447" ht="22.5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746</v>
      </c>
      <c r="F447" s="19" t="s">
        <v>46</v>
      </c>
    </row>
    <row r="448" ht="22.5" customHeight="1">
      <c r="A448" s="18">
        <v>539.0</v>
      </c>
      <c r="B448" s="18">
        <v>43.0</v>
      </c>
      <c r="C448" s="18">
        <v>8.0</v>
      </c>
      <c r="D448" s="18">
        <v>1.0</v>
      </c>
      <c r="E448" s="18" t="s">
        <v>723</v>
      </c>
      <c r="F448" s="19" t="s">
        <v>46</v>
      </c>
    </row>
    <row r="449" ht="22.5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755</v>
      </c>
      <c r="F449" s="19" t="s">
        <v>46</v>
      </c>
    </row>
    <row r="450" ht="22.5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755</v>
      </c>
      <c r="F450" s="19" t="s">
        <v>46</v>
      </c>
    </row>
    <row r="451" ht="22.5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755</v>
      </c>
      <c r="F451" s="19" t="s">
        <v>46</v>
      </c>
    </row>
    <row r="452" ht="22.5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755</v>
      </c>
      <c r="F452" s="19" t="s">
        <v>46</v>
      </c>
    </row>
    <row r="453" ht="22.5" customHeight="1">
      <c r="A453" s="18">
        <v>544.0</v>
      </c>
      <c r="B453" s="18">
        <v>46.0</v>
      </c>
      <c r="C453" s="18">
        <v>8.0</v>
      </c>
      <c r="D453" s="18">
        <v>1.0</v>
      </c>
      <c r="F453" s="19" t="s">
        <v>46</v>
      </c>
    </row>
    <row r="454" ht="22.5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753</v>
      </c>
      <c r="F454" s="19" t="s">
        <v>46</v>
      </c>
    </row>
    <row r="455" ht="22.5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755</v>
      </c>
      <c r="F455" s="19" t="s">
        <v>46</v>
      </c>
    </row>
    <row r="456" ht="22.5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755</v>
      </c>
      <c r="F456" s="19" t="s">
        <v>46</v>
      </c>
    </row>
    <row r="457" ht="22.5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746</v>
      </c>
      <c r="F457" s="19" t="s">
        <v>46</v>
      </c>
    </row>
    <row r="458" ht="22.5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821</v>
      </c>
      <c r="F458" s="19" t="s">
        <v>46</v>
      </c>
    </row>
    <row r="459" ht="22.5" customHeight="1">
      <c r="A459" s="18">
        <v>550.0</v>
      </c>
      <c r="B459" s="18">
        <v>54.0</v>
      </c>
      <c r="C459" s="18">
        <v>8.0</v>
      </c>
      <c r="D459" s="18">
        <v>1.0</v>
      </c>
      <c r="F459" s="19" t="s">
        <v>46</v>
      </c>
    </row>
    <row r="460" ht="22.5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753</v>
      </c>
      <c r="F460" s="19" t="s">
        <v>46</v>
      </c>
    </row>
    <row r="461" ht="22.5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753</v>
      </c>
      <c r="F461" s="19" t="s">
        <v>46</v>
      </c>
    </row>
    <row r="462" ht="22.5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753</v>
      </c>
      <c r="F462" s="19" t="s">
        <v>46</v>
      </c>
    </row>
    <row r="463" ht="22.5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753</v>
      </c>
      <c r="F463" s="19" t="s">
        <v>46</v>
      </c>
    </row>
    <row r="464" ht="22.5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753</v>
      </c>
      <c r="F464" s="19" t="s">
        <v>46</v>
      </c>
    </row>
    <row r="465" ht="22.5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753</v>
      </c>
      <c r="F465" s="19" t="s">
        <v>46</v>
      </c>
    </row>
    <row r="466" ht="22.5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753</v>
      </c>
      <c r="F466" s="19" t="s">
        <v>46</v>
      </c>
    </row>
    <row r="467" ht="22.5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755</v>
      </c>
      <c r="F467" s="19" t="s">
        <v>46</v>
      </c>
    </row>
    <row r="468" ht="22.5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779</v>
      </c>
      <c r="F468" s="19" t="s">
        <v>46</v>
      </c>
    </row>
    <row r="469" ht="22.5" customHeight="1">
      <c r="A469" s="18">
        <v>561.0</v>
      </c>
      <c r="B469" s="18">
        <v>64.0</v>
      </c>
      <c r="C469" s="18">
        <v>8.0</v>
      </c>
      <c r="D469" s="18">
        <v>1.0</v>
      </c>
      <c r="F469" s="19" t="s">
        <v>46</v>
      </c>
    </row>
    <row r="470" ht="22.5" customHeight="1">
      <c r="A470" s="18">
        <v>562.0</v>
      </c>
      <c r="B470" s="18">
        <v>65.0</v>
      </c>
      <c r="C470" s="18">
        <v>8.0</v>
      </c>
      <c r="D470" s="18">
        <v>1.0</v>
      </c>
      <c r="F470" s="19" t="s">
        <v>46</v>
      </c>
    </row>
    <row r="471" ht="22.5" customHeight="1">
      <c r="A471" s="18">
        <v>563.0</v>
      </c>
      <c r="B471" s="18">
        <v>111.0</v>
      </c>
      <c r="C471" s="18">
        <v>8.0</v>
      </c>
      <c r="D471" s="18">
        <v>1.0</v>
      </c>
      <c r="F471" s="19" t="s">
        <v>46</v>
      </c>
    </row>
    <row r="472" ht="22.5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785</v>
      </c>
      <c r="F472" s="19" t="s">
        <v>46</v>
      </c>
    </row>
    <row r="473" ht="22.5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785</v>
      </c>
      <c r="F473" s="19" t="s">
        <v>46</v>
      </c>
    </row>
    <row r="474" ht="22.5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755</v>
      </c>
      <c r="F474" s="19" t="s">
        <v>46</v>
      </c>
    </row>
    <row r="475" ht="22.5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755</v>
      </c>
      <c r="F475" s="19" t="s">
        <v>46</v>
      </c>
    </row>
    <row r="476" ht="22.5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795</v>
      </c>
      <c r="F476" s="19" t="s">
        <v>46</v>
      </c>
    </row>
    <row r="477" ht="22.5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795</v>
      </c>
      <c r="F477" s="19" t="s">
        <v>46</v>
      </c>
    </row>
    <row r="478" ht="22.5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795</v>
      </c>
      <c r="F478" s="19" t="s">
        <v>46</v>
      </c>
    </row>
    <row r="479" ht="22.5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795</v>
      </c>
      <c r="F479" s="19" t="s">
        <v>46</v>
      </c>
    </row>
    <row r="480" ht="22.5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795</v>
      </c>
      <c r="F480" s="19" t="s">
        <v>46</v>
      </c>
    </row>
    <row r="481" ht="22.5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795</v>
      </c>
      <c r="F481" s="19" t="s">
        <v>46</v>
      </c>
    </row>
    <row r="482" ht="22.5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795</v>
      </c>
      <c r="F482" s="19" t="s">
        <v>46</v>
      </c>
    </row>
    <row r="483" ht="22.5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795</v>
      </c>
      <c r="F483" s="19" t="s">
        <v>46</v>
      </c>
    </row>
    <row r="484" ht="22.5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795</v>
      </c>
      <c r="F484" s="19" t="s">
        <v>46</v>
      </c>
    </row>
    <row r="485" ht="22.5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795</v>
      </c>
      <c r="F485" s="19" t="s">
        <v>46</v>
      </c>
    </row>
    <row r="486" ht="22.5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795</v>
      </c>
      <c r="F486" s="19" t="s">
        <v>46</v>
      </c>
    </row>
    <row r="487" ht="22.5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795</v>
      </c>
      <c r="F487" s="19" t="s">
        <v>46</v>
      </c>
    </row>
    <row r="488" ht="22.5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1485</v>
      </c>
      <c r="F488" s="19" t="s">
        <v>46</v>
      </c>
    </row>
    <row r="489" ht="22.5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795</v>
      </c>
      <c r="F489" s="19" t="s">
        <v>46</v>
      </c>
    </row>
    <row r="490" ht="22.5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795</v>
      </c>
      <c r="F490" s="19" t="s">
        <v>46</v>
      </c>
    </row>
    <row r="491" ht="22.5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821</v>
      </c>
      <c r="F491" s="19" t="s">
        <v>46</v>
      </c>
    </row>
    <row r="492" ht="22.5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821</v>
      </c>
      <c r="F492" s="19" t="s">
        <v>46</v>
      </c>
    </row>
    <row r="493" ht="22.5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19" t="s">
        <v>46</v>
      </c>
    </row>
    <row r="494" ht="22.5" customHeight="1">
      <c r="A494" s="18">
        <v>586.0</v>
      </c>
      <c r="B494" s="18">
        <v>1.0</v>
      </c>
      <c r="C494" s="18">
        <v>9.0</v>
      </c>
      <c r="D494" s="18">
        <v>1.0</v>
      </c>
      <c r="F494" s="19" t="s">
        <v>46</v>
      </c>
    </row>
    <row r="495" ht="22.5" customHeight="1">
      <c r="A495" s="18">
        <v>587.0</v>
      </c>
      <c r="B495" s="18">
        <v>2.0</v>
      </c>
      <c r="C495" s="18">
        <v>9.0</v>
      </c>
      <c r="D495" s="18">
        <v>1.0</v>
      </c>
      <c r="F495" s="19" t="s">
        <v>46</v>
      </c>
    </row>
    <row r="496" ht="22.5" customHeight="1">
      <c r="A496" s="18">
        <v>588.0</v>
      </c>
      <c r="B496" s="18">
        <v>3.0</v>
      </c>
      <c r="C496" s="18">
        <v>9.0</v>
      </c>
      <c r="D496" s="18">
        <v>1.0</v>
      </c>
      <c r="F496" s="19" t="s">
        <v>46</v>
      </c>
    </row>
    <row r="497" ht="22.5" customHeight="1">
      <c r="A497" s="18">
        <v>589.0</v>
      </c>
      <c r="B497" s="18">
        <v>4.0</v>
      </c>
      <c r="C497" s="18">
        <v>9.0</v>
      </c>
      <c r="D497" s="18">
        <v>1.0</v>
      </c>
      <c r="F497" s="19" t="s">
        <v>46</v>
      </c>
    </row>
    <row r="498" ht="22.5" customHeight="1">
      <c r="A498" s="18">
        <v>590.0</v>
      </c>
      <c r="B498" s="18">
        <v>5.0</v>
      </c>
      <c r="C498" s="18">
        <v>9.0</v>
      </c>
      <c r="D498" s="18">
        <v>1.0</v>
      </c>
      <c r="F498" s="19" t="s">
        <v>46</v>
      </c>
    </row>
    <row r="499" ht="22.5" customHeight="1">
      <c r="A499" s="18">
        <v>591.0</v>
      </c>
      <c r="B499" s="18">
        <v>6.0</v>
      </c>
      <c r="C499" s="18">
        <v>9.0</v>
      </c>
      <c r="D499" s="18">
        <v>1.0</v>
      </c>
      <c r="F499" s="19" t="s">
        <v>46</v>
      </c>
    </row>
    <row r="500" ht="22.5" customHeight="1">
      <c r="A500" s="18">
        <v>592.0</v>
      </c>
      <c r="B500" s="18">
        <v>7.0</v>
      </c>
      <c r="C500" s="18">
        <v>9.0</v>
      </c>
      <c r="D500" s="18">
        <v>1.0</v>
      </c>
      <c r="F500" s="19" t="s">
        <v>46</v>
      </c>
    </row>
    <row r="501" ht="22.5" customHeight="1">
      <c r="A501" s="18">
        <v>593.0</v>
      </c>
      <c r="B501" s="18">
        <v>8.0</v>
      </c>
      <c r="C501" s="18">
        <v>9.0</v>
      </c>
      <c r="D501" s="18">
        <v>1.0</v>
      </c>
      <c r="F501" s="19" t="s">
        <v>46</v>
      </c>
    </row>
    <row r="502" ht="22.5" customHeight="1">
      <c r="A502" s="18">
        <v>594.0</v>
      </c>
      <c r="B502" s="18">
        <v>9.0</v>
      </c>
      <c r="C502" s="18">
        <v>9.0</v>
      </c>
      <c r="D502" s="18">
        <v>1.0</v>
      </c>
      <c r="F502" s="19" t="s">
        <v>46</v>
      </c>
    </row>
    <row r="503" ht="22.5" customHeight="1">
      <c r="A503" s="18">
        <v>595.0</v>
      </c>
      <c r="B503" s="18">
        <v>10.0</v>
      </c>
      <c r="C503" s="18">
        <v>9.0</v>
      </c>
      <c r="D503" s="18">
        <v>1.0</v>
      </c>
      <c r="F503" s="19" t="s">
        <v>46</v>
      </c>
    </row>
    <row r="504" ht="22.5" customHeight="1">
      <c r="A504" s="18">
        <v>596.0</v>
      </c>
      <c r="B504" s="18">
        <v>11.0</v>
      </c>
      <c r="C504" s="18">
        <v>9.0</v>
      </c>
      <c r="D504" s="18">
        <v>1.0</v>
      </c>
      <c r="F504" s="19" t="s">
        <v>46</v>
      </c>
    </row>
    <row r="505" ht="22.5" customHeight="1">
      <c r="A505" s="18">
        <v>597.0</v>
      </c>
      <c r="B505" s="18">
        <v>12.0</v>
      </c>
      <c r="C505" s="18">
        <v>9.0</v>
      </c>
      <c r="D505" s="18">
        <v>1.0</v>
      </c>
      <c r="F505" s="19" t="s">
        <v>46</v>
      </c>
    </row>
    <row r="506" ht="22.5" customHeight="1">
      <c r="A506" s="18">
        <v>598.0</v>
      </c>
      <c r="B506" s="18">
        <v>13.0</v>
      </c>
      <c r="C506" s="18">
        <v>9.0</v>
      </c>
      <c r="D506" s="18">
        <v>1.0</v>
      </c>
      <c r="F506" s="19" t="s">
        <v>46</v>
      </c>
    </row>
    <row r="507" ht="22.5" customHeight="1">
      <c r="A507" s="18">
        <v>599.0</v>
      </c>
      <c r="B507" s="18">
        <v>14.0</v>
      </c>
      <c r="C507" s="18">
        <v>9.0</v>
      </c>
      <c r="D507" s="18">
        <v>1.0</v>
      </c>
      <c r="F507" s="19" t="s">
        <v>46</v>
      </c>
    </row>
    <row r="508" ht="22.5" customHeight="1">
      <c r="A508" s="18">
        <v>600.0</v>
      </c>
      <c r="B508" s="18">
        <v>15.0</v>
      </c>
      <c r="C508" s="18">
        <v>9.0</v>
      </c>
      <c r="D508" s="18">
        <v>1.0</v>
      </c>
      <c r="F508" s="19" t="s">
        <v>46</v>
      </c>
    </row>
    <row r="509" ht="22.5" customHeight="1">
      <c r="A509" s="18">
        <v>601.0</v>
      </c>
      <c r="B509" s="18">
        <v>16.0</v>
      </c>
      <c r="C509" s="18">
        <v>9.0</v>
      </c>
      <c r="D509" s="18">
        <v>1.0</v>
      </c>
      <c r="F509" s="19" t="s">
        <v>46</v>
      </c>
    </row>
    <row r="510" ht="22.5" customHeight="1">
      <c r="A510" s="18">
        <v>602.0</v>
      </c>
      <c r="B510" s="18">
        <v>17.0</v>
      </c>
      <c r="C510" s="18">
        <v>9.0</v>
      </c>
      <c r="D510" s="18">
        <v>1.0</v>
      </c>
      <c r="F510" s="19" t="s">
        <v>46</v>
      </c>
    </row>
    <row r="511" ht="22.5" customHeight="1">
      <c r="A511" s="18">
        <v>603.0</v>
      </c>
      <c r="B511" s="18">
        <v>18.0</v>
      </c>
      <c r="C511" s="18">
        <v>9.0</v>
      </c>
      <c r="D511" s="18">
        <v>1.0</v>
      </c>
      <c r="F511" s="19" t="s">
        <v>46</v>
      </c>
    </row>
    <row r="512" ht="22.5" customHeight="1">
      <c r="A512" s="18">
        <v>604.0</v>
      </c>
      <c r="B512" s="18">
        <v>19.0</v>
      </c>
      <c r="C512" s="18">
        <v>9.0</v>
      </c>
      <c r="D512" s="18">
        <v>1.0</v>
      </c>
      <c r="F512" s="19" t="s">
        <v>46</v>
      </c>
    </row>
    <row r="513" ht="22.5" customHeight="1">
      <c r="A513" s="18">
        <v>605.0</v>
      </c>
      <c r="B513" s="18">
        <v>20.0</v>
      </c>
      <c r="C513" s="18">
        <v>9.0</v>
      </c>
      <c r="D513" s="18">
        <v>1.0</v>
      </c>
      <c r="F513" s="19" t="s">
        <v>46</v>
      </c>
    </row>
    <row r="514" ht="22.5" customHeight="1">
      <c r="A514" s="18">
        <v>606.0</v>
      </c>
      <c r="B514" s="18">
        <v>21.0</v>
      </c>
      <c r="C514" s="18">
        <v>9.0</v>
      </c>
      <c r="D514" s="18">
        <v>1.0</v>
      </c>
      <c r="F514" s="19" t="s">
        <v>46</v>
      </c>
    </row>
    <row r="515" ht="22.5" customHeight="1">
      <c r="A515" s="18">
        <v>607.0</v>
      </c>
      <c r="B515" s="18">
        <v>22.0</v>
      </c>
      <c r="C515" s="18">
        <v>9.0</v>
      </c>
      <c r="D515" s="18">
        <v>1.0</v>
      </c>
      <c r="F515" s="19" t="s">
        <v>46</v>
      </c>
    </row>
    <row r="516" ht="22.5" customHeight="1">
      <c r="A516" s="18">
        <v>608.0</v>
      </c>
      <c r="B516" s="18">
        <v>23.0</v>
      </c>
      <c r="C516" s="18">
        <v>9.0</v>
      </c>
      <c r="D516" s="18">
        <v>1.0</v>
      </c>
      <c r="F516" s="19" t="s">
        <v>46</v>
      </c>
    </row>
    <row r="517" ht="22.5" customHeight="1">
      <c r="A517" s="18">
        <v>609.0</v>
      </c>
      <c r="B517" s="18">
        <v>24.0</v>
      </c>
      <c r="C517" s="18">
        <v>9.0</v>
      </c>
      <c r="D517" s="18">
        <v>1.0</v>
      </c>
      <c r="F517" s="19" t="s">
        <v>46</v>
      </c>
    </row>
    <row r="518" ht="22.5" customHeight="1">
      <c r="A518" s="18">
        <v>610.0</v>
      </c>
      <c r="B518" s="18">
        <v>25.0</v>
      </c>
      <c r="C518" s="18">
        <v>9.0</v>
      </c>
      <c r="D518" s="18">
        <v>1.0</v>
      </c>
      <c r="F518" s="19" t="s">
        <v>46</v>
      </c>
    </row>
    <row r="519" ht="22.5" customHeight="1">
      <c r="A519" s="18">
        <v>611.0</v>
      </c>
      <c r="B519" s="18">
        <v>26.0</v>
      </c>
      <c r="C519" s="18">
        <v>9.0</v>
      </c>
      <c r="D519" s="18">
        <v>1.0</v>
      </c>
      <c r="F519" s="19" t="s">
        <v>46</v>
      </c>
    </row>
    <row r="520" ht="22.5" customHeight="1">
      <c r="A520" s="18">
        <v>612.0</v>
      </c>
      <c r="B520" s="18">
        <v>27.0</v>
      </c>
      <c r="C520" s="18">
        <v>9.0</v>
      </c>
      <c r="D520" s="18">
        <v>1.0</v>
      </c>
      <c r="F520" s="19" t="s">
        <v>46</v>
      </c>
    </row>
    <row r="521" ht="22.5" customHeight="1">
      <c r="A521" s="18">
        <v>613.0</v>
      </c>
      <c r="B521" s="18">
        <v>28.0</v>
      </c>
      <c r="C521" s="18">
        <v>9.0</v>
      </c>
      <c r="D521" s="18">
        <v>1.0</v>
      </c>
      <c r="F521" s="19" t="s">
        <v>46</v>
      </c>
    </row>
    <row r="522" ht="22.5" customHeight="1">
      <c r="A522" s="18">
        <v>614.0</v>
      </c>
      <c r="B522" s="18">
        <v>29.0</v>
      </c>
      <c r="C522" s="18">
        <v>9.0</v>
      </c>
      <c r="D522" s="18">
        <v>1.0</v>
      </c>
      <c r="F522" s="19" t="s">
        <v>46</v>
      </c>
    </row>
    <row r="523" ht="22.5" customHeight="1">
      <c r="A523" s="18">
        <v>616.0</v>
      </c>
      <c r="B523" s="18">
        <v>31.0</v>
      </c>
      <c r="C523" s="18">
        <v>9.0</v>
      </c>
      <c r="D523" s="18">
        <v>1.0</v>
      </c>
      <c r="F523" s="19" t="s">
        <v>46</v>
      </c>
    </row>
    <row r="524" ht="22.5" customHeight="1">
      <c r="A524" s="18">
        <v>617.0</v>
      </c>
      <c r="B524" s="18">
        <v>32.0</v>
      </c>
      <c r="C524" s="18">
        <v>9.0</v>
      </c>
      <c r="D524" s="18">
        <v>1.0</v>
      </c>
      <c r="F524" s="19" t="s">
        <v>46</v>
      </c>
    </row>
    <row r="525" ht="22.5" customHeight="1">
      <c r="A525" s="18">
        <v>618.0</v>
      </c>
      <c r="B525" s="18">
        <v>32.0</v>
      </c>
      <c r="C525" s="18">
        <v>9.0</v>
      </c>
      <c r="D525" s="18">
        <v>2.0</v>
      </c>
      <c r="F525" s="19" t="s">
        <v>46</v>
      </c>
    </row>
    <row r="526" ht="22.5" customHeight="1">
      <c r="A526" s="18">
        <v>619.0</v>
      </c>
      <c r="B526" s="18">
        <v>33.0</v>
      </c>
      <c r="C526" s="18">
        <v>9.0</v>
      </c>
      <c r="D526" s="18">
        <v>1.0</v>
      </c>
      <c r="F526" s="19" t="s">
        <v>46</v>
      </c>
    </row>
    <row r="527" ht="22.5" customHeight="1">
      <c r="A527" s="18">
        <v>620.0</v>
      </c>
      <c r="B527" s="18">
        <v>34.0</v>
      </c>
      <c r="C527" s="18">
        <v>9.0</v>
      </c>
      <c r="D527" s="18">
        <v>1.0</v>
      </c>
      <c r="E527" s="18" t="s">
        <v>723</v>
      </c>
      <c r="F527" s="19" t="s">
        <v>46</v>
      </c>
    </row>
    <row r="528" ht="22.5" customHeight="1">
      <c r="A528" s="18">
        <v>621.0</v>
      </c>
      <c r="B528" s="18">
        <v>35.0</v>
      </c>
      <c r="C528" s="18">
        <v>9.0</v>
      </c>
      <c r="D528" s="18">
        <v>1.0</v>
      </c>
      <c r="E528" s="18" t="s">
        <v>723</v>
      </c>
      <c r="F528" s="19" t="s">
        <v>46</v>
      </c>
    </row>
    <row r="529" ht="22.5" customHeight="1">
      <c r="A529" s="18">
        <v>622.0</v>
      </c>
      <c r="B529" s="18">
        <v>36.0</v>
      </c>
      <c r="C529" s="18">
        <v>9.0</v>
      </c>
      <c r="D529" s="18">
        <v>1.0</v>
      </c>
      <c r="E529" s="18" t="s">
        <v>723</v>
      </c>
      <c r="F529" s="19" t="s">
        <v>46</v>
      </c>
    </row>
    <row r="530" ht="22.5" customHeight="1">
      <c r="A530" s="18">
        <v>623.0</v>
      </c>
      <c r="B530" s="18">
        <v>37.0</v>
      </c>
      <c r="C530" s="18">
        <v>9.0</v>
      </c>
      <c r="D530" s="18">
        <v>1.0</v>
      </c>
      <c r="E530" s="18" t="s">
        <v>723</v>
      </c>
      <c r="F530" s="19" t="s">
        <v>46</v>
      </c>
    </row>
    <row r="531" ht="22.5" customHeight="1">
      <c r="A531" s="18">
        <v>624.0</v>
      </c>
      <c r="B531" s="18">
        <v>38.0</v>
      </c>
      <c r="C531" s="18">
        <v>9.0</v>
      </c>
      <c r="D531" s="18">
        <v>1.0</v>
      </c>
      <c r="E531" s="18" t="s">
        <v>723</v>
      </c>
      <c r="F531" s="19" t="s">
        <v>46</v>
      </c>
    </row>
    <row r="532" ht="22.5" customHeight="1">
      <c r="A532" s="18">
        <v>625.0</v>
      </c>
      <c r="B532" s="18">
        <v>40.0</v>
      </c>
      <c r="C532" s="18">
        <v>9.0</v>
      </c>
      <c r="D532" s="18">
        <v>1.0</v>
      </c>
      <c r="E532" s="18" t="s">
        <v>723</v>
      </c>
      <c r="F532" s="19" t="s">
        <v>46</v>
      </c>
    </row>
    <row r="533" ht="22.5" customHeight="1">
      <c r="A533" s="18">
        <v>626.0</v>
      </c>
      <c r="B533" s="18">
        <v>41.0</v>
      </c>
      <c r="C533" s="18">
        <v>9.0</v>
      </c>
      <c r="D533" s="18">
        <v>1.0</v>
      </c>
      <c r="E533" s="18" t="s">
        <v>723</v>
      </c>
      <c r="F533" s="19" t="s">
        <v>46</v>
      </c>
    </row>
    <row r="534" ht="22.5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746</v>
      </c>
      <c r="F534" s="19" t="s">
        <v>46</v>
      </c>
    </row>
    <row r="535" ht="22.5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753</v>
      </c>
      <c r="F535" s="19" t="s">
        <v>46</v>
      </c>
    </row>
    <row r="536" ht="22.5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753</v>
      </c>
      <c r="F536" s="19" t="s">
        <v>46</v>
      </c>
    </row>
    <row r="537" ht="22.5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753</v>
      </c>
      <c r="F537" s="19" t="s">
        <v>46</v>
      </c>
    </row>
    <row r="538" ht="22.5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753</v>
      </c>
      <c r="F538" s="19" t="s">
        <v>46</v>
      </c>
    </row>
    <row r="539" ht="22.5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779</v>
      </c>
      <c r="F539" s="19" t="s">
        <v>46</v>
      </c>
    </row>
    <row r="540" ht="22.5" customHeight="1">
      <c r="A540" s="18">
        <v>633.0</v>
      </c>
      <c r="B540" s="18">
        <v>64.0</v>
      </c>
      <c r="C540" s="18">
        <v>9.0</v>
      </c>
      <c r="D540" s="18">
        <v>1.0</v>
      </c>
      <c r="F540" s="19" t="s">
        <v>46</v>
      </c>
    </row>
    <row r="541" ht="22.5" customHeight="1">
      <c r="A541" s="18">
        <v>634.0</v>
      </c>
      <c r="B541" s="18">
        <v>65.0</v>
      </c>
      <c r="C541" s="18">
        <v>9.0</v>
      </c>
      <c r="D541" s="18">
        <v>2.0</v>
      </c>
      <c r="F541" s="19" t="s">
        <v>46</v>
      </c>
    </row>
    <row r="542" ht="22.5" customHeight="1">
      <c r="A542" s="18">
        <v>635.0</v>
      </c>
      <c r="B542" s="18">
        <v>111.0</v>
      </c>
      <c r="C542" s="18">
        <v>9.0</v>
      </c>
      <c r="D542" s="18">
        <v>2.0</v>
      </c>
      <c r="F542" s="19" t="s">
        <v>46</v>
      </c>
    </row>
    <row r="543" ht="22.5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785</v>
      </c>
      <c r="F543" s="19" t="s">
        <v>46</v>
      </c>
    </row>
    <row r="544" ht="22.5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785</v>
      </c>
      <c r="F544" s="19" t="s">
        <v>46</v>
      </c>
    </row>
    <row r="545" ht="22.5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795</v>
      </c>
      <c r="F545" s="19" t="s">
        <v>46</v>
      </c>
    </row>
    <row r="546" ht="22.5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795</v>
      </c>
      <c r="F546" s="19" t="s">
        <v>46</v>
      </c>
    </row>
    <row r="547" ht="22.5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795</v>
      </c>
      <c r="F547" s="19" t="s">
        <v>46</v>
      </c>
    </row>
    <row r="548" ht="22.5" customHeight="1">
      <c r="A548" s="18">
        <v>641.0</v>
      </c>
      <c r="B548" s="18">
        <v>1.0</v>
      </c>
      <c r="C548" s="18">
        <v>11.0</v>
      </c>
      <c r="D548" s="18">
        <v>1.0</v>
      </c>
      <c r="F548" s="19" t="s">
        <v>46</v>
      </c>
    </row>
    <row r="549" ht="22.5" customHeight="1">
      <c r="A549" s="18">
        <v>642.0</v>
      </c>
      <c r="B549" s="18">
        <v>2.0</v>
      </c>
      <c r="C549" s="18">
        <v>11.0</v>
      </c>
      <c r="D549" s="18">
        <v>1.0</v>
      </c>
      <c r="F549" s="19" t="s">
        <v>46</v>
      </c>
    </row>
    <row r="550" ht="22.5" customHeight="1">
      <c r="A550" s="18">
        <v>643.0</v>
      </c>
      <c r="B550" s="18">
        <v>3.0</v>
      </c>
      <c r="C550" s="18">
        <v>11.0</v>
      </c>
      <c r="D550" s="18">
        <v>1.0</v>
      </c>
      <c r="F550" s="19" t="s">
        <v>46</v>
      </c>
    </row>
    <row r="551" ht="22.5" customHeight="1">
      <c r="A551" s="18">
        <v>644.0</v>
      </c>
      <c r="B551" s="18">
        <v>4.0</v>
      </c>
      <c r="C551" s="18">
        <v>11.0</v>
      </c>
      <c r="D551" s="18">
        <v>1.0</v>
      </c>
      <c r="F551" s="19" t="s">
        <v>46</v>
      </c>
    </row>
    <row r="552" ht="22.5" customHeight="1">
      <c r="A552" s="18">
        <v>645.0</v>
      </c>
      <c r="B552" s="18">
        <v>5.0</v>
      </c>
      <c r="C552" s="18">
        <v>11.0</v>
      </c>
      <c r="D552" s="18">
        <v>1.0</v>
      </c>
      <c r="F552" s="19" t="s">
        <v>46</v>
      </c>
    </row>
    <row r="553" ht="22.5" customHeight="1">
      <c r="A553" s="18">
        <v>646.0</v>
      </c>
      <c r="B553" s="18">
        <v>6.0</v>
      </c>
      <c r="C553" s="18">
        <v>11.0</v>
      </c>
      <c r="D553" s="18">
        <v>1.0</v>
      </c>
      <c r="F553" s="19" t="s">
        <v>46</v>
      </c>
    </row>
    <row r="554" ht="22.5" customHeight="1">
      <c r="A554" s="18">
        <v>647.0</v>
      </c>
      <c r="B554" s="18">
        <v>7.0</v>
      </c>
      <c r="C554" s="18">
        <v>11.0</v>
      </c>
      <c r="D554" s="18">
        <v>1.0</v>
      </c>
      <c r="F554" s="19" t="s">
        <v>46</v>
      </c>
    </row>
    <row r="555" ht="22.5" customHeight="1">
      <c r="A555" s="18">
        <v>648.0</v>
      </c>
      <c r="B555" s="18">
        <v>8.0</v>
      </c>
      <c r="C555" s="18">
        <v>11.0</v>
      </c>
      <c r="D555" s="18">
        <v>1.0</v>
      </c>
      <c r="F555" s="19" t="s">
        <v>46</v>
      </c>
    </row>
    <row r="556" ht="22.5" customHeight="1">
      <c r="A556" s="18">
        <v>649.0</v>
      </c>
      <c r="B556" s="18">
        <v>9.0</v>
      </c>
      <c r="C556" s="18">
        <v>11.0</v>
      </c>
      <c r="D556" s="18">
        <v>1.0</v>
      </c>
      <c r="F556" s="19" t="s">
        <v>46</v>
      </c>
    </row>
    <row r="557" ht="22.5" customHeight="1">
      <c r="A557" s="18">
        <v>650.0</v>
      </c>
      <c r="B557" s="18">
        <v>10.0</v>
      </c>
      <c r="C557" s="18">
        <v>11.0</v>
      </c>
      <c r="D557" s="18">
        <v>1.0</v>
      </c>
      <c r="F557" s="19" t="s">
        <v>46</v>
      </c>
    </row>
    <row r="558" ht="22.5" customHeight="1">
      <c r="A558" s="18">
        <v>651.0</v>
      </c>
      <c r="B558" s="18">
        <v>11.0</v>
      </c>
      <c r="C558" s="18">
        <v>11.0</v>
      </c>
      <c r="D558" s="18">
        <v>1.0</v>
      </c>
      <c r="F558" s="19" t="s">
        <v>46</v>
      </c>
    </row>
    <row r="559" ht="22.5" customHeight="1">
      <c r="A559" s="18">
        <v>652.0</v>
      </c>
      <c r="B559" s="18">
        <v>12.0</v>
      </c>
      <c r="C559" s="18">
        <v>11.0</v>
      </c>
      <c r="D559" s="18">
        <v>1.0</v>
      </c>
      <c r="F559" s="19" t="s">
        <v>46</v>
      </c>
    </row>
    <row r="560" ht="22.5" customHeight="1">
      <c r="A560" s="18">
        <v>653.0</v>
      </c>
      <c r="B560" s="18">
        <v>13.0</v>
      </c>
      <c r="C560" s="18">
        <v>11.0</v>
      </c>
      <c r="D560" s="18">
        <v>1.0</v>
      </c>
      <c r="F560" s="19" t="s">
        <v>46</v>
      </c>
    </row>
    <row r="561" ht="22.5" customHeight="1">
      <c r="A561" s="18">
        <v>654.0</v>
      </c>
      <c r="B561" s="18">
        <v>14.0</v>
      </c>
      <c r="C561" s="18">
        <v>11.0</v>
      </c>
      <c r="D561" s="18">
        <v>1.0</v>
      </c>
      <c r="F561" s="19" t="s">
        <v>46</v>
      </c>
    </row>
    <row r="562" ht="22.5" customHeight="1">
      <c r="A562" s="18">
        <v>655.0</v>
      </c>
      <c r="B562" s="18">
        <v>15.0</v>
      </c>
      <c r="C562" s="18">
        <v>11.0</v>
      </c>
      <c r="D562" s="18">
        <v>1.0</v>
      </c>
      <c r="F562" s="19" t="s">
        <v>46</v>
      </c>
    </row>
    <row r="563" ht="22.5" customHeight="1">
      <c r="A563" s="18">
        <v>656.0</v>
      </c>
      <c r="B563" s="18">
        <v>16.0</v>
      </c>
      <c r="C563" s="18">
        <v>11.0</v>
      </c>
      <c r="D563" s="18">
        <v>1.0</v>
      </c>
      <c r="F563" s="19" t="s">
        <v>46</v>
      </c>
    </row>
    <row r="564" ht="22.5" customHeight="1">
      <c r="A564" s="18">
        <v>657.0</v>
      </c>
      <c r="B564" s="18">
        <v>17.0</v>
      </c>
      <c r="C564" s="18">
        <v>11.0</v>
      </c>
      <c r="D564" s="18">
        <v>1.0</v>
      </c>
      <c r="F564" s="19" t="s">
        <v>46</v>
      </c>
    </row>
    <row r="565" ht="22.5" customHeight="1">
      <c r="A565" s="18">
        <v>658.0</v>
      </c>
      <c r="B565" s="18">
        <v>18.0</v>
      </c>
      <c r="C565" s="18">
        <v>11.0</v>
      </c>
      <c r="D565" s="18">
        <v>1.0</v>
      </c>
      <c r="F565" s="19" t="s">
        <v>46</v>
      </c>
    </row>
    <row r="566" ht="22.5" customHeight="1">
      <c r="A566" s="18">
        <v>659.0</v>
      </c>
      <c r="B566" s="18">
        <v>19.0</v>
      </c>
      <c r="C566" s="18">
        <v>11.0</v>
      </c>
      <c r="D566" s="18">
        <v>1.0</v>
      </c>
      <c r="F566" s="19" t="s">
        <v>46</v>
      </c>
    </row>
    <row r="567" ht="22.5" customHeight="1">
      <c r="A567" s="18">
        <v>660.0</v>
      </c>
      <c r="B567" s="18">
        <v>20.0</v>
      </c>
      <c r="C567" s="18">
        <v>11.0</v>
      </c>
      <c r="D567" s="18">
        <v>1.0</v>
      </c>
      <c r="F567" s="19" t="s">
        <v>46</v>
      </c>
    </row>
    <row r="568" ht="22.5" customHeight="1">
      <c r="A568" s="18">
        <v>661.0</v>
      </c>
      <c r="B568" s="18">
        <v>21.0</v>
      </c>
      <c r="C568" s="18">
        <v>11.0</v>
      </c>
      <c r="D568" s="18">
        <v>1.0</v>
      </c>
      <c r="F568" s="19" t="s">
        <v>46</v>
      </c>
    </row>
    <row r="569" ht="22.5" customHeight="1">
      <c r="A569" s="18">
        <v>662.0</v>
      </c>
      <c r="B569" s="18">
        <v>22.0</v>
      </c>
      <c r="C569" s="18">
        <v>11.0</v>
      </c>
      <c r="D569" s="18">
        <v>1.0</v>
      </c>
      <c r="F569" s="19" t="s">
        <v>46</v>
      </c>
    </row>
    <row r="570" ht="22.5" customHeight="1">
      <c r="A570" s="18">
        <v>663.0</v>
      </c>
      <c r="B570" s="18">
        <v>23.0</v>
      </c>
      <c r="C570" s="18">
        <v>11.0</v>
      </c>
      <c r="D570" s="18">
        <v>1.0</v>
      </c>
      <c r="F570" s="19" t="s">
        <v>46</v>
      </c>
    </row>
    <row r="571" ht="22.5" customHeight="1">
      <c r="A571" s="18">
        <v>664.0</v>
      </c>
      <c r="B571" s="18">
        <v>24.0</v>
      </c>
      <c r="C571" s="18">
        <v>11.0</v>
      </c>
      <c r="D571" s="18">
        <v>1.0</v>
      </c>
      <c r="F571" s="19" t="s">
        <v>46</v>
      </c>
    </row>
    <row r="572" ht="22.5" customHeight="1">
      <c r="A572" s="18">
        <v>665.0</v>
      </c>
      <c r="B572" s="18">
        <v>25.0</v>
      </c>
      <c r="C572" s="18">
        <v>11.0</v>
      </c>
      <c r="D572" s="18">
        <v>1.0</v>
      </c>
      <c r="F572" s="19" t="s">
        <v>46</v>
      </c>
    </row>
    <row r="573" ht="22.5" customHeight="1">
      <c r="A573" s="18">
        <v>666.0</v>
      </c>
      <c r="B573" s="18">
        <v>26.0</v>
      </c>
      <c r="C573" s="18">
        <v>11.0</v>
      </c>
      <c r="D573" s="18">
        <v>1.0</v>
      </c>
      <c r="F573" s="19" t="s">
        <v>46</v>
      </c>
    </row>
    <row r="574" ht="22.5" customHeight="1">
      <c r="A574" s="18">
        <v>667.0</v>
      </c>
      <c r="B574" s="18">
        <v>27.0</v>
      </c>
      <c r="C574" s="18">
        <v>11.0</v>
      </c>
      <c r="D574" s="18">
        <v>1.0</v>
      </c>
      <c r="F574" s="19" t="s">
        <v>46</v>
      </c>
    </row>
    <row r="575" ht="22.5" customHeight="1">
      <c r="A575" s="18">
        <v>668.0</v>
      </c>
      <c r="B575" s="18">
        <v>28.0</v>
      </c>
      <c r="C575" s="18">
        <v>11.0</v>
      </c>
      <c r="D575" s="18">
        <v>1.0</v>
      </c>
      <c r="F575" s="19" t="s">
        <v>46</v>
      </c>
    </row>
    <row r="576" ht="22.5" customHeight="1">
      <c r="A576" s="18">
        <v>669.0</v>
      </c>
      <c r="B576" s="18">
        <v>29.0</v>
      </c>
      <c r="C576" s="18">
        <v>11.0</v>
      </c>
      <c r="D576" s="18">
        <v>1.0</v>
      </c>
      <c r="F576" s="19" t="s">
        <v>46</v>
      </c>
    </row>
    <row r="577" ht="22.5" customHeight="1">
      <c r="A577" s="18">
        <v>670.0</v>
      </c>
      <c r="B577" s="18">
        <v>31.0</v>
      </c>
      <c r="C577" s="18">
        <v>11.0</v>
      </c>
      <c r="D577" s="18">
        <v>1.0</v>
      </c>
      <c r="F577" s="19" t="s">
        <v>46</v>
      </c>
    </row>
    <row r="578" ht="22.5" customHeight="1">
      <c r="A578" s="18">
        <v>671.0</v>
      </c>
      <c r="B578" s="18">
        <v>32.0</v>
      </c>
      <c r="C578" s="18">
        <v>11.0</v>
      </c>
      <c r="D578" s="18">
        <v>1.0</v>
      </c>
      <c r="F578" s="19" t="s">
        <v>46</v>
      </c>
    </row>
    <row r="579" ht="22.5" customHeight="1">
      <c r="A579" s="18">
        <v>672.0</v>
      </c>
      <c r="B579" s="18">
        <v>33.0</v>
      </c>
      <c r="C579" s="18">
        <v>11.0</v>
      </c>
      <c r="D579" s="18">
        <v>1.0</v>
      </c>
      <c r="F579" s="19" t="s">
        <v>46</v>
      </c>
    </row>
    <row r="580" ht="22.5" customHeight="1">
      <c r="A580" s="18">
        <v>673.0</v>
      </c>
      <c r="B580" s="18">
        <v>34.0</v>
      </c>
      <c r="C580" s="18">
        <v>11.0</v>
      </c>
      <c r="D580" s="18">
        <v>1.0</v>
      </c>
      <c r="E580" s="18" t="s">
        <v>723</v>
      </c>
      <c r="F580" s="19" t="s">
        <v>46</v>
      </c>
    </row>
    <row r="581" ht="22.5" customHeight="1">
      <c r="A581" s="18">
        <v>674.0</v>
      </c>
      <c r="B581" s="18">
        <v>35.0</v>
      </c>
      <c r="C581" s="18">
        <v>11.0</v>
      </c>
      <c r="D581" s="18">
        <v>1.0</v>
      </c>
      <c r="E581" s="18" t="s">
        <v>723</v>
      </c>
      <c r="F581" s="19" t="s">
        <v>46</v>
      </c>
    </row>
    <row r="582" ht="22.5" customHeight="1">
      <c r="A582" s="18">
        <v>675.0</v>
      </c>
      <c r="B582" s="18">
        <v>36.0</v>
      </c>
      <c r="C582" s="18">
        <v>11.0</v>
      </c>
      <c r="D582" s="18">
        <v>1.0</v>
      </c>
      <c r="E582" s="18" t="s">
        <v>723</v>
      </c>
      <c r="F582" s="19" t="s">
        <v>46</v>
      </c>
    </row>
    <row r="583" ht="22.5" customHeight="1">
      <c r="A583" s="18">
        <v>676.0</v>
      </c>
      <c r="B583" s="18">
        <v>37.0</v>
      </c>
      <c r="C583" s="18">
        <v>11.0</v>
      </c>
      <c r="D583" s="18">
        <v>1.0</v>
      </c>
      <c r="E583" s="18" t="s">
        <v>723</v>
      </c>
      <c r="F583" s="19" t="s">
        <v>46</v>
      </c>
    </row>
    <row r="584" ht="22.5" customHeight="1">
      <c r="A584" s="18">
        <v>677.0</v>
      </c>
      <c r="B584" s="18">
        <v>38.0</v>
      </c>
      <c r="C584" s="18">
        <v>11.0</v>
      </c>
      <c r="D584" s="18">
        <v>1.0</v>
      </c>
      <c r="E584" s="18" t="s">
        <v>723</v>
      </c>
      <c r="F584" s="19" t="s">
        <v>46</v>
      </c>
    </row>
    <row r="585" ht="22.5" customHeight="1">
      <c r="A585" s="18">
        <v>678.0</v>
      </c>
      <c r="B585" s="18">
        <v>40.0</v>
      </c>
      <c r="C585" s="18">
        <v>11.0</v>
      </c>
      <c r="D585" s="18">
        <v>1.0</v>
      </c>
      <c r="E585" s="18" t="s">
        <v>723</v>
      </c>
      <c r="F585" s="19" t="s">
        <v>46</v>
      </c>
    </row>
    <row r="586" ht="22.5" customHeight="1">
      <c r="A586" s="18">
        <v>679.0</v>
      </c>
      <c r="B586" s="18">
        <v>41.0</v>
      </c>
      <c r="C586" s="18">
        <v>11.0</v>
      </c>
      <c r="D586" s="18">
        <v>1.0</v>
      </c>
      <c r="E586" s="18" t="s">
        <v>723</v>
      </c>
      <c r="F586" s="19" t="s">
        <v>46</v>
      </c>
    </row>
    <row r="587" ht="22.5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746</v>
      </c>
      <c r="F587" s="19" t="s">
        <v>46</v>
      </c>
    </row>
    <row r="588" ht="22.5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779</v>
      </c>
      <c r="F588" s="19" t="s">
        <v>46</v>
      </c>
    </row>
    <row r="589" ht="22.5" customHeight="1">
      <c r="A589" s="18">
        <v>682.0</v>
      </c>
      <c r="B589" s="18">
        <v>64.0</v>
      </c>
      <c r="C589" s="18">
        <v>11.0</v>
      </c>
      <c r="D589" s="18">
        <v>2.0</v>
      </c>
      <c r="F589" s="19" t="s">
        <v>46</v>
      </c>
    </row>
    <row r="590" ht="22.5" customHeight="1">
      <c r="A590" s="18">
        <v>683.0</v>
      </c>
      <c r="B590" s="18">
        <v>65.0</v>
      </c>
      <c r="C590" s="18">
        <v>11.0</v>
      </c>
      <c r="D590" s="18">
        <v>2.0</v>
      </c>
      <c r="F590" s="19" t="s">
        <v>46</v>
      </c>
    </row>
    <row r="591" ht="22.5" customHeight="1">
      <c r="A591" s="18">
        <v>684.0</v>
      </c>
      <c r="B591" s="18">
        <v>111.0</v>
      </c>
      <c r="C591" s="18">
        <v>11.0</v>
      </c>
      <c r="D591" s="18">
        <v>2.0</v>
      </c>
      <c r="F591" s="19" t="s">
        <v>46</v>
      </c>
    </row>
    <row r="592" ht="22.5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785</v>
      </c>
      <c r="F592" s="19" t="s">
        <v>46</v>
      </c>
    </row>
    <row r="593" ht="22.5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785</v>
      </c>
      <c r="F593" s="19" t="s">
        <v>46</v>
      </c>
    </row>
    <row r="594" ht="22.5" customHeight="1">
      <c r="A594" s="18">
        <v>687.0</v>
      </c>
      <c r="B594" s="18">
        <v>1.0</v>
      </c>
      <c r="C594" s="18">
        <v>12.0</v>
      </c>
      <c r="D594" s="18">
        <v>1.0</v>
      </c>
      <c r="F594" s="19" t="s">
        <v>46</v>
      </c>
    </row>
    <row r="595" ht="22.5" customHeight="1">
      <c r="A595" s="18">
        <v>688.0</v>
      </c>
      <c r="B595" s="18">
        <v>2.0</v>
      </c>
      <c r="C595" s="18">
        <v>12.0</v>
      </c>
      <c r="D595" s="18">
        <v>1.0</v>
      </c>
      <c r="F595" s="19" t="s">
        <v>46</v>
      </c>
    </row>
    <row r="596" ht="22.5" customHeight="1">
      <c r="A596" s="18">
        <v>689.0</v>
      </c>
      <c r="B596" s="18">
        <v>3.0</v>
      </c>
      <c r="C596" s="18">
        <v>12.0</v>
      </c>
      <c r="D596" s="18">
        <v>1.0</v>
      </c>
      <c r="F596" s="19" t="s">
        <v>46</v>
      </c>
    </row>
    <row r="597" ht="22.5" customHeight="1">
      <c r="A597" s="18">
        <v>690.0</v>
      </c>
      <c r="B597" s="18">
        <v>4.0</v>
      </c>
      <c r="C597" s="18">
        <v>12.0</v>
      </c>
      <c r="D597" s="18">
        <v>1.0</v>
      </c>
      <c r="F597" s="19" t="s">
        <v>46</v>
      </c>
    </row>
    <row r="598" ht="22.5" customHeight="1">
      <c r="A598" s="18">
        <v>691.0</v>
      </c>
      <c r="B598" s="18">
        <v>5.0</v>
      </c>
      <c r="C598" s="18">
        <v>12.0</v>
      </c>
      <c r="D598" s="18">
        <v>1.0</v>
      </c>
      <c r="F598" s="19" t="s">
        <v>46</v>
      </c>
    </row>
    <row r="599" ht="22.5" customHeight="1">
      <c r="A599" s="18">
        <v>692.0</v>
      </c>
      <c r="B599" s="18">
        <v>6.0</v>
      </c>
      <c r="C599" s="18">
        <v>12.0</v>
      </c>
      <c r="D599" s="18">
        <v>1.0</v>
      </c>
      <c r="F599" s="19" t="s">
        <v>46</v>
      </c>
    </row>
    <row r="600" ht="22.5" customHeight="1">
      <c r="A600" s="18">
        <v>693.0</v>
      </c>
      <c r="B600" s="18">
        <v>7.0</v>
      </c>
      <c r="C600" s="18">
        <v>12.0</v>
      </c>
      <c r="D600" s="18">
        <v>1.0</v>
      </c>
      <c r="F600" s="19" t="s">
        <v>46</v>
      </c>
    </row>
    <row r="601" ht="22.5" customHeight="1">
      <c r="A601" s="18">
        <v>694.0</v>
      </c>
      <c r="B601" s="18">
        <v>8.0</v>
      </c>
      <c r="C601" s="18">
        <v>12.0</v>
      </c>
      <c r="D601" s="18">
        <v>1.0</v>
      </c>
      <c r="F601" s="19" t="s">
        <v>46</v>
      </c>
    </row>
    <row r="602" ht="22.5" customHeight="1">
      <c r="A602" s="18">
        <v>695.0</v>
      </c>
      <c r="B602" s="18">
        <v>9.0</v>
      </c>
      <c r="C602" s="18">
        <v>12.0</v>
      </c>
      <c r="D602" s="18">
        <v>1.0</v>
      </c>
      <c r="F602" s="19" t="s">
        <v>46</v>
      </c>
    </row>
    <row r="603" ht="22.5" customHeight="1">
      <c r="A603" s="18">
        <v>696.0</v>
      </c>
      <c r="B603" s="18">
        <v>10.0</v>
      </c>
      <c r="C603" s="18">
        <v>12.0</v>
      </c>
      <c r="D603" s="18">
        <v>1.0</v>
      </c>
      <c r="F603" s="19" t="s">
        <v>46</v>
      </c>
    </row>
    <row r="604" ht="22.5" customHeight="1">
      <c r="A604" s="18">
        <v>697.0</v>
      </c>
      <c r="B604" s="18">
        <v>11.0</v>
      </c>
      <c r="C604" s="18">
        <v>12.0</v>
      </c>
      <c r="D604" s="18">
        <v>1.0</v>
      </c>
      <c r="F604" s="19" t="s">
        <v>46</v>
      </c>
    </row>
    <row r="605" ht="22.5" customHeight="1">
      <c r="A605" s="18">
        <v>698.0</v>
      </c>
      <c r="B605" s="18">
        <v>12.0</v>
      </c>
      <c r="C605" s="18">
        <v>12.0</v>
      </c>
      <c r="D605" s="18">
        <v>1.0</v>
      </c>
      <c r="F605" s="19" t="s">
        <v>46</v>
      </c>
    </row>
    <row r="606" ht="22.5" customHeight="1">
      <c r="A606" s="18">
        <v>699.0</v>
      </c>
      <c r="B606" s="18">
        <v>13.0</v>
      </c>
      <c r="C606" s="18">
        <v>12.0</v>
      </c>
      <c r="D606" s="18">
        <v>1.0</v>
      </c>
      <c r="F606" s="19" t="s">
        <v>46</v>
      </c>
    </row>
    <row r="607" ht="22.5" customHeight="1">
      <c r="A607" s="18">
        <v>700.0</v>
      </c>
      <c r="B607" s="18">
        <v>14.0</v>
      </c>
      <c r="C607" s="18">
        <v>12.0</v>
      </c>
      <c r="D607" s="18">
        <v>1.0</v>
      </c>
      <c r="F607" s="19" t="s">
        <v>46</v>
      </c>
    </row>
    <row r="608" ht="22.5" customHeight="1">
      <c r="A608" s="18">
        <v>701.0</v>
      </c>
      <c r="B608" s="18">
        <v>15.0</v>
      </c>
      <c r="C608" s="18">
        <v>12.0</v>
      </c>
      <c r="D608" s="18">
        <v>1.0</v>
      </c>
      <c r="F608" s="19" t="s">
        <v>46</v>
      </c>
    </row>
    <row r="609" ht="22.5" customHeight="1">
      <c r="A609" s="18">
        <v>702.0</v>
      </c>
      <c r="B609" s="18">
        <v>16.0</v>
      </c>
      <c r="C609" s="18">
        <v>12.0</v>
      </c>
      <c r="D609" s="18">
        <v>1.0</v>
      </c>
      <c r="F609" s="19" t="s">
        <v>46</v>
      </c>
    </row>
    <row r="610" ht="22.5" customHeight="1">
      <c r="A610" s="18">
        <v>703.0</v>
      </c>
      <c r="B610" s="18">
        <v>17.0</v>
      </c>
      <c r="C610" s="18">
        <v>12.0</v>
      </c>
      <c r="D610" s="18">
        <v>1.0</v>
      </c>
      <c r="F610" s="19" t="s">
        <v>46</v>
      </c>
    </row>
    <row r="611" ht="22.5" customHeight="1">
      <c r="A611" s="18">
        <v>704.0</v>
      </c>
      <c r="B611" s="18">
        <v>18.0</v>
      </c>
      <c r="C611" s="18">
        <v>12.0</v>
      </c>
      <c r="D611" s="18">
        <v>1.0</v>
      </c>
      <c r="F611" s="19" t="s">
        <v>46</v>
      </c>
    </row>
    <row r="612" ht="22.5" customHeight="1">
      <c r="A612" s="18">
        <v>705.0</v>
      </c>
      <c r="B612" s="18">
        <v>19.0</v>
      </c>
      <c r="C612" s="18">
        <v>12.0</v>
      </c>
      <c r="D612" s="18">
        <v>1.0</v>
      </c>
      <c r="F612" s="19" t="s">
        <v>46</v>
      </c>
    </row>
    <row r="613" ht="22.5" customHeight="1">
      <c r="A613" s="18">
        <v>706.0</v>
      </c>
      <c r="B613" s="18">
        <v>20.0</v>
      </c>
      <c r="C613" s="18">
        <v>12.0</v>
      </c>
      <c r="D613" s="18">
        <v>1.0</v>
      </c>
      <c r="F613" s="19" t="s">
        <v>46</v>
      </c>
    </row>
    <row r="614" ht="22.5" customHeight="1">
      <c r="A614" s="18">
        <v>707.0</v>
      </c>
      <c r="B614" s="18">
        <v>21.0</v>
      </c>
      <c r="C614" s="18">
        <v>12.0</v>
      </c>
      <c r="D614" s="18">
        <v>1.0</v>
      </c>
      <c r="F614" s="19" t="s">
        <v>46</v>
      </c>
    </row>
    <row r="615" ht="22.5" customHeight="1">
      <c r="A615" s="18">
        <v>708.0</v>
      </c>
      <c r="B615" s="18">
        <v>22.0</v>
      </c>
      <c r="C615" s="18">
        <v>12.0</v>
      </c>
      <c r="D615" s="18">
        <v>1.0</v>
      </c>
      <c r="F615" s="19" t="s">
        <v>46</v>
      </c>
    </row>
    <row r="616" ht="22.5" customHeight="1">
      <c r="A616" s="18">
        <v>709.0</v>
      </c>
      <c r="B616" s="18">
        <v>23.0</v>
      </c>
      <c r="C616" s="18">
        <v>12.0</v>
      </c>
      <c r="D616" s="18">
        <v>1.0</v>
      </c>
      <c r="F616" s="19" t="s">
        <v>46</v>
      </c>
    </row>
    <row r="617" ht="22.5" customHeight="1">
      <c r="A617" s="18">
        <v>710.0</v>
      </c>
      <c r="B617" s="18">
        <v>24.0</v>
      </c>
      <c r="C617" s="18">
        <v>12.0</v>
      </c>
      <c r="D617" s="18">
        <v>1.0</v>
      </c>
      <c r="F617" s="19" t="s">
        <v>46</v>
      </c>
    </row>
    <row r="618" ht="22.5" customHeight="1">
      <c r="A618" s="18">
        <v>711.0</v>
      </c>
      <c r="B618" s="18">
        <v>25.0</v>
      </c>
      <c r="C618" s="18">
        <v>12.0</v>
      </c>
      <c r="D618" s="18">
        <v>1.0</v>
      </c>
      <c r="F618" s="19" t="s">
        <v>46</v>
      </c>
    </row>
    <row r="619" ht="22.5" customHeight="1">
      <c r="A619" s="18">
        <v>712.0</v>
      </c>
      <c r="B619" s="18">
        <v>26.0</v>
      </c>
      <c r="C619" s="18">
        <v>12.0</v>
      </c>
      <c r="D619" s="18">
        <v>1.0</v>
      </c>
      <c r="F619" s="19" t="s">
        <v>46</v>
      </c>
    </row>
    <row r="620" ht="22.5" customHeight="1">
      <c r="A620" s="18">
        <v>713.0</v>
      </c>
      <c r="B620" s="18">
        <v>27.0</v>
      </c>
      <c r="C620" s="18">
        <v>12.0</v>
      </c>
      <c r="D620" s="18">
        <v>1.0</v>
      </c>
      <c r="F620" s="19" t="s">
        <v>46</v>
      </c>
    </row>
    <row r="621" ht="22.5" customHeight="1">
      <c r="A621" s="18">
        <v>714.0</v>
      </c>
      <c r="B621" s="18">
        <v>28.0</v>
      </c>
      <c r="C621" s="18">
        <v>12.0</v>
      </c>
      <c r="D621" s="18">
        <v>1.0</v>
      </c>
      <c r="F621" s="19" t="s">
        <v>46</v>
      </c>
    </row>
    <row r="622" ht="22.5" customHeight="1">
      <c r="A622" s="18">
        <v>715.0</v>
      </c>
      <c r="B622" s="18">
        <v>110.0</v>
      </c>
      <c r="C622" s="18">
        <v>12.0</v>
      </c>
      <c r="D622" s="18">
        <v>1.0</v>
      </c>
      <c r="E622" s="18" t="s">
        <v>723</v>
      </c>
      <c r="F622" s="19" t="s">
        <v>46</v>
      </c>
    </row>
    <row r="623" ht="22.5" customHeight="1">
      <c r="A623" s="18">
        <v>716.0</v>
      </c>
      <c r="B623" s="18">
        <v>29.0</v>
      </c>
      <c r="C623" s="18">
        <v>12.0</v>
      </c>
      <c r="D623" s="18">
        <v>1.0</v>
      </c>
      <c r="F623" s="19" t="s">
        <v>46</v>
      </c>
    </row>
    <row r="624" ht="22.5" customHeight="1">
      <c r="A624" s="18">
        <v>717.0</v>
      </c>
      <c r="B624" s="18">
        <v>31.0</v>
      </c>
      <c r="C624" s="18">
        <v>12.0</v>
      </c>
      <c r="D624" s="18">
        <v>1.0</v>
      </c>
      <c r="F624" s="19" t="s">
        <v>46</v>
      </c>
    </row>
    <row r="625" ht="22.5" customHeight="1">
      <c r="A625" s="18">
        <v>718.0</v>
      </c>
      <c r="B625" s="18">
        <v>32.0</v>
      </c>
      <c r="C625" s="18">
        <v>12.0</v>
      </c>
      <c r="D625" s="18">
        <v>1.0</v>
      </c>
      <c r="F625" s="19" t="s">
        <v>46</v>
      </c>
    </row>
    <row r="626" ht="22.5" customHeight="1">
      <c r="A626" s="18">
        <v>719.0</v>
      </c>
      <c r="B626" s="18">
        <v>33.0</v>
      </c>
      <c r="C626" s="18">
        <v>12.0</v>
      </c>
      <c r="D626" s="18">
        <v>1.0</v>
      </c>
      <c r="F626" s="19" t="s">
        <v>46</v>
      </c>
    </row>
    <row r="627" ht="22.5" customHeight="1">
      <c r="A627" s="18">
        <v>720.0</v>
      </c>
      <c r="B627" s="18">
        <v>34.0</v>
      </c>
      <c r="C627" s="18">
        <v>12.0</v>
      </c>
      <c r="D627" s="18">
        <v>1.0</v>
      </c>
      <c r="E627" s="18" t="s">
        <v>723</v>
      </c>
      <c r="F627" s="19" t="s">
        <v>46</v>
      </c>
    </row>
    <row r="628" ht="22.5" customHeight="1">
      <c r="A628" s="18">
        <v>721.0</v>
      </c>
      <c r="B628" s="18">
        <v>35.0</v>
      </c>
      <c r="C628" s="18">
        <v>12.0</v>
      </c>
      <c r="D628" s="18">
        <v>1.0</v>
      </c>
      <c r="E628" s="18" t="s">
        <v>723</v>
      </c>
      <c r="F628" s="19" t="s">
        <v>46</v>
      </c>
    </row>
    <row r="629" ht="22.5" customHeight="1">
      <c r="A629" s="18">
        <v>722.0</v>
      </c>
      <c r="B629" s="18">
        <v>36.0</v>
      </c>
      <c r="C629" s="18">
        <v>12.0</v>
      </c>
      <c r="D629" s="18">
        <v>1.0</v>
      </c>
      <c r="E629" s="18" t="s">
        <v>723</v>
      </c>
      <c r="F629" s="19" t="s">
        <v>46</v>
      </c>
    </row>
    <row r="630" ht="22.5" customHeight="1">
      <c r="A630" s="18">
        <v>723.0</v>
      </c>
      <c r="B630" s="18">
        <v>37.0</v>
      </c>
      <c r="C630" s="18">
        <v>12.0</v>
      </c>
      <c r="D630" s="18">
        <v>1.0</v>
      </c>
      <c r="E630" s="18" t="s">
        <v>723</v>
      </c>
      <c r="F630" s="19" t="s">
        <v>46</v>
      </c>
    </row>
    <row r="631" ht="22.5" customHeight="1">
      <c r="A631" s="18">
        <v>724.0</v>
      </c>
      <c r="B631" s="18">
        <v>38.0</v>
      </c>
      <c r="C631" s="18">
        <v>12.0</v>
      </c>
      <c r="D631" s="18">
        <v>1.0</v>
      </c>
      <c r="E631" s="18" t="s">
        <v>723</v>
      </c>
      <c r="F631" s="19" t="s">
        <v>46</v>
      </c>
    </row>
    <row r="632" ht="22.5" customHeight="1">
      <c r="A632" s="18">
        <v>726.0</v>
      </c>
      <c r="B632" s="18">
        <v>41.0</v>
      </c>
      <c r="C632" s="18">
        <v>12.0</v>
      </c>
      <c r="D632" s="18">
        <v>1.0</v>
      </c>
      <c r="E632" s="18" t="s">
        <v>723</v>
      </c>
      <c r="F632" s="19" t="s">
        <v>46</v>
      </c>
    </row>
    <row r="633" ht="22.5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746</v>
      </c>
      <c r="F633" s="19" t="s">
        <v>46</v>
      </c>
    </row>
    <row r="634" ht="22.5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779</v>
      </c>
      <c r="F634" s="19" t="s">
        <v>46</v>
      </c>
    </row>
    <row r="635" ht="22.5" customHeight="1">
      <c r="A635" s="18">
        <v>729.0</v>
      </c>
      <c r="B635" s="18">
        <v>64.0</v>
      </c>
      <c r="C635" s="18">
        <v>12.0</v>
      </c>
      <c r="D635" s="18">
        <v>1.0</v>
      </c>
      <c r="F635" s="19" t="s">
        <v>46</v>
      </c>
    </row>
    <row r="636" ht="22.5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785</v>
      </c>
      <c r="F636" s="19" t="s">
        <v>46</v>
      </c>
    </row>
    <row r="637" ht="22.5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785</v>
      </c>
      <c r="F637" s="19" t="s">
        <v>46</v>
      </c>
    </row>
    <row r="638" ht="22.5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795</v>
      </c>
      <c r="F638" s="19" t="s">
        <v>46</v>
      </c>
    </row>
    <row r="639" ht="22.5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1489</v>
      </c>
      <c r="F639" s="19" t="s">
        <v>46</v>
      </c>
    </row>
    <row r="640" ht="22.5" customHeight="1">
      <c r="A640" s="18">
        <v>734.0</v>
      </c>
      <c r="B640" s="18">
        <v>78.0</v>
      </c>
      <c r="C640" s="18">
        <v>12.0</v>
      </c>
      <c r="D640" s="18">
        <v>1.0</v>
      </c>
      <c r="E640" s="18" t="s">
        <v>1489</v>
      </c>
      <c r="F640" s="19" t="s">
        <v>46</v>
      </c>
    </row>
    <row r="641" ht="22.5" customHeight="1">
      <c r="A641" s="18">
        <v>735.0</v>
      </c>
      <c r="B641" s="18">
        <v>80.0</v>
      </c>
      <c r="C641" s="18">
        <v>12.0</v>
      </c>
      <c r="D641" s="18">
        <v>1.0</v>
      </c>
      <c r="E641" s="18" t="s">
        <v>1489</v>
      </c>
      <c r="F641" s="19" t="s">
        <v>46</v>
      </c>
    </row>
    <row r="642" ht="22.5" customHeight="1">
      <c r="A642" s="18">
        <v>736.0</v>
      </c>
      <c r="B642" s="18">
        <v>1.0</v>
      </c>
      <c r="C642" s="18">
        <v>13.0</v>
      </c>
      <c r="D642" s="18">
        <v>1.0</v>
      </c>
      <c r="F642" s="19" t="s">
        <v>46</v>
      </c>
    </row>
    <row r="643" ht="22.5" customHeight="1">
      <c r="A643" s="18">
        <v>737.0</v>
      </c>
      <c r="B643" s="18">
        <v>2.0</v>
      </c>
      <c r="C643" s="18">
        <v>13.0</v>
      </c>
      <c r="D643" s="18">
        <v>2.0</v>
      </c>
      <c r="F643" s="19" t="s">
        <v>46</v>
      </c>
    </row>
    <row r="644" ht="22.5" customHeight="1">
      <c r="A644" s="18">
        <v>738.0</v>
      </c>
      <c r="B644" s="18">
        <v>3.0</v>
      </c>
      <c r="C644" s="18">
        <v>13.0</v>
      </c>
      <c r="D644" s="18">
        <v>1.0</v>
      </c>
      <c r="F644" s="19" t="s">
        <v>46</v>
      </c>
    </row>
    <row r="645" ht="22.5" customHeight="1">
      <c r="A645" s="18">
        <v>739.0</v>
      </c>
      <c r="B645" s="18">
        <v>4.0</v>
      </c>
      <c r="C645" s="18">
        <v>13.0</v>
      </c>
      <c r="D645" s="18">
        <v>1.0</v>
      </c>
      <c r="F645" s="19" t="s">
        <v>46</v>
      </c>
    </row>
    <row r="646" ht="22.5" customHeight="1">
      <c r="A646" s="18">
        <v>740.0</v>
      </c>
      <c r="B646" s="18">
        <v>5.0</v>
      </c>
      <c r="C646" s="18">
        <v>13.0</v>
      </c>
      <c r="D646" s="18">
        <v>2.0</v>
      </c>
      <c r="F646" s="19" t="s">
        <v>46</v>
      </c>
    </row>
    <row r="647" ht="22.5" customHeight="1">
      <c r="A647" s="18">
        <v>741.0</v>
      </c>
      <c r="B647" s="18">
        <v>6.0</v>
      </c>
      <c r="C647" s="18">
        <v>13.0</v>
      </c>
      <c r="D647" s="18">
        <v>1.0</v>
      </c>
      <c r="F647" s="19" t="s">
        <v>46</v>
      </c>
    </row>
    <row r="648" ht="22.5" customHeight="1">
      <c r="A648" s="18">
        <v>742.0</v>
      </c>
      <c r="B648" s="18">
        <v>7.0</v>
      </c>
      <c r="C648" s="18">
        <v>13.0</v>
      </c>
      <c r="D648" s="18">
        <v>1.0</v>
      </c>
      <c r="F648" s="19" t="s">
        <v>46</v>
      </c>
    </row>
    <row r="649" ht="22.5" customHeight="1">
      <c r="A649" s="18">
        <v>743.0</v>
      </c>
      <c r="B649" s="18">
        <v>8.0</v>
      </c>
      <c r="C649" s="18">
        <v>13.0</v>
      </c>
      <c r="D649" s="18">
        <v>1.0</v>
      </c>
      <c r="F649" s="19" t="s">
        <v>46</v>
      </c>
    </row>
    <row r="650" ht="22.5" customHeight="1">
      <c r="A650" s="18">
        <v>744.0</v>
      </c>
      <c r="B650" s="18">
        <v>9.0</v>
      </c>
      <c r="C650" s="18">
        <v>13.0</v>
      </c>
      <c r="D650" s="18">
        <v>1.0</v>
      </c>
      <c r="F650" s="19" t="s">
        <v>46</v>
      </c>
    </row>
    <row r="651" ht="22.5" customHeight="1">
      <c r="A651" s="18">
        <v>745.0</v>
      </c>
      <c r="B651" s="18">
        <v>10.0</v>
      </c>
      <c r="C651" s="18">
        <v>13.0</v>
      </c>
      <c r="D651" s="18">
        <v>1.0</v>
      </c>
      <c r="F651" s="19" t="s">
        <v>46</v>
      </c>
    </row>
    <row r="652" ht="22.5" customHeight="1">
      <c r="A652" s="18">
        <v>746.0</v>
      </c>
      <c r="B652" s="18">
        <v>11.0</v>
      </c>
      <c r="C652" s="18">
        <v>13.0</v>
      </c>
      <c r="D652" s="18">
        <v>1.0</v>
      </c>
      <c r="F652" s="19" t="s">
        <v>46</v>
      </c>
    </row>
    <row r="653" ht="22.5" customHeight="1">
      <c r="A653" s="18">
        <v>747.0</v>
      </c>
      <c r="B653" s="18">
        <v>12.0</v>
      </c>
      <c r="C653" s="18">
        <v>13.0</v>
      </c>
      <c r="D653" s="18">
        <v>1.0</v>
      </c>
      <c r="F653" s="19" t="s">
        <v>46</v>
      </c>
    </row>
    <row r="654" ht="22.5" customHeight="1">
      <c r="A654" s="18">
        <v>748.0</v>
      </c>
      <c r="B654" s="18">
        <v>13.0</v>
      </c>
      <c r="C654" s="18">
        <v>13.0</v>
      </c>
      <c r="D654" s="18">
        <v>1.0</v>
      </c>
      <c r="F654" s="19" t="s">
        <v>46</v>
      </c>
    </row>
    <row r="655" ht="22.5" customHeight="1">
      <c r="A655" s="18">
        <v>749.0</v>
      </c>
      <c r="B655" s="18">
        <v>14.0</v>
      </c>
      <c r="C655" s="18">
        <v>13.0</v>
      </c>
      <c r="D655" s="18">
        <v>1.0</v>
      </c>
      <c r="F655" s="19" t="s">
        <v>46</v>
      </c>
    </row>
    <row r="656" ht="22.5" customHeight="1">
      <c r="A656" s="18">
        <v>750.0</v>
      </c>
      <c r="B656" s="18">
        <v>15.0</v>
      </c>
      <c r="C656" s="18">
        <v>13.0</v>
      </c>
      <c r="D656" s="18">
        <v>1.0</v>
      </c>
      <c r="F656" s="19" t="s">
        <v>46</v>
      </c>
    </row>
    <row r="657" ht="22.5" customHeight="1">
      <c r="A657" s="18">
        <v>751.0</v>
      </c>
      <c r="B657" s="18">
        <v>16.0</v>
      </c>
      <c r="C657" s="18">
        <v>13.0</v>
      </c>
      <c r="D657" s="18">
        <v>1.0</v>
      </c>
      <c r="F657" s="19" t="s">
        <v>46</v>
      </c>
    </row>
    <row r="658" ht="22.5" customHeight="1">
      <c r="A658" s="18">
        <v>752.0</v>
      </c>
      <c r="B658" s="18">
        <v>17.0</v>
      </c>
      <c r="C658" s="18">
        <v>13.0</v>
      </c>
      <c r="D658" s="18">
        <v>1.0</v>
      </c>
      <c r="F658" s="19" t="s">
        <v>46</v>
      </c>
    </row>
    <row r="659" ht="22.5" customHeight="1">
      <c r="A659" s="18">
        <v>753.0</v>
      </c>
      <c r="B659" s="18">
        <v>18.0</v>
      </c>
      <c r="C659" s="18">
        <v>13.0</v>
      </c>
      <c r="D659" s="18">
        <v>1.0</v>
      </c>
      <c r="F659" s="19" t="s">
        <v>46</v>
      </c>
    </row>
    <row r="660" ht="22.5" customHeight="1">
      <c r="A660" s="18">
        <v>754.0</v>
      </c>
      <c r="B660" s="18">
        <v>19.0</v>
      </c>
      <c r="C660" s="18">
        <v>13.0</v>
      </c>
      <c r="D660" s="18">
        <v>1.0</v>
      </c>
      <c r="F660" s="19" t="s">
        <v>46</v>
      </c>
    </row>
    <row r="661" ht="22.5" customHeight="1">
      <c r="A661" s="18">
        <v>755.0</v>
      </c>
      <c r="B661" s="18">
        <v>20.0</v>
      </c>
      <c r="C661" s="18">
        <v>13.0</v>
      </c>
      <c r="D661" s="18">
        <v>1.0</v>
      </c>
      <c r="F661" s="19" t="s">
        <v>46</v>
      </c>
    </row>
    <row r="662" ht="22.5" customHeight="1">
      <c r="A662" s="18">
        <v>756.0</v>
      </c>
      <c r="B662" s="18">
        <v>21.0</v>
      </c>
      <c r="C662" s="18">
        <v>13.0</v>
      </c>
      <c r="D662" s="18">
        <v>1.0</v>
      </c>
      <c r="F662" s="19" t="s">
        <v>46</v>
      </c>
    </row>
    <row r="663" ht="22.5" customHeight="1">
      <c r="A663" s="18">
        <v>757.0</v>
      </c>
      <c r="B663" s="18">
        <v>22.0</v>
      </c>
      <c r="C663" s="18">
        <v>13.0</v>
      </c>
      <c r="D663" s="18">
        <v>1.0</v>
      </c>
      <c r="F663" s="19" t="s">
        <v>46</v>
      </c>
    </row>
    <row r="664" ht="22.5" customHeight="1">
      <c r="A664" s="18">
        <v>758.0</v>
      </c>
      <c r="B664" s="18">
        <v>23.0</v>
      </c>
      <c r="C664" s="18">
        <v>13.0</v>
      </c>
      <c r="D664" s="18">
        <v>1.0</v>
      </c>
      <c r="F664" s="19" t="s">
        <v>46</v>
      </c>
    </row>
    <row r="665" ht="22.5" customHeight="1">
      <c r="A665" s="18">
        <v>759.0</v>
      </c>
      <c r="B665" s="18">
        <v>24.0</v>
      </c>
      <c r="C665" s="18">
        <v>13.0</v>
      </c>
      <c r="D665" s="18">
        <v>1.0</v>
      </c>
      <c r="F665" s="19" t="s">
        <v>46</v>
      </c>
    </row>
    <row r="666" ht="22.5" customHeight="1">
      <c r="A666" s="18">
        <v>760.0</v>
      </c>
      <c r="B666" s="18">
        <v>25.0</v>
      </c>
      <c r="C666" s="18">
        <v>13.0</v>
      </c>
      <c r="D666" s="18">
        <v>1.0</v>
      </c>
      <c r="F666" s="19" t="s">
        <v>46</v>
      </c>
    </row>
    <row r="667" ht="22.5" customHeight="1">
      <c r="A667" s="18">
        <v>761.0</v>
      </c>
      <c r="B667" s="18">
        <v>26.0</v>
      </c>
      <c r="C667" s="18">
        <v>13.0</v>
      </c>
      <c r="D667" s="18">
        <v>1.0</v>
      </c>
      <c r="F667" s="19" t="s">
        <v>46</v>
      </c>
    </row>
    <row r="668" ht="22.5" customHeight="1">
      <c r="A668" s="18">
        <v>762.0</v>
      </c>
      <c r="B668" s="18">
        <v>27.0</v>
      </c>
      <c r="C668" s="18">
        <v>13.0</v>
      </c>
      <c r="D668" s="18">
        <v>1.0</v>
      </c>
      <c r="F668" s="19" t="s">
        <v>46</v>
      </c>
    </row>
    <row r="669" ht="22.5" customHeight="1">
      <c r="A669" s="18">
        <v>763.0</v>
      </c>
      <c r="B669" s="18">
        <v>28.0</v>
      </c>
      <c r="C669" s="18">
        <v>13.0</v>
      </c>
      <c r="D669" s="18">
        <v>1.0</v>
      </c>
      <c r="F669" s="19" t="s">
        <v>46</v>
      </c>
    </row>
    <row r="670" ht="22.5" customHeight="1">
      <c r="A670" s="18">
        <v>764.0</v>
      </c>
      <c r="B670" s="18">
        <v>30.0</v>
      </c>
      <c r="C670" s="18">
        <v>13.0</v>
      </c>
      <c r="D670" s="18">
        <v>2.0</v>
      </c>
      <c r="F670" s="19" t="s">
        <v>46</v>
      </c>
    </row>
    <row r="671" ht="22.5" customHeight="1">
      <c r="A671" s="18">
        <v>765.0</v>
      </c>
      <c r="B671" s="18">
        <v>31.0</v>
      </c>
      <c r="C671" s="18">
        <v>13.0</v>
      </c>
      <c r="D671" s="18">
        <v>1.0</v>
      </c>
      <c r="F671" s="19" t="s">
        <v>46</v>
      </c>
    </row>
    <row r="672" ht="22.5" customHeight="1">
      <c r="A672" s="18">
        <v>766.0</v>
      </c>
      <c r="B672" s="18">
        <v>33.0</v>
      </c>
      <c r="C672" s="18">
        <v>13.0</v>
      </c>
      <c r="D672" s="18">
        <v>1.0</v>
      </c>
      <c r="F672" s="19" t="s">
        <v>46</v>
      </c>
    </row>
    <row r="673" ht="22.5" customHeight="1">
      <c r="A673" s="18">
        <v>767.0</v>
      </c>
      <c r="B673" s="18">
        <v>34.0</v>
      </c>
      <c r="C673" s="18">
        <v>13.0</v>
      </c>
      <c r="D673" s="18">
        <v>1.0</v>
      </c>
      <c r="E673" s="18" t="s">
        <v>723</v>
      </c>
      <c r="F673" s="19" t="s">
        <v>46</v>
      </c>
    </row>
    <row r="674" ht="22.5" customHeight="1">
      <c r="A674" s="18">
        <v>768.0</v>
      </c>
      <c r="B674" s="18">
        <v>35.0</v>
      </c>
      <c r="C674" s="18">
        <v>13.0</v>
      </c>
      <c r="D674" s="18">
        <v>1.0</v>
      </c>
      <c r="E674" s="18" t="s">
        <v>723</v>
      </c>
      <c r="F674" s="19" t="s">
        <v>46</v>
      </c>
    </row>
    <row r="675" ht="22.5" customHeight="1">
      <c r="A675" s="18">
        <v>769.0</v>
      </c>
      <c r="B675" s="18">
        <v>36.0</v>
      </c>
      <c r="C675" s="18">
        <v>13.0</v>
      </c>
      <c r="D675" s="18">
        <v>1.0</v>
      </c>
      <c r="E675" s="18" t="s">
        <v>723</v>
      </c>
      <c r="F675" s="19" t="s">
        <v>46</v>
      </c>
    </row>
    <row r="676" ht="22.5" customHeight="1">
      <c r="A676" s="18">
        <v>770.0</v>
      </c>
      <c r="B676" s="18">
        <v>37.0</v>
      </c>
      <c r="C676" s="18">
        <v>13.0</v>
      </c>
      <c r="D676" s="18">
        <v>1.0</v>
      </c>
      <c r="E676" s="18" t="s">
        <v>723</v>
      </c>
      <c r="F676" s="19" t="s">
        <v>46</v>
      </c>
    </row>
    <row r="677" ht="22.5" customHeight="1">
      <c r="A677" s="18">
        <v>771.0</v>
      </c>
      <c r="B677" s="18">
        <v>38.0</v>
      </c>
      <c r="C677" s="18">
        <v>13.0</v>
      </c>
      <c r="D677" s="18">
        <v>1.0</v>
      </c>
      <c r="E677" s="18" t="s">
        <v>723</v>
      </c>
      <c r="F677" s="19" t="s">
        <v>46</v>
      </c>
    </row>
    <row r="678" ht="22.5" customHeight="1">
      <c r="A678" s="18">
        <v>772.0</v>
      </c>
      <c r="B678" s="18">
        <v>40.0</v>
      </c>
      <c r="C678" s="18">
        <v>13.0</v>
      </c>
      <c r="D678" s="18">
        <v>1.0</v>
      </c>
      <c r="E678" s="18" t="s">
        <v>723</v>
      </c>
      <c r="F678" s="19" t="s">
        <v>46</v>
      </c>
    </row>
    <row r="679" ht="22.5" customHeight="1">
      <c r="A679" s="18">
        <v>773.0</v>
      </c>
      <c r="B679" s="18">
        <v>41.0</v>
      </c>
      <c r="C679" s="18">
        <v>13.0</v>
      </c>
      <c r="D679" s="18">
        <v>1.0</v>
      </c>
      <c r="E679" s="18" t="s">
        <v>723</v>
      </c>
      <c r="F679" s="19" t="s">
        <v>46</v>
      </c>
    </row>
    <row r="680" ht="22.5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746</v>
      </c>
      <c r="F680" s="19" t="s">
        <v>46</v>
      </c>
    </row>
    <row r="681" ht="22.5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1492</v>
      </c>
      <c r="F681" s="19" t="s">
        <v>46</v>
      </c>
    </row>
    <row r="682" ht="22.5" customHeight="1">
      <c r="A682" s="18">
        <v>776.0</v>
      </c>
      <c r="B682" s="18">
        <v>64.0</v>
      </c>
      <c r="C682" s="18">
        <v>13.0</v>
      </c>
      <c r="D682" s="18">
        <v>2.0</v>
      </c>
      <c r="F682" s="19" t="s">
        <v>46</v>
      </c>
    </row>
    <row r="683" ht="22.5" customHeight="1">
      <c r="A683" s="18">
        <v>777.0</v>
      </c>
      <c r="B683" s="18">
        <v>65.0</v>
      </c>
      <c r="C683" s="18">
        <v>13.0</v>
      </c>
      <c r="D683" s="18">
        <v>2.0</v>
      </c>
      <c r="F683" s="19" t="s">
        <v>46</v>
      </c>
    </row>
    <row r="684" ht="22.5" customHeight="1">
      <c r="A684" s="18">
        <v>778.0</v>
      </c>
      <c r="B684" s="18">
        <v>111.0</v>
      </c>
      <c r="C684" s="18">
        <v>13.0</v>
      </c>
      <c r="D684" s="18">
        <v>2.0</v>
      </c>
      <c r="F684" s="19" t="s">
        <v>46</v>
      </c>
    </row>
    <row r="685" ht="22.5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1492</v>
      </c>
      <c r="F685" s="19" t="s">
        <v>46</v>
      </c>
    </row>
    <row r="686" ht="22.5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1492</v>
      </c>
      <c r="F686" s="19" t="s">
        <v>46</v>
      </c>
    </row>
    <row r="687" ht="22.5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755</v>
      </c>
      <c r="F687" s="19" t="s">
        <v>46</v>
      </c>
    </row>
    <row r="688" ht="22.5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755</v>
      </c>
      <c r="F688" s="19" t="s">
        <v>46</v>
      </c>
    </row>
    <row r="689" ht="22.5" customHeight="1">
      <c r="A689" s="18">
        <v>783.0</v>
      </c>
      <c r="B689" s="18">
        <v>70.0</v>
      </c>
      <c r="C689" s="18">
        <v>13.0</v>
      </c>
      <c r="D689" s="18">
        <v>1.0</v>
      </c>
      <c r="E689" s="18" t="s">
        <v>723</v>
      </c>
      <c r="F689" s="19" t="s">
        <v>46</v>
      </c>
    </row>
    <row r="690" ht="22.5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795</v>
      </c>
      <c r="F690" s="19" t="s">
        <v>46</v>
      </c>
    </row>
    <row r="691" ht="22.5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795</v>
      </c>
      <c r="F691" s="19" t="s">
        <v>46</v>
      </c>
    </row>
    <row r="692" ht="22.5" customHeight="1">
      <c r="A692" s="18">
        <v>786.0</v>
      </c>
      <c r="B692" s="18">
        <v>74.0</v>
      </c>
      <c r="C692" s="18">
        <v>13.0</v>
      </c>
      <c r="D692" s="18">
        <v>2.0</v>
      </c>
      <c r="E692" s="18" t="s">
        <v>723</v>
      </c>
      <c r="F692" s="19" t="s">
        <v>46</v>
      </c>
    </row>
    <row r="693" ht="22.5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795</v>
      </c>
      <c r="F693" s="19" t="s">
        <v>46</v>
      </c>
    </row>
    <row r="694" ht="22.5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795</v>
      </c>
      <c r="F694" s="19" t="s">
        <v>46</v>
      </c>
    </row>
    <row r="695" ht="22.5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795</v>
      </c>
      <c r="F695" s="19" t="s">
        <v>46</v>
      </c>
    </row>
    <row r="696" ht="22.5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795</v>
      </c>
      <c r="F696" s="19" t="s">
        <v>46</v>
      </c>
    </row>
    <row r="697" ht="22.5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795</v>
      </c>
      <c r="F697" s="19" t="s">
        <v>46</v>
      </c>
    </row>
    <row r="698" ht="22.5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795</v>
      </c>
      <c r="F698" s="19" t="s">
        <v>46</v>
      </c>
    </row>
    <row r="699" ht="22.5" customHeight="1">
      <c r="A699" s="18">
        <v>793.0</v>
      </c>
      <c r="B699" s="18">
        <v>1.0</v>
      </c>
      <c r="C699" s="18">
        <v>14.0</v>
      </c>
      <c r="D699" s="18">
        <v>1.0</v>
      </c>
      <c r="F699" s="19" t="s">
        <v>46</v>
      </c>
    </row>
    <row r="700" ht="22.5" customHeight="1">
      <c r="A700" s="18">
        <v>794.0</v>
      </c>
      <c r="B700" s="18">
        <v>2.0</v>
      </c>
      <c r="C700" s="18">
        <v>14.0</v>
      </c>
      <c r="D700" s="18">
        <v>1.0</v>
      </c>
      <c r="F700" s="19" t="s">
        <v>46</v>
      </c>
    </row>
    <row r="701" ht="22.5" customHeight="1">
      <c r="A701" s="18">
        <v>795.0</v>
      </c>
      <c r="B701" s="18">
        <v>3.0</v>
      </c>
      <c r="C701" s="18">
        <v>14.0</v>
      </c>
      <c r="D701" s="18">
        <v>1.0</v>
      </c>
      <c r="F701" s="19" t="s">
        <v>46</v>
      </c>
    </row>
    <row r="702" ht="22.5" customHeight="1">
      <c r="A702" s="18">
        <v>796.0</v>
      </c>
      <c r="B702" s="18">
        <v>4.0</v>
      </c>
      <c r="C702" s="18">
        <v>14.0</v>
      </c>
      <c r="D702" s="18">
        <v>1.0</v>
      </c>
      <c r="F702" s="19" t="s">
        <v>46</v>
      </c>
    </row>
    <row r="703" ht="22.5" customHeight="1">
      <c r="A703" s="18">
        <v>797.0</v>
      </c>
      <c r="B703" s="18">
        <v>5.0</v>
      </c>
      <c r="C703" s="18">
        <v>14.0</v>
      </c>
      <c r="D703" s="18">
        <v>1.0</v>
      </c>
      <c r="F703" s="19" t="s">
        <v>46</v>
      </c>
    </row>
    <row r="704" ht="22.5" customHeight="1">
      <c r="A704" s="18">
        <v>798.0</v>
      </c>
      <c r="B704" s="18">
        <v>6.0</v>
      </c>
      <c r="C704" s="18">
        <v>14.0</v>
      </c>
      <c r="D704" s="18">
        <v>1.0</v>
      </c>
      <c r="F704" s="19" t="s">
        <v>46</v>
      </c>
    </row>
    <row r="705" ht="22.5" customHeight="1">
      <c r="A705" s="18">
        <v>799.0</v>
      </c>
      <c r="B705" s="18">
        <v>7.0</v>
      </c>
      <c r="C705" s="18">
        <v>14.0</v>
      </c>
      <c r="D705" s="18">
        <v>1.0</v>
      </c>
      <c r="F705" s="19" t="s">
        <v>46</v>
      </c>
    </row>
    <row r="706" ht="22.5" customHeight="1">
      <c r="A706" s="18">
        <v>800.0</v>
      </c>
      <c r="B706" s="18">
        <v>8.0</v>
      </c>
      <c r="C706" s="18">
        <v>14.0</v>
      </c>
      <c r="D706" s="18">
        <v>1.0</v>
      </c>
      <c r="F706" s="19" t="s">
        <v>46</v>
      </c>
    </row>
    <row r="707" ht="22.5" customHeight="1">
      <c r="A707" s="18">
        <v>801.0</v>
      </c>
      <c r="B707" s="18">
        <v>9.0</v>
      </c>
      <c r="C707" s="18">
        <v>14.0</v>
      </c>
      <c r="D707" s="18">
        <v>1.0</v>
      </c>
      <c r="F707" s="19" t="s">
        <v>46</v>
      </c>
    </row>
    <row r="708" ht="22.5" customHeight="1">
      <c r="A708" s="18">
        <v>802.0</v>
      </c>
      <c r="B708" s="18">
        <v>10.0</v>
      </c>
      <c r="C708" s="18">
        <v>14.0</v>
      </c>
      <c r="D708" s="18">
        <v>1.0</v>
      </c>
      <c r="F708" s="19" t="s">
        <v>46</v>
      </c>
    </row>
    <row r="709" ht="22.5" customHeight="1">
      <c r="A709" s="18">
        <v>803.0</v>
      </c>
      <c r="B709" s="18">
        <v>11.0</v>
      </c>
      <c r="C709" s="18">
        <v>14.0</v>
      </c>
      <c r="D709" s="18">
        <v>1.0</v>
      </c>
      <c r="F709" s="19" t="s">
        <v>46</v>
      </c>
    </row>
    <row r="710" ht="22.5" customHeight="1">
      <c r="A710" s="18">
        <v>804.0</v>
      </c>
      <c r="B710" s="18">
        <v>12.0</v>
      </c>
      <c r="C710" s="18">
        <v>14.0</v>
      </c>
      <c r="D710" s="18">
        <v>1.0</v>
      </c>
      <c r="F710" s="19" t="s">
        <v>46</v>
      </c>
    </row>
    <row r="711" ht="22.5" customHeight="1">
      <c r="A711" s="18">
        <v>805.0</v>
      </c>
      <c r="B711" s="18">
        <v>13.0</v>
      </c>
      <c r="C711" s="18">
        <v>14.0</v>
      </c>
      <c r="D711" s="18">
        <v>1.0</v>
      </c>
      <c r="F711" s="19" t="s">
        <v>46</v>
      </c>
    </row>
    <row r="712" ht="22.5" customHeight="1">
      <c r="A712" s="18">
        <v>806.0</v>
      </c>
      <c r="B712" s="18">
        <v>14.0</v>
      </c>
      <c r="C712" s="18">
        <v>14.0</v>
      </c>
      <c r="D712" s="18">
        <v>1.0</v>
      </c>
      <c r="F712" s="19" t="s">
        <v>46</v>
      </c>
    </row>
    <row r="713" ht="22.5" customHeight="1">
      <c r="A713" s="18">
        <v>807.0</v>
      </c>
      <c r="B713" s="18">
        <v>15.0</v>
      </c>
      <c r="C713" s="18">
        <v>14.0</v>
      </c>
      <c r="D713" s="18">
        <v>1.0</v>
      </c>
      <c r="F713" s="19" t="s">
        <v>46</v>
      </c>
    </row>
    <row r="714" ht="22.5" customHeight="1">
      <c r="A714" s="18">
        <v>808.0</v>
      </c>
      <c r="B714" s="18">
        <v>16.0</v>
      </c>
      <c r="C714" s="18">
        <v>14.0</v>
      </c>
      <c r="D714" s="18">
        <v>1.0</v>
      </c>
      <c r="F714" s="19" t="s">
        <v>46</v>
      </c>
    </row>
    <row r="715" ht="22.5" customHeight="1">
      <c r="A715" s="18">
        <v>809.0</v>
      </c>
      <c r="B715" s="18">
        <v>17.0</v>
      </c>
      <c r="C715" s="18">
        <v>14.0</v>
      </c>
      <c r="D715" s="18">
        <v>1.0</v>
      </c>
      <c r="F715" s="19" t="s">
        <v>46</v>
      </c>
    </row>
    <row r="716" ht="22.5" customHeight="1">
      <c r="A716" s="18">
        <v>810.0</v>
      </c>
      <c r="B716" s="18">
        <v>18.0</v>
      </c>
      <c r="C716" s="18">
        <v>14.0</v>
      </c>
      <c r="D716" s="18">
        <v>1.0</v>
      </c>
      <c r="F716" s="19" t="s">
        <v>46</v>
      </c>
    </row>
    <row r="717" ht="22.5" customHeight="1">
      <c r="A717" s="18">
        <v>811.0</v>
      </c>
      <c r="B717" s="18">
        <v>19.0</v>
      </c>
      <c r="C717" s="18">
        <v>14.0</v>
      </c>
      <c r="D717" s="18">
        <v>1.0</v>
      </c>
      <c r="F717" s="19" t="s">
        <v>46</v>
      </c>
    </row>
    <row r="718" ht="22.5" customHeight="1">
      <c r="A718" s="18">
        <v>812.0</v>
      </c>
      <c r="B718" s="18">
        <v>20.0</v>
      </c>
      <c r="C718" s="18">
        <v>14.0</v>
      </c>
      <c r="D718" s="18">
        <v>1.0</v>
      </c>
      <c r="F718" s="19" t="s">
        <v>46</v>
      </c>
    </row>
    <row r="719" ht="22.5" customHeight="1">
      <c r="A719" s="18">
        <v>813.0</v>
      </c>
      <c r="B719" s="18">
        <v>21.0</v>
      </c>
      <c r="C719" s="18">
        <v>14.0</v>
      </c>
      <c r="D719" s="18">
        <v>1.0</v>
      </c>
      <c r="F719" s="19" t="s">
        <v>46</v>
      </c>
    </row>
    <row r="720" ht="22.5" customHeight="1">
      <c r="A720" s="18">
        <v>814.0</v>
      </c>
      <c r="B720" s="18">
        <v>22.0</v>
      </c>
      <c r="C720" s="18">
        <v>14.0</v>
      </c>
      <c r="D720" s="18">
        <v>1.0</v>
      </c>
      <c r="F720" s="19" t="s">
        <v>46</v>
      </c>
    </row>
    <row r="721" ht="22.5" customHeight="1">
      <c r="A721" s="18">
        <v>815.0</v>
      </c>
      <c r="B721" s="18">
        <v>23.0</v>
      </c>
      <c r="C721" s="18">
        <v>14.0</v>
      </c>
      <c r="D721" s="18">
        <v>1.0</v>
      </c>
      <c r="F721" s="19" t="s">
        <v>46</v>
      </c>
    </row>
    <row r="722" ht="22.5" customHeight="1">
      <c r="A722" s="18">
        <v>816.0</v>
      </c>
      <c r="B722" s="18">
        <v>24.0</v>
      </c>
      <c r="C722" s="18">
        <v>14.0</v>
      </c>
      <c r="D722" s="18">
        <v>1.0</v>
      </c>
      <c r="F722" s="19" t="s">
        <v>46</v>
      </c>
    </row>
    <row r="723" ht="22.5" customHeight="1">
      <c r="A723" s="18">
        <v>817.0</v>
      </c>
      <c r="B723" s="18">
        <v>25.0</v>
      </c>
      <c r="C723" s="18">
        <v>14.0</v>
      </c>
      <c r="D723" s="18">
        <v>1.0</v>
      </c>
      <c r="F723" s="19" t="s">
        <v>46</v>
      </c>
    </row>
    <row r="724" ht="22.5" customHeight="1">
      <c r="A724" s="18">
        <v>818.0</v>
      </c>
      <c r="B724" s="18">
        <v>26.0</v>
      </c>
      <c r="C724" s="18">
        <v>14.0</v>
      </c>
      <c r="D724" s="18">
        <v>1.0</v>
      </c>
      <c r="F724" s="19" t="s">
        <v>46</v>
      </c>
    </row>
    <row r="725" ht="22.5" customHeight="1">
      <c r="A725" s="18">
        <v>819.0</v>
      </c>
      <c r="B725" s="18">
        <v>27.0</v>
      </c>
      <c r="C725" s="18">
        <v>14.0</v>
      </c>
      <c r="D725" s="18">
        <v>1.0</v>
      </c>
      <c r="F725" s="19" t="s">
        <v>46</v>
      </c>
    </row>
    <row r="726" ht="22.5" customHeight="1">
      <c r="A726" s="18">
        <v>820.0</v>
      </c>
      <c r="B726" s="18">
        <v>28.0</v>
      </c>
      <c r="C726" s="18">
        <v>14.0</v>
      </c>
      <c r="D726" s="18">
        <v>1.0</v>
      </c>
      <c r="F726" s="19" t="s">
        <v>46</v>
      </c>
    </row>
    <row r="727" ht="22.5" customHeight="1">
      <c r="A727" s="18">
        <v>821.0</v>
      </c>
      <c r="B727" s="18">
        <v>110.0</v>
      </c>
      <c r="C727" s="18">
        <v>14.0</v>
      </c>
      <c r="D727" s="18">
        <v>1.0</v>
      </c>
      <c r="E727" s="18" t="s">
        <v>723</v>
      </c>
      <c r="F727" s="19" t="s">
        <v>46</v>
      </c>
    </row>
    <row r="728" ht="22.5" customHeight="1">
      <c r="A728" s="18">
        <v>822.0</v>
      </c>
      <c r="B728" s="18">
        <v>29.0</v>
      </c>
      <c r="C728" s="18">
        <v>14.0</v>
      </c>
      <c r="D728" s="18">
        <v>1.0</v>
      </c>
      <c r="F728" s="19" t="s">
        <v>46</v>
      </c>
    </row>
    <row r="729" ht="22.5" customHeight="1">
      <c r="A729" s="18">
        <v>823.0</v>
      </c>
      <c r="B729" s="18">
        <v>31.0</v>
      </c>
      <c r="C729" s="18">
        <v>14.0</v>
      </c>
      <c r="D729" s="18">
        <v>1.0</v>
      </c>
      <c r="F729" s="19" t="s">
        <v>46</v>
      </c>
    </row>
    <row r="730" ht="22.5" customHeight="1">
      <c r="A730" s="18">
        <v>824.0</v>
      </c>
      <c r="B730" s="18">
        <v>32.0</v>
      </c>
      <c r="C730" s="18">
        <v>14.0</v>
      </c>
      <c r="D730" s="18">
        <v>1.0</v>
      </c>
      <c r="F730" s="19" t="s">
        <v>46</v>
      </c>
    </row>
    <row r="731" ht="22.5" customHeight="1">
      <c r="A731" s="18">
        <v>825.0</v>
      </c>
      <c r="B731" s="18">
        <v>33.0</v>
      </c>
      <c r="C731" s="18">
        <v>14.0</v>
      </c>
      <c r="D731" s="18">
        <v>1.0</v>
      </c>
      <c r="F731" s="19" t="s">
        <v>46</v>
      </c>
    </row>
    <row r="732" ht="22.5" customHeight="1">
      <c r="A732" s="18">
        <v>826.0</v>
      </c>
      <c r="B732" s="18">
        <v>34.0</v>
      </c>
      <c r="C732" s="18">
        <v>14.0</v>
      </c>
      <c r="D732" s="18">
        <v>1.0</v>
      </c>
      <c r="E732" s="18" t="s">
        <v>723</v>
      </c>
      <c r="F732" s="19" t="s">
        <v>46</v>
      </c>
    </row>
    <row r="733" ht="22.5" customHeight="1">
      <c r="A733" s="18">
        <v>827.0</v>
      </c>
      <c r="B733" s="18">
        <v>35.0</v>
      </c>
      <c r="C733" s="18">
        <v>14.0</v>
      </c>
      <c r="D733" s="18">
        <v>1.0</v>
      </c>
      <c r="E733" s="18" t="s">
        <v>723</v>
      </c>
      <c r="F733" s="19" t="s">
        <v>46</v>
      </c>
    </row>
    <row r="734" ht="22.5" customHeight="1">
      <c r="A734" s="18">
        <v>828.0</v>
      </c>
      <c r="B734" s="18">
        <v>36.0</v>
      </c>
      <c r="C734" s="18">
        <v>14.0</v>
      </c>
      <c r="D734" s="18">
        <v>1.0</v>
      </c>
      <c r="E734" s="18" t="s">
        <v>723</v>
      </c>
      <c r="F734" s="19" t="s">
        <v>46</v>
      </c>
    </row>
    <row r="735" ht="22.5" customHeight="1">
      <c r="A735" s="18">
        <v>829.0</v>
      </c>
      <c r="B735" s="18">
        <v>37.0</v>
      </c>
      <c r="C735" s="18">
        <v>14.0</v>
      </c>
      <c r="D735" s="18">
        <v>1.0</v>
      </c>
      <c r="E735" s="18" t="s">
        <v>723</v>
      </c>
      <c r="F735" s="19" t="s">
        <v>46</v>
      </c>
    </row>
    <row r="736" ht="22.5" customHeight="1">
      <c r="A736" s="18">
        <v>830.0</v>
      </c>
      <c r="B736" s="18">
        <v>38.0</v>
      </c>
      <c r="C736" s="18">
        <v>14.0</v>
      </c>
      <c r="D736" s="18">
        <v>1.0</v>
      </c>
      <c r="E736" s="18" t="s">
        <v>723</v>
      </c>
      <c r="F736" s="19" t="s">
        <v>46</v>
      </c>
    </row>
    <row r="737" ht="22.5" customHeight="1">
      <c r="A737" s="18">
        <v>831.0</v>
      </c>
      <c r="B737" s="18">
        <v>39.0</v>
      </c>
      <c r="C737" s="18">
        <v>14.0</v>
      </c>
      <c r="D737" s="18">
        <v>1.0</v>
      </c>
      <c r="E737" s="18" t="s">
        <v>723</v>
      </c>
      <c r="F737" s="19" t="s">
        <v>46</v>
      </c>
    </row>
    <row r="738" ht="22.5" customHeight="1">
      <c r="A738" s="18">
        <v>832.0</v>
      </c>
      <c r="B738" s="18">
        <v>40.0</v>
      </c>
      <c r="C738" s="18">
        <v>14.0</v>
      </c>
      <c r="D738" s="18">
        <v>1.0</v>
      </c>
      <c r="E738" s="18" t="s">
        <v>723</v>
      </c>
      <c r="F738" s="19" t="s">
        <v>46</v>
      </c>
    </row>
    <row r="739" ht="22.5" customHeight="1">
      <c r="A739" s="18">
        <v>833.0</v>
      </c>
      <c r="B739" s="18">
        <v>41.0</v>
      </c>
      <c r="C739" s="18">
        <v>14.0</v>
      </c>
      <c r="D739" s="18">
        <v>1.0</v>
      </c>
      <c r="E739" s="18" t="s">
        <v>723</v>
      </c>
      <c r="F739" s="19" t="s">
        <v>46</v>
      </c>
    </row>
    <row r="740" ht="22.5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746</v>
      </c>
      <c r="F740" s="19" t="s">
        <v>46</v>
      </c>
    </row>
    <row r="741" ht="22.5" customHeight="1">
      <c r="A741" s="18">
        <v>835.0</v>
      </c>
      <c r="B741" s="18">
        <v>43.0</v>
      </c>
      <c r="C741" s="18">
        <v>14.0</v>
      </c>
      <c r="D741" s="18">
        <v>1.0</v>
      </c>
      <c r="E741" s="18" t="s">
        <v>723</v>
      </c>
      <c r="F741" s="19" t="s">
        <v>46</v>
      </c>
    </row>
    <row r="742" ht="22.5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755</v>
      </c>
      <c r="F742" s="19" t="s">
        <v>46</v>
      </c>
    </row>
    <row r="743" ht="22.5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755</v>
      </c>
      <c r="F743" s="19" t="s">
        <v>46</v>
      </c>
    </row>
    <row r="744" ht="22.5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753</v>
      </c>
      <c r="F744" s="19" t="s">
        <v>46</v>
      </c>
    </row>
    <row r="745" ht="22.5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746</v>
      </c>
      <c r="F745" s="19" t="s">
        <v>46</v>
      </c>
    </row>
    <row r="746" ht="22.5" customHeight="1">
      <c r="A746" s="18">
        <v>840.0</v>
      </c>
      <c r="B746" s="18">
        <v>54.0</v>
      </c>
      <c r="C746" s="18">
        <v>14.0</v>
      </c>
      <c r="D746" s="18">
        <v>1.0</v>
      </c>
      <c r="F746" s="19" t="s">
        <v>46</v>
      </c>
    </row>
    <row r="747" ht="22.5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753</v>
      </c>
      <c r="F747" s="19" t="s">
        <v>46</v>
      </c>
    </row>
    <row r="748" ht="22.5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753</v>
      </c>
      <c r="F748" s="19" t="s">
        <v>46</v>
      </c>
    </row>
    <row r="749" ht="22.5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753</v>
      </c>
      <c r="F749" s="19" t="s">
        <v>46</v>
      </c>
    </row>
    <row r="750" ht="22.5" customHeight="1">
      <c r="A750" s="18">
        <v>844.0</v>
      </c>
      <c r="B750" s="18">
        <v>60.0</v>
      </c>
      <c r="C750" s="18">
        <v>14.0</v>
      </c>
      <c r="D750" s="18">
        <v>1.0</v>
      </c>
      <c r="E750" s="18" t="s">
        <v>753</v>
      </c>
      <c r="F750" s="19" t="s">
        <v>46</v>
      </c>
    </row>
    <row r="751" ht="22.5" customHeight="1">
      <c r="A751" s="18">
        <v>845.0</v>
      </c>
      <c r="B751" s="18">
        <v>61.0</v>
      </c>
      <c r="C751" s="18">
        <v>14.0</v>
      </c>
      <c r="D751" s="18">
        <v>1.0</v>
      </c>
      <c r="E751" s="18" t="s">
        <v>753</v>
      </c>
      <c r="F751" s="19" t="s">
        <v>46</v>
      </c>
    </row>
    <row r="752" ht="22.5" customHeight="1">
      <c r="A752" s="18">
        <v>846.0</v>
      </c>
      <c r="B752" s="18">
        <v>62.0</v>
      </c>
      <c r="C752" s="18">
        <v>14.0</v>
      </c>
      <c r="D752" s="18">
        <v>1.0</v>
      </c>
      <c r="E752" s="18" t="s">
        <v>755</v>
      </c>
      <c r="F752" s="19" t="s">
        <v>46</v>
      </c>
    </row>
    <row r="753" ht="22.5" customHeight="1">
      <c r="A753" s="18">
        <v>847.0</v>
      </c>
      <c r="B753" s="18">
        <v>63.0</v>
      </c>
      <c r="C753" s="18">
        <v>14.0</v>
      </c>
      <c r="D753" s="18">
        <v>2.0</v>
      </c>
      <c r="E753" s="18" t="s">
        <v>779</v>
      </c>
      <c r="F753" s="19" t="s">
        <v>46</v>
      </c>
    </row>
    <row r="754" ht="22.5" customHeight="1">
      <c r="A754" s="18">
        <v>848.0</v>
      </c>
      <c r="B754" s="18">
        <v>64.0</v>
      </c>
      <c r="C754" s="18">
        <v>14.0</v>
      </c>
      <c r="D754" s="18">
        <v>2.0</v>
      </c>
      <c r="F754" s="19" t="s">
        <v>46</v>
      </c>
    </row>
    <row r="755" ht="22.5" customHeight="1">
      <c r="A755" s="18">
        <v>850.0</v>
      </c>
      <c r="B755" s="18">
        <v>65.0</v>
      </c>
      <c r="C755" s="18">
        <v>14.0</v>
      </c>
      <c r="D755" s="18">
        <v>1.0</v>
      </c>
      <c r="F755" s="19" t="s">
        <v>46</v>
      </c>
    </row>
    <row r="756" ht="22.5" customHeight="1">
      <c r="A756" s="18">
        <v>851.0</v>
      </c>
      <c r="B756" s="18">
        <v>111.0</v>
      </c>
      <c r="C756" s="18">
        <v>14.0</v>
      </c>
      <c r="D756" s="18">
        <v>1.0</v>
      </c>
      <c r="F756" s="19" t="s">
        <v>46</v>
      </c>
    </row>
    <row r="757" ht="22.5" customHeight="1">
      <c r="A757" s="18">
        <v>852.0</v>
      </c>
      <c r="B757" s="18">
        <v>74.0</v>
      </c>
      <c r="C757" s="18">
        <v>14.0</v>
      </c>
      <c r="D757" s="18">
        <v>1.0</v>
      </c>
      <c r="E757" s="18" t="s">
        <v>723</v>
      </c>
      <c r="F757" s="19" t="s">
        <v>46</v>
      </c>
    </row>
    <row r="758" ht="22.5" customHeight="1">
      <c r="A758" s="18">
        <v>853.0</v>
      </c>
      <c r="B758" s="18">
        <v>75.0</v>
      </c>
      <c r="C758" s="18">
        <v>14.0</v>
      </c>
      <c r="D758" s="18">
        <v>2.0</v>
      </c>
      <c r="E758" s="18" t="s">
        <v>795</v>
      </c>
      <c r="F758" s="19" t="s">
        <v>46</v>
      </c>
    </row>
    <row r="759" ht="22.5" customHeight="1">
      <c r="A759" s="18">
        <v>854.0</v>
      </c>
      <c r="B759" s="18">
        <v>76.0</v>
      </c>
      <c r="C759" s="18">
        <v>14.0</v>
      </c>
      <c r="D759" s="18">
        <v>2.0</v>
      </c>
      <c r="E759" s="18" t="s">
        <v>795</v>
      </c>
      <c r="F759" s="19" t="s">
        <v>46</v>
      </c>
    </row>
    <row r="760" ht="22.5" customHeight="1">
      <c r="A760" s="18">
        <v>855.0</v>
      </c>
      <c r="B760" s="18">
        <v>77.0</v>
      </c>
      <c r="C760" s="18">
        <v>14.0</v>
      </c>
      <c r="D760" s="18">
        <v>2.0</v>
      </c>
      <c r="E760" s="18" t="s">
        <v>795</v>
      </c>
      <c r="F760" s="19" t="s">
        <v>46</v>
      </c>
    </row>
    <row r="761" ht="22.5" customHeight="1">
      <c r="A761" s="18">
        <v>856.0</v>
      </c>
      <c r="B761" s="18">
        <v>78.0</v>
      </c>
      <c r="C761" s="18">
        <v>14.0</v>
      </c>
      <c r="D761" s="18">
        <v>2.0</v>
      </c>
      <c r="E761" s="18" t="s">
        <v>795</v>
      </c>
      <c r="F761" s="19" t="s">
        <v>46</v>
      </c>
    </row>
    <row r="762" ht="22.5" customHeight="1">
      <c r="A762" s="18">
        <v>857.0</v>
      </c>
      <c r="B762" s="18">
        <v>79.0</v>
      </c>
      <c r="C762" s="18">
        <v>14.0</v>
      </c>
      <c r="D762" s="18">
        <v>2.0</v>
      </c>
      <c r="E762" s="18" t="s">
        <v>795</v>
      </c>
      <c r="F762" s="19" t="s">
        <v>46</v>
      </c>
    </row>
    <row r="763" ht="22.5" customHeight="1">
      <c r="A763" s="18">
        <v>858.0</v>
      </c>
      <c r="B763" s="18">
        <v>80.0</v>
      </c>
      <c r="C763" s="18">
        <v>14.0</v>
      </c>
      <c r="D763" s="18">
        <v>2.0</v>
      </c>
      <c r="E763" s="18" t="s">
        <v>795</v>
      </c>
      <c r="F763" s="19" t="s">
        <v>46</v>
      </c>
    </row>
    <row r="764" ht="22.5" customHeight="1">
      <c r="A764" s="18">
        <v>859.0</v>
      </c>
      <c r="B764" s="18">
        <v>81.0</v>
      </c>
      <c r="C764" s="18">
        <v>14.0</v>
      </c>
      <c r="D764" s="18">
        <v>2.0</v>
      </c>
      <c r="E764" s="18" t="s">
        <v>795</v>
      </c>
      <c r="F764" s="19" t="s">
        <v>46</v>
      </c>
    </row>
    <row r="765" ht="22.5" customHeight="1">
      <c r="A765" s="18">
        <v>860.0</v>
      </c>
      <c r="B765" s="18">
        <v>83.0</v>
      </c>
      <c r="C765" s="18">
        <v>14.0</v>
      </c>
      <c r="D765" s="18">
        <v>1.0</v>
      </c>
      <c r="E765" s="18" t="s">
        <v>723</v>
      </c>
      <c r="F765" s="19" t="s">
        <v>46</v>
      </c>
    </row>
    <row r="766" ht="22.5" customHeight="1">
      <c r="A766" s="18">
        <v>861.0</v>
      </c>
      <c r="B766" s="18">
        <v>84.0</v>
      </c>
      <c r="C766" s="18">
        <v>14.0</v>
      </c>
      <c r="D766" s="18">
        <v>2.0</v>
      </c>
      <c r="E766" s="18" t="s">
        <v>795</v>
      </c>
      <c r="F766" s="19" t="s">
        <v>46</v>
      </c>
    </row>
    <row r="767" ht="22.5" customHeight="1">
      <c r="A767" s="18">
        <v>862.0</v>
      </c>
      <c r="B767" s="18">
        <v>1.0</v>
      </c>
      <c r="C767" s="18">
        <v>15.0</v>
      </c>
      <c r="D767" s="18">
        <v>1.0</v>
      </c>
      <c r="F767" s="19" t="s">
        <v>46</v>
      </c>
    </row>
    <row r="768" ht="22.5" customHeight="1">
      <c r="A768" s="18">
        <v>863.0</v>
      </c>
      <c r="B768" s="18">
        <v>2.0</v>
      </c>
      <c r="C768" s="18">
        <v>15.0</v>
      </c>
      <c r="D768" s="18">
        <v>1.0</v>
      </c>
      <c r="F768" s="19" t="s">
        <v>46</v>
      </c>
    </row>
    <row r="769" ht="22.5" customHeight="1">
      <c r="A769" s="18">
        <v>864.0</v>
      </c>
      <c r="B769" s="18">
        <v>3.0</v>
      </c>
      <c r="C769" s="18">
        <v>15.0</v>
      </c>
      <c r="D769" s="18">
        <v>1.0</v>
      </c>
      <c r="F769" s="19" t="s">
        <v>46</v>
      </c>
    </row>
    <row r="770" ht="22.5" customHeight="1">
      <c r="A770" s="18">
        <v>865.0</v>
      </c>
      <c r="B770" s="18">
        <v>4.0</v>
      </c>
      <c r="C770" s="18">
        <v>15.0</v>
      </c>
      <c r="D770" s="18">
        <v>1.0</v>
      </c>
      <c r="F770" s="19" t="s">
        <v>46</v>
      </c>
    </row>
    <row r="771" ht="22.5" customHeight="1">
      <c r="A771" s="18">
        <v>866.0</v>
      </c>
      <c r="B771" s="18">
        <v>5.0</v>
      </c>
      <c r="C771" s="18">
        <v>15.0</v>
      </c>
      <c r="D771" s="18">
        <v>1.0</v>
      </c>
      <c r="F771" s="19" t="s">
        <v>46</v>
      </c>
    </row>
    <row r="772" ht="22.5" customHeight="1">
      <c r="A772" s="18">
        <v>867.0</v>
      </c>
      <c r="B772" s="18">
        <v>6.0</v>
      </c>
      <c r="C772" s="18">
        <v>15.0</v>
      </c>
      <c r="D772" s="18">
        <v>1.0</v>
      </c>
      <c r="F772" s="19" t="s">
        <v>46</v>
      </c>
    </row>
    <row r="773" ht="22.5" customHeight="1">
      <c r="A773" s="18">
        <v>868.0</v>
      </c>
      <c r="B773" s="18">
        <v>7.0</v>
      </c>
      <c r="C773" s="18">
        <v>15.0</v>
      </c>
      <c r="D773" s="18">
        <v>1.0</v>
      </c>
      <c r="F773" s="19" t="s">
        <v>46</v>
      </c>
    </row>
    <row r="774" ht="22.5" customHeight="1">
      <c r="A774" s="18">
        <v>869.0</v>
      </c>
      <c r="B774" s="18">
        <v>8.0</v>
      </c>
      <c r="C774" s="18">
        <v>15.0</v>
      </c>
      <c r="D774" s="18">
        <v>1.0</v>
      </c>
      <c r="F774" s="19" t="s">
        <v>46</v>
      </c>
    </row>
    <row r="775" ht="22.5" customHeight="1">
      <c r="A775" s="18">
        <v>870.0</v>
      </c>
      <c r="B775" s="18">
        <v>9.0</v>
      </c>
      <c r="C775" s="18">
        <v>15.0</v>
      </c>
      <c r="D775" s="18">
        <v>1.0</v>
      </c>
      <c r="F775" s="19" t="s">
        <v>46</v>
      </c>
    </row>
    <row r="776" ht="22.5" customHeight="1">
      <c r="A776" s="18">
        <v>871.0</v>
      </c>
      <c r="B776" s="18">
        <v>10.0</v>
      </c>
      <c r="C776" s="18">
        <v>15.0</v>
      </c>
      <c r="D776" s="18">
        <v>1.0</v>
      </c>
      <c r="F776" s="19" t="s">
        <v>46</v>
      </c>
    </row>
    <row r="777" ht="22.5" customHeight="1">
      <c r="A777" s="18">
        <v>872.0</v>
      </c>
      <c r="B777" s="18">
        <v>11.0</v>
      </c>
      <c r="C777" s="18">
        <v>15.0</v>
      </c>
      <c r="D777" s="18">
        <v>1.0</v>
      </c>
      <c r="F777" s="19" t="s">
        <v>46</v>
      </c>
    </row>
    <row r="778" ht="22.5" customHeight="1">
      <c r="A778" s="18">
        <v>873.0</v>
      </c>
      <c r="B778" s="18">
        <v>12.0</v>
      </c>
      <c r="C778" s="18">
        <v>15.0</v>
      </c>
      <c r="D778" s="18">
        <v>1.0</v>
      </c>
      <c r="F778" s="19" t="s">
        <v>46</v>
      </c>
    </row>
    <row r="779" ht="22.5" customHeight="1">
      <c r="A779" s="18">
        <v>874.0</v>
      </c>
      <c r="B779" s="18">
        <v>13.0</v>
      </c>
      <c r="C779" s="18">
        <v>15.0</v>
      </c>
      <c r="D779" s="18">
        <v>1.0</v>
      </c>
      <c r="F779" s="19" t="s">
        <v>46</v>
      </c>
    </row>
    <row r="780" ht="22.5" customHeight="1">
      <c r="A780" s="18">
        <v>875.0</v>
      </c>
      <c r="B780" s="18">
        <v>14.0</v>
      </c>
      <c r="C780" s="18">
        <v>15.0</v>
      </c>
      <c r="D780" s="18">
        <v>1.0</v>
      </c>
      <c r="F780" s="19" t="s">
        <v>46</v>
      </c>
    </row>
    <row r="781" ht="22.5" customHeight="1">
      <c r="A781" s="18">
        <v>876.0</v>
      </c>
      <c r="B781" s="18">
        <v>15.0</v>
      </c>
      <c r="C781" s="18">
        <v>15.0</v>
      </c>
      <c r="D781" s="18">
        <v>1.0</v>
      </c>
      <c r="F781" s="19" t="s">
        <v>46</v>
      </c>
    </row>
    <row r="782" ht="22.5" customHeight="1">
      <c r="A782" s="18">
        <v>877.0</v>
      </c>
      <c r="B782" s="18">
        <v>16.0</v>
      </c>
      <c r="C782" s="18">
        <v>15.0</v>
      </c>
      <c r="D782" s="18">
        <v>1.0</v>
      </c>
      <c r="F782" s="19" t="s">
        <v>46</v>
      </c>
    </row>
    <row r="783" ht="22.5" customHeight="1">
      <c r="A783" s="18">
        <v>878.0</v>
      </c>
      <c r="B783" s="18">
        <v>17.0</v>
      </c>
      <c r="C783" s="18">
        <v>15.0</v>
      </c>
      <c r="D783" s="18">
        <v>1.0</v>
      </c>
      <c r="F783" s="19" t="s">
        <v>46</v>
      </c>
    </row>
    <row r="784" ht="22.5" customHeight="1">
      <c r="A784" s="18">
        <v>879.0</v>
      </c>
      <c r="B784" s="18">
        <v>18.0</v>
      </c>
      <c r="C784" s="18">
        <v>15.0</v>
      </c>
      <c r="D784" s="18">
        <v>1.0</v>
      </c>
      <c r="F784" s="19" t="s">
        <v>46</v>
      </c>
    </row>
    <row r="785" ht="22.5" customHeight="1">
      <c r="A785" s="18">
        <v>880.0</v>
      </c>
      <c r="B785" s="18">
        <v>19.0</v>
      </c>
      <c r="C785" s="18">
        <v>15.0</v>
      </c>
      <c r="D785" s="18">
        <v>1.0</v>
      </c>
      <c r="F785" s="19" t="s">
        <v>46</v>
      </c>
    </row>
    <row r="786" ht="22.5" customHeight="1">
      <c r="A786" s="18">
        <v>881.0</v>
      </c>
      <c r="B786" s="18">
        <v>20.0</v>
      </c>
      <c r="C786" s="18">
        <v>15.0</v>
      </c>
      <c r="D786" s="18">
        <v>1.0</v>
      </c>
      <c r="F786" s="19" t="s">
        <v>46</v>
      </c>
    </row>
    <row r="787" ht="22.5" customHeight="1">
      <c r="A787" s="18">
        <v>882.0</v>
      </c>
      <c r="B787" s="18">
        <v>21.0</v>
      </c>
      <c r="C787" s="18">
        <v>15.0</v>
      </c>
      <c r="D787" s="18">
        <v>1.0</v>
      </c>
      <c r="F787" s="19" t="s">
        <v>46</v>
      </c>
    </row>
    <row r="788" ht="22.5" customHeight="1">
      <c r="A788" s="18">
        <v>883.0</v>
      </c>
      <c r="B788" s="18">
        <v>22.0</v>
      </c>
      <c r="C788" s="18">
        <v>15.0</v>
      </c>
      <c r="D788" s="18">
        <v>1.0</v>
      </c>
      <c r="F788" s="19" t="s">
        <v>46</v>
      </c>
    </row>
    <row r="789" ht="22.5" customHeight="1">
      <c r="A789" s="18">
        <v>884.0</v>
      </c>
      <c r="B789" s="18">
        <v>23.0</v>
      </c>
      <c r="C789" s="18">
        <v>15.0</v>
      </c>
      <c r="D789" s="18">
        <v>1.0</v>
      </c>
      <c r="F789" s="19" t="s">
        <v>46</v>
      </c>
    </row>
    <row r="790" ht="22.5" customHeight="1">
      <c r="A790" s="18">
        <v>885.0</v>
      </c>
      <c r="B790" s="18">
        <v>24.0</v>
      </c>
      <c r="C790" s="18">
        <v>15.0</v>
      </c>
      <c r="D790" s="18">
        <v>1.0</v>
      </c>
      <c r="F790" s="19" t="s">
        <v>46</v>
      </c>
    </row>
    <row r="791" ht="22.5" customHeight="1">
      <c r="A791" s="18">
        <v>886.0</v>
      </c>
      <c r="B791" s="18">
        <v>25.0</v>
      </c>
      <c r="C791" s="18">
        <v>15.0</v>
      </c>
      <c r="D791" s="18">
        <v>1.0</v>
      </c>
      <c r="F791" s="19" t="s">
        <v>46</v>
      </c>
    </row>
    <row r="792" ht="22.5" customHeight="1">
      <c r="A792" s="18">
        <v>887.0</v>
      </c>
      <c r="B792" s="18">
        <v>26.0</v>
      </c>
      <c r="C792" s="18">
        <v>15.0</v>
      </c>
      <c r="D792" s="18">
        <v>1.0</v>
      </c>
      <c r="F792" s="19" t="s">
        <v>46</v>
      </c>
    </row>
    <row r="793" ht="22.5" customHeight="1">
      <c r="A793" s="18">
        <v>888.0</v>
      </c>
      <c r="B793" s="18">
        <v>27.0</v>
      </c>
      <c r="C793" s="18">
        <v>15.0</v>
      </c>
      <c r="D793" s="18">
        <v>1.0</v>
      </c>
      <c r="F793" s="19" t="s">
        <v>46</v>
      </c>
    </row>
    <row r="794" ht="22.5" customHeight="1">
      <c r="A794" s="18">
        <v>889.0</v>
      </c>
      <c r="B794" s="18">
        <v>28.0</v>
      </c>
      <c r="C794" s="18">
        <v>15.0</v>
      </c>
      <c r="D794" s="18">
        <v>1.0</v>
      </c>
      <c r="F794" s="19" t="s">
        <v>46</v>
      </c>
    </row>
    <row r="795" ht="22.5" customHeight="1">
      <c r="A795" s="18">
        <v>890.0</v>
      </c>
      <c r="B795" s="18">
        <v>29.0</v>
      </c>
      <c r="C795" s="18">
        <v>15.0</v>
      </c>
      <c r="D795" s="18">
        <v>1.0</v>
      </c>
      <c r="F795" s="19" t="s">
        <v>46</v>
      </c>
    </row>
    <row r="796" ht="22.5" customHeight="1">
      <c r="A796" s="18">
        <v>891.0</v>
      </c>
      <c r="B796" s="18">
        <v>31.0</v>
      </c>
      <c r="C796" s="18">
        <v>15.0</v>
      </c>
      <c r="D796" s="18">
        <v>1.0</v>
      </c>
      <c r="F796" s="19" t="s">
        <v>46</v>
      </c>
    </row>
    <row r="797" ht="22.5" customHeight="1">
      <c r="A797" s="18">
        <v>892.0</v>
      </c>
      <c r="B797" s="18">
        <v>32.0</v>
      </c>
      <c r="C797" s="18">
        <v>15.0</v>
      </c>
      <c r="D797" s="18">
        <v>1.0</v>
      </c>
      <c r="F797" s="19" t="s">
        <v>46</v>
      </c>
    </row>
    <row r="798" ht="22.5" customHeight="1">
      <c r="A798" s="18">
        <v>893.0</v>
      </c>
      <c r="B798" s="18">
        <v>33.0</v>
      </c>
      <c r="C798" s="18">
        <v>15.0</v>
      </c>
      <c r="D798" s="18">
        <v>1.0</v>
      </c>
      <c r="F798" s="19" t="s">
        <v>46</v>
      </c>
    </row>
    <row r="799" ht="22.5" customHeight="1">
      <c r="A799" s="18">
        <v>894.0</v>
      </c>
      <c r="B799" s="18">
        <v>34.0</v>
      </c>
      <c r="C799" s="18">
        <v>15.0</v>
      </c>
      <c r="D799" s="18">
        <v>1.0</v>
      </c>
      <c r="E799" s="18" t="s">
        <v>723</v>
      </c>
      <c r="F799" s="19" t="s">
        <v>46</v>
      </c>
    </row>
    <row r="800" ht="22.5" customHeight="1">
      <c r="A800" s="18">
        <v>895.0</v>
      </c>
      <c r="B800" s="18">
        <v>35.0</v>
      </c>
      <c r="C800" s="18">
        <v>15.0</v>
      </c>
      <c r="D800" s="18">
        <v>1.0</v>
      </c>
      <c r="E800" s="18" t="s">
        <v>723</v>
      </c>
      <c r="F800" s="19" t="s">
        <v>46</v>
      </c>
    </row>
    <row r="801" ht="22.5" customHeight="1">
      <c r="A801" s="18">
        <v>896.0</v>
      </c>
      <c r="B801" s="18">
        <v>36.0</v>
      </c>
      <c r="C801" s="18">
        <v>15.0</v>
      </c>
      <c r="D801" s="18">
        <v>1.0</v>
      </c>
      <c r="E801" s="18" t="s">
        <v>723</v>
      </c>
      <c r="F801" s="19" t="s">
        <v>46</v>
      </c>
    </row>
    <row r="802" ht="22.5" customHeight="1">
      <c r="A802" s="18">
        <v>897.0</v>
      </c>
      <c r="B802" s="18">
        <v>37.0</v>
      </c>
      <c r="C802" s="18">
        <v>15.0</v>
      </c>
      <c r="D802" s="18">
        <v>1.0</v>
      </c>
      <c r="E802" s="18" t="s">
        <v>723</v>
      </c>
      <c r="F802" s="19" t="s">
        <v>46</v>
      </c>
    </row>
    <row r="803" ht="22.5" customHeight="1">
      <c r="A803" s="18">
        <v>898.0</v>
      </c>
      <c r="B803" s="18">
        <v>38.0</v>
      </c>
      <c r="C803" s="18">
        <v>15.0</v>
      </c>
      <c r="D803" s="18">
        <v>1.0</v>
      </c>
      <c r="E803" s="18" t="s">
        <v>723</v>
      </c>
      <c r="F803" s="19" t="s">
        <v>46</v>
      </c>
    </row>
    <row r="804" ht="22.5" customHeight="1">
      <c r="A804" s="18">
        <v>899.0</v>
      </c>
      <c r="B804" s="18">
        <v>40.0</v>
      </c>
      <c r="C804" s="18">
        <v>15.0</v>
      </c>
      <c r="D804" s="18">
        <v>1.0</v>
      </c>
      <c r="E804" s="18" t="s">
        <v>723</v>
      </c>
      <c r="F804" s="19" t="s">
        <v>46</v>
      </c>
    </row>
    <row r="805" ht="22.5" customHeight="1">
      <c r="A805" s="18">
        <v>900.0</v>
      </c>
      <c r="B805" s="18">
        <v>41.0</v>
      </c>
      <c r="C805" s="18">
        <v>15.0</v>
      </c>
      <c r="D805" s="18">
        <v>1.0</v>
      </c>
      <c r="E805" s="18" t="s">
        <v>723</v>
      </c>
      <c r="F805" s="19" t="s">
        <v>46</v>
      </c>
    </row>
    <row r="806" ht="22.5" customHeight="1">
      <c r="A806" s="18">
        <v>901.0</v>
      </c>
      <c r="B806" s="18">
        <v>42.0</v>
      </c>
      <c r="C806" s="18">
        <v>15.0</v>
      </c>
      <c r="D806" s="18">
        <v>1.0</v>
      </c>
      <c r="E806" s="18" t="s">
        <v>746</v>
      </c>
      <c r="F806" s="19" t="s">
        <v>46</v>
      </c>
    </row>
    <row r="807" ht="22.5" customHeight="1">
      <c r="A807" s="18">
        <v>902.0</v>
      </c>
      <c r="B807" s="18">
        <v>46.0</v>
      </c>
      <c r="C807" s="18">
        <v>15.0</v>
      </c>
      <c r="D807" s="18">
        <v>1.0</v>
      </c>
      <c r="E807" s="18" t="s">
        <v>755</v>
      </c>
      <c r="F807" s="19" t="s">
        <v>46</v>
      </c>
    </row>
    <row r="808" ht="22.5" customHeight="1">
      <c r="A808" s="18">
        <v>903.0</v>
      </c>
      <c r="B808" s="18">
        <v>49.0</v>
      </c>
      <c r="C808" s="18">
        <v>15.0</v>
      </c>
      <c r="D808" s="18">
        <v>1.0</v>
      </c>
      <c r="E808" s="18" t="s">
        <v>753</v>
      </c>
      <c r="F808" s="19" t="s">
        <v>46</v>
      </c>
    </row>
    <row r="809" ht="22.5" customHeight="1">
      <c r="A809" s="18">
        <v>904.0</v>
      </c>
      <c r="B809" s="18">
        <v>57.0</v>
      </c>
      <c r="C809" s="18">
        <v>15.0</v>
      </c>
      <c r="D809" s="18">
        <v>1.0</v>
      </c>
      <c r="E809" s="18" t="s">
        <v>753</v>
      </c>
      <c r="F809" s="19" t="s">
        <v>46</v>
      </c>
    </row>
    <row r="810" ht="22.5" customHeight="1">
      <c r="A810" s="18">
        <v>905.0</v>
      </c>
      <c r="B810" s="18">
        <v>59.0</v>
      </c>
      <c r="C810" s="18">
        <v>15.0</v>
      </c>
      <c r="D810" s="18">
        <v>1.0</v>
      </c>
      <c r="E810" s="18" t="s">
        <v>753</v>
      </c>
      <c r="F810" s="19" t="s">
        <v>46</v>
      </c>
    </row>
    <row r="811" ht="22.5" customHeight="1">
      <c r="A811" s="18">
        <v>906.0</v>
      </c>
      <c r="B811" s="18">
        <v>61.0</v>
      </c>
      <c r="C811" s="18">
        <v>15.0</v>
      </c>
      <c r="D811" s="18">
        <v>1.0</v>
      </c>
      <c r="E811" s="18" t="s">
        <v>753</v>
      </c>
      <c r="F811" s="19" t="s">
        <v>46</v>
      </c>
    </row>
    <row r="812" ht="22.5" customHeight="1">
      <c r="A812" s="18">
        <v>907.0</v>
      </c>
      <c r="B812" s="18">
        <v>63.0</v>
      </c>
      <c r="C812" s="18">
        <v>15.0</v>
      </c>
      <c r="D812" s="18">
        <v>1.0</v>
      </c>
      <c r="E812" s="18" t="s">
        <v>779</v>
      </c>
      <c r="F812" s="19" t="s">
        <v>46</v>
      </c>
    </row>
    <row r="813" ht="22.5" customHeight="1">
      <c r="A813" s="18">
        <v>908.0</v>
      </c>
      <c r="B813" s="18">
        <v>64.0</v>
      </c>
      <c r="C813" s="18">
        <v>15.0</v>
      </c>
      <c r="D813" s="18">
        <v>1.0</v>
      </c>
      <c r="F813" s="19" t="s">
        <v>46</v>
      </c>
    </row>
    <row r="814" ht="22.5" customHeight="1">
      <c r="A814" s="18">
        <v>909.0</v>
      </c>
      <c r="B814" s="18">
        <v>111.0</v>
      </c>
      <c r="C814" s="18">
        <v>15.0</v>
      </c>
      <c r="D814" s="18">
        <v>1.0</v>
      </c>
      <c r="F814" s="19" t="s">
        <v>46</v>
      </c>
    </row>
    <row r="815" ht="22.5" customHeight="1">
      <c r="A815" s="18">
        <v>910.0</v>
      </c>
      <c r="B815" s="18">
        <v>66.0</v>
      </c>
      <c r="C815" s="18">
        <v>15.0</v>
      </c>
      <c r="D815" s="18">
        <v>1.0</v>
      </c>
      <c r="E815" s="18" t="s">
        <v>785</v>
      </c>
      <c r="F815" s="19" t="s">
        <v>46</v>
      </c>
    </row>
    <row r="816" ht="22.5" customHeight="1">
      <c r="A816" s="18">
        <v>911.0</v>
      </c>
      <c r="B816" s="18">
        <v>67.0</v>
      </c>
      <c r="C816" s="18">
        <v>15.0</v>
      </c>
      <c r="D816" s="18">
        <v>2.0</v>
      </c>
      <c r="E816" s="18" t="s">
        <v>785</v>
      </c>
      <c r="F816" s="19" t="s">
        <v>46</v>
      </c>
    </row>
    <row r="817" ht="22.5" customHeight="1">
      <c r="A817" s="18">
        <v>912.0</v>
      </c>
      <c r="B817" s="18">
        <v>72.0</v>
      </c>
      <c r="C817" s="18">
        <v>15.0</v>
      </c>
      <c r="D817" s="18">
        <v>2.0</v>
      </c>
      <c r="E817" s="18" t="s">
        <v>795</v>
      </c>
      <c r="F817" s="19" t="s">
        <v>46</v>
      </c>
    </row>
    <row r="818" ht="22.5" customHeight="1">
      <c r="A818" s="18">
        <v>913.0</v>
      </c>
      <c r="B818" s="18">
        <v>74.0</v>
      </c>
      <c r="C818" s="18">
        <v>15.0</v>
      </c>
      <c r="D818" s="18">
        <v>1.0</v>
      </c>
      <c r="E818" s="18" t="s">
        <v>723</v>
      </c>
      <c r="F818" s="19" t="s">
        <v>46</v>
      </c>
    </row>
    <row r="819" ht="22.5" customHeight="1">
      <c r="A819" s="18">
        <v>914.0</v>
      </c>
      <c r="B819" s="18">
        <v>75.0</v>
      </c>
      <c r="C819" s="18">
        <v>15.0</v>
      </c>
      <c r="D819" s="18">
        <v>2.0</v>
      </c>
      <c r="E819" s="18" t="s">
        <v>795</v>
      </c>
      <c r="F819" s="19" t="s">
        <v>46</v>
      </c>
    </row>
    <row r="820" ht="22.5" customHeight="1">
      <c r="A820" s="18">
        <v>915.0</v>
      </c>
      <c r="B820" s="18">
        <v>76.0</v>
      </c>
      <c r="C820" s="18">
        <v>15.0</v>
      </c>
      <c r="D820" s="18">
        <v>2.0</v>
      </c>
      <c r="E820" s="18" t="s">
        <v>795</v>
      </c>
      <c r="F820" s="19" t="s">
        <v>46</v>
      </c>
    </row>
    <row r="821" ht="22.5" customHeight="1">
      <c r="A821" s="18">
        <v>916.0</v>
      </c>
      <c r="B821" s="18">
        <v>78.0</v>
      </c>
      <c r="C821" s="18">
        <v>15.0</v>
      </c>
      <c r="D821" s="18">
        <v>2.0</v>
      </c>
      <c r="E821" s="18" t="s">
        <v>795</v>
      </c>
      <c r="F821" s="19" t="s">
        <v>46</v>
      </c>
    </row>
    <row r="822" ht="22.5" customHeight="1">
      <c r="A822" s="18">
        <v>917.0</v>
      </c>
      <c r="B822" s="18">
        <v>80.0</v>
      </c>
      <c r="C822" s="18">
        <v>15.0</v>
      </c>
      <c r="D822" s="18">
        <v>2.0</v>
      </c>
      <c r="E822" s="18" t="s">
        <v>795</v>
      </c>
      <c r="F822" s="19" t="s">
        <v>46</v>
      </c>
    </row>
    <row r="823" ht="22.5" customHeight="1">
      <c r="A823" s="18">
        <v>918.0</v>
      </c>
      <c r="B823" s="18">
        <v>1.0</v>
      </c>
      <c r="C823" s="18">
        <v>16.0</v>
      </c>
      <c r="D823" s="18">
        <v>1.0</v>
      </c>
      <c r="F823" s="19" t="s">
        <v>46</v>
      </c>
    </row>
    <row r="824" ht="22.5" customHeight="1">
      <c r="A824" s="18">
        <v>919.0</v>
      </c>
      <c r="B824" s="18">
        <v>2.0</v>
      </c>
      <c r="C824" s="18">
        <v>16.0</v>
      </c>
      <c r="D824" s="18">
        <v>1.0</v>
      </c>
      <c r="F824" s="19" t="s">
        <v>46</v>
      </c>
    </row>
    <row r="825" ht="22.5" customHeight="1">
      <c r="A825" s="18">
        <v>920.0</v>
      </c>
      <c r="B825" s="18">
        <v>3.0</v>
      </c>
      <c r="C825" s="18">
        <v>16.0</v>
      </c>
      <c r="D825" s="18">
        <v>1.0</v>
      </c>
      <c r="F825" s="19" t="s">
        <v>46</v>
      </c>
    </row>
    <row r="826" ht="22.5" customHeight="1">
      <c r="A826" s="18">
        <v>921.0</v>
      </c>
      <c r="B826" s="18">
        <v>4.0</v>
      </c>
      <c r="C826" s="18">
        <v>16.0</v>
      </c>
      <c r="D826" s="18">
        <v>1.0</v>
      </c>
      <c r="F826" s="19" t="s">
        <v>46</v>
      </c>
    </row>
    <row r="827" ht="22.5" customHeight="1">
      <c r="A827" s="18">
        <v>922.0</v>
      </c>
      <c r="B827" s="18">
        <v>5.0</v>
      </c>
      <c r="C827" s="18">
        <v>16.0</v>
      </c>
      <c r="D827" s="18">
        <v>1.0</v>
      </c>
      <c r="F827" s="19" t="s">
        <v>46</v>
      </c>
    </row>
    <row r="828" ht="22.5" customHeight="1">
      <c r="A828" s="18">
        <v>923.0</v>
      </c>
      <c r="B828" s="18">
        <v>6.0</v>
      </c>
      <c r="C828" s="18">
        <v>16.0</v>
      </c>
      <c r="D828" s="18">
        <v>1.0</v>
      </c>
      <c r="F828" s="19" t="s">
        <v>46</v>
      </c>
    </row>
    <row r="829" ht="22.5" customHeight="1">
      <c r="A829" s="18">
        <v>924.0</v>
      </c>
      <c r="B829" s="18">
        <v>7.0</v>
      </c>
      <c r="C829" s="18">
        <v>16.0</v>
      </c>
      <c r="D829" s="18">
        <v>1.0</v>
      </c>
      <c r="F829" s="19" t="s">
        <v>46</v>
      </c>
    </row>
    <row r="830" ht="22.5" customHeight="1">
      <c r="A830" s="18">
        <v>925.0</v>
      </c>
      <c r="B830" s="18">
        <v>8.0</v>
      </c>
      <c r="C830" s="18">
        <v>16.0</v>
      </c>
      <c r="D830" s="18">
        <v>1.0</v>
      </c>
      <c r="F830" s="19" t="s">
        <v>46</v>
      </c>
    </row>
    <row r="831" ht="22.5" customHeight="1">
      <c r="A831" s="18">
        <v>926.0</v>
      </c>
      <c r="B831" s="18">
        <v>9.0</v>
      </c>
      <c r="C831" s="18">
        <v>16.0</v>
      </c>
      <c r="D831" s="18">
        <v>1.0</v>
      </c>
      <c r="F831" s="19" t="s">
        <v>46</v>
      </c>
    </row>
    <row r="832" ht="22.5" customHeight="1">
      <c r="A832" s="18">
        <v>927.0</v>
      </c>
      <c r="B832" s="18">
        <v>10.0</v>
      </c>
      <c r="C832" s="18">
        <v>16.0</v>
      </c>
      <c r="D832" s="18">
        <v>1.0</v>
      </c>
      <c r="F832" s="19" t="s">
        <v>46</v>
      </c>
    </row>
    <row r="833" ht="22.5" customHeight="1">
      <c r="A833" s="18">
        <v>928.0</v>
      </c>
      <c r="B833" s="18">
        <v>11.0</v>
      </c>
      <c r="C833" s="18">
        <v>16.0</v>
      </c>
      <c r="D833" s="18">
        <v>1.0</v>
      </c>
      <c r="F833" s="19" t="s">
        <v>46</v>
      </c>
    </row>
    <row r="834" ht="22.5" customHeight="1">
      <c r="A834" s="18">
        <v>929.0</v>
      </c>
      <c r="B834" s="18">
        <v>12.0</v>
      </c>
      <c r="C834" s="18">
        <v>16.0</v>
      </c>
      <c r="D834" s="18">
        <v>1.0</v>
      </c>
      <c r="F834" s="19" t="s">
        <v>46</v>
      </c>
    </row>
    <row r="835" ht="22.5" customHeight="1">
      <c r="A835" s="18">
        <v>930.0</v>
      </c>
      <c r="B835" s="18">
        <v>13.0</v>
      </c>
      <c r="C835" s="18">
        <v>16.0</v>
      </c>
      <c r="D835" s="18">
        <v>1.0</v>
      </c>
      <c r="F835" s="19" t="s">
        <v>46</v>
      </c>
    </row>
    <row r="836" ht="22.5" customHeight="1">
      <c r="A836" s="18">
        <v>931.0</v>
      </c>
      <c r="B836" s="18">
        <v>14.0</v>
      </c>
      <c r="C836" s="18">
        <v>16.0</v>
      </c>
      <c r="D836" s="18">
        <v>1.0</v>
      </c>
      <c r="F836" s="19" t="s">
        <v>46</v>
      </c>
    </row>
    <row r="837" ht="22.5" customHeight="1">
      <c r="A837" s="18">
        <v>932.0</v>
      </c>
      <c r="B837" s="18">
        <v>15.0</v>
      </c>
      <c r="C837" s="18">
        <v>16.0</v>
      </c>
      <c r="D837" s="18">
        <v>1.0</v>
      </c>
      <c r="F837" s="19" t="s">
        <v>46</v>
      </c>
    </row>
    <row r="838" ht="22.5" customHeight="1">
      <c r="A838" s="18">
        <v>933.0</v>
      </c>
      <c r="B838" s="18">
        <v>16.0</v>
      </c>
      <c r="C838" s="18">
        <v>16.0</v>
      </c>
      <c r="D838" s="18">
        <v>1.0</v>
      </c>
      <c r="F838" s="19" t="s">
        <v>46</v>
      </c>
    </row>
    <row r="839" ht="22.5" customHeight="1">
      <c r="A839" s="18">
        <v>934.0</v>
      </c>
      <c r="B839" s="18">
        <v>17.0</v>
      </c>
      <c r="C839" s="18">
        <v>16.0</v>
      </c>
      <c r="D839" s="18">
        <v>1.0</v>
      </c>
      <c r="F839" s="19" t="s">
        <v>46</v>
      </c>
    </row>
    <row r="840" ht="22.5" customHeight="1">
      <c r="A840" s="18">
        <v>935.0</v>
      </c>
      <c r="B840" s="18">
        <v>18.0</v>
      </c>
      <c r="C840" s="18">
        <v>16.0</v>
      </c>
      <c r="D840" s="18">
        <v>1.0</v>
      </c>
      <c r="F840" s="19" t="s">
        <v>46</v>
      </c>
    </row>
    <row r="841" ht="22.5" customHeight="1">
      <c r="A841" s="18">
        <v>936.0</v>
      </c>
      <c r="B841" s="18">
        <v>19.0</v>
      </c>
      <c r="C841" s="18">
        <v>16.0</v>
      </c>
      <c r="D841" s="18">
        <v>1.0</v>
      </c>
      <c r="F841" s="19" t="s">
        <v>46</v>
      </c>
    </row>
    <row r="842" ht="22.5" customHeight="1">
      <c r="A842" s="18">
        <v>937.0</v>
      </c>
      <c r="B842" s="18">
        <v>20.0</v>
      </c>
      <c r="C842" s="18">
        <v>16.0</v>
      </c>
      <c r="D842" s="18">
        <v>1.0</v>
      </c>
      <c r="F842" s="19" t="s">
        <v>46</v>
      </c>
    </row>
    <row r="843" ht="22.5" customHeight="1">
      <c r="A843" s="18">
        <v>938.0</v>
      </c>
      <c r="B843" s="18">
        <v>21.0</v>
      </c>
      <c r="C843" s="18">
        <v>16.0</v>
      </c>
      <c r="D843" s="18">
        <v>1.0</v>
      </c>
      <c r="F843" s="19" t="s">
        <v>46</v>
      </c>
    </row>
    <row r="844" ht="22.5" customHeight="1">
      <c r="A844" s="18">
        <v>939.0</v>
      </c>
      <c r="B844" s="18">
        <v>22.0</v>
      </c>
      <c r="C844" s="18">
        <v>16.0</v>
      </c>
      <c r="D844" s="18">
        <v>1.0</v>
      </c>
      <c r="F844" s="19" t="s">
        <v>46</v>
      </c>
    </row>
    <row r="845" ht="22.5" customHeight="1">
      <c r="A845" s="18">
        <v>940.0</v>
      </c>
      <c r="B845" s="18">
        <v>23.0</v>
      </c>
      <c r="C845" s="18">
        <v>16.0</v>
      </c>
      <c r="D845" s="18">
        <v>1.0</v>
      </c>
      <c r="F845" s="19" t="s">
        <v>46</v>
      </c>
    </row>
    <row r="846" ht="22.5" customHeight="1">
      <c r="A846" s="18">
        <v>941.0</v>
      </c>
      <c r="B846" s="18">
        <v>24.0</v>
      </c>
      <c r="C846" s="18">
        <v>16.0</v>
      </c>
      <c r="D846" s="18">
        <v>1.0</v>
      </c>
      <c r="F846" s="19" t="s">
        <v>46</v>
      </c>
    </row>
    <row r="847" ht="22.5" customHeight="1">
      <c r="A847" s="18">
        <v>942.0</v>
      </c>
      <c r="B847" s="18">
        <v>25.0</v>
      </c>
      <c r="C847" s="18">
        <v>16.0</v>
      </c>
      <c r="D847" s="18">
        <v>1.0</v>
      </c>
      <c r="F847" s="19" t="s">
        <v>46</v>
      </c>
    </row>
    <row r="848" ht="22.5" customHeight="1">
      <c r="A848" s="18">
        <v>943.0</v>
      </c>
      <c r="B848" s="18">
        <v>26.0</v>
      </c>
      <c r="C848" s="18">
        <v>16.0</v>
      </c>
      <c r="D848" s="18">
        <v>1.0</v>
      </c>
      <c r="F848" s="19" t="s">
        <v>46</v>
      </c>
    </row>
    <row r="849" ht="22.5" customHeight="1">
      <c r="A849" s="18">
        <v>944.0</v>
      </c>
      <c r="B849" s="18">
        <v>27.0</v>
      </c>
      <c r="C849" s="18">
        <v>16.0</v>
      </c>
      <c r="D849" s="18">
        <v>1.0</v>
      </c>
      <c r="F849" s="19" t="s">
        <v>46</v>
      </c>
    </row>
    <row r="850" ht="22.5" customHeight="1">
      <c r="A850" s="18">
        <v>945.0</v>
      </c>
      <c r="B850" s="18">
        <v>28.0</v>
      </c>
      <c r="C850" s="18">
        <v>16.0</v>
      </c>
      <c r="D850" s="18">
        <v>1.0</v>
      </c>
      <c r="F850" s="19" t="s">
        <v>46</v>
      </c>
    </row>
    <row r="851" ht="22.5" customHeight="1">
      <c r="A851" s="18">
        <v>946.0</v>
      </c>
      <c r="B851" s="18">
        <v>29.0</v>
      </c>
      <c r="C851" s="18">
        <v>16.0</v>
      </c>
      <c r="D851" s="18">
        <v>1.0</v>
      </c>
      <c r="F851" s="19" t="s">
        <v>46</v>
      </c>
    </row>
    <row r="852" ht="22.5" customHeight="1">
      <c r="A852" s="18">
        <v>947.0</v>
      </c>
      <c r="B852" s="18">
        <v>31.0</v>
      </c>
      <c r="C852" s="18">
        <v>16.0</v>
      </c>
      <c r="D852" s="18">
        <v>1.0</v>
      </c>
      <c r="F852" s="19" t="s">
        <v>46</v>
      </c>
    </row>
    <row r="853" ht="22.5" customHeight="1">
      <c r="A853" s="18">
        <v>948.0</v>
      </c>
      <c r="B853" s="18">
        <v>32.0</v>
      </c>
      <c r="C853" s="18">
        <v>16.0</v>
      </c>
      <c r="D853" s="18">
        <v>1.0</v>
      </c>
      <c r="F853" s="19" t="s">
        <v>46</v>
      </c>
    </row>
    <row r="854" ht="22.5" customHeight="1">
      <c r="A854" s="18">
        <v>949.0</v>
      </c>
      <c r="B854" s="18">
        <v>33.0</v>
      </c>
      <c r="C854" s="18">
        <v>16.0</v>
      </c>
      <c r="D854" s="18">
        <v>1.0</v>
      </c>
      <c r="F854" s="19" t="s">
        <v>46</v>
      </c>
    </row>
    <row r="855" ht="22.5" customHeight="1">
      <c r="A855" s="18">
        <v>950.0</v>
      </c>
      <c r="B855" s="18">
        <v>34.0</v>
      </c>
      <c r="C855" s="18">
        <v>16.0</v>
      </c>
      <c r="D855" s="18">
        <v>1.0</v>
      </c>
      <c r="E855" s="18" t="s">
        <v>723</v>
      </c>
      <c r="F855" s="19" t="s">
        <v>46</v>
      </c>
    </row>
    <row r="856" ht="22.5" customHeight="1">
      <c r="A856" s="18">
        <v>951.0</v>
      </c>
      <c r="B856" s="18">
        <v>35.0</v>
      </c>
      <c r="C856" s="18">
        <v>16.0</v>
      </c>
      <c r="D856" s="18">
        <v>1.0</v>
      </c>
      <c r="E856" s="18" t="s">
        <v>723</v>
      </c>
      <c r="F856" s="19" t="s">
        <v>46</v>
      </c>
    </row>
    <row r="857" ht="22.5" customHeight="1">
      <c r="A857" s="18">
        <v>952.0</v>
      </c>
      <c r="B857" s="18">
        <v>36.0</v>
      </c>
      <c r="C857" s="18">
        <v>16.0</v>
      </c>
      <c r="D857" s="18">
        <v>1.0</v>
      </c>
      <c r="E857" s="18" t="s">
        <v>723</v>
      </c>
      <c r="F857" s="19" t="s">
        <v>46</v>
      </c>
    </row>
    <row r="858" ht="22.5" customHeight="1">
      <c r="A858" s="18">
        <v>953.0</v>
      </c>
      <c r="B858" s="18">
        <v>37.0</v>
      </c>
      <c r="C858" s="18">
        <v>16.0</v>
      </c>
      <c r="D858" s="18">
        <v>1.0</v>
      </c>
      <c r="E858" s="18" t="s">
        <v>723</v>
      </c>
      <c r="F858" s="19" t="s">
        <v>46</v>
      </c>
    </row>
    <row r="859" ht="22.5" customHeight="1">
      <c r="A859" s="18">
        <v>954.0</v>
      </c>
      <c r="B859" s="18">
        <v>38.0</v>
      </c>
      <c r="C859" s="18">
        <v>16.0</v>
      </c>
      <c r="D859" s="18">
        <v>1.0</v>
      </c>
      <c r="E859" s="18" t="s">
        <v>723</v>
      </c>
      <c r="F859" s="19" t="s">
        <v>46</v>
      </c>
    </row>
    <row r="860" ht="22.5" customHeight="1">
      <c r="A860" s="18">
        <v>955.0</v>
      </c>
      <c r="B860" s="18">
        <v>39.0</v>
      </c>
      <c r="C860" s="18">
        <v>16.0</v>
      </c>
      <c r="D860" s="18">
        <v>1.0</v>
      </c>
      <c r="E860" s="18" t="s">
        <v>723</v>
      </c>
      <c r="F860" s="19" t="s">
        <v>46</v>
      </c>
    </row>
    <row r="861" ht="22.5" customHeight="1">
      <c r="A861" s="18">
        <v>956.0</v>
      </c>
      <c r="B861" s="18">
        <v>40.0</v>
      </c>
      <c r="C861" s="18">
        <v>16.0</v>
      </c>
      <c r="D861" s="18">
        <v>1.0</v>
      </c>
      <c r="E861" s="18" t="s">
        <v>723</v>
      </c>
      <c r="F861" s="19" t="s">
        <v>46</v>
      </c>
    </row>
    <row r="862" ht="22.5" customHeight="1">
      <c r="A862" s="18">
        <v>957.0</v>
      </c>
      <c r="B862" s="18">
        <v>41.0</v>
      </c>
      <c r="C862" s="18">
        <v>16.0</v>
      </c>
      <c r="D862" s="18">
        <v>1.0</v>
      </c>
      <c r="E862" s="18" t="s">
        <v>723</v>
      </c>
      <c r="F862" s="19" t="s">
        <v>46</v>
      </c>
    </row>
    <row r="863" ht="22.5" customHeight="1">
      <c r="A863" s="18">
        <v>958.0</v>
      </c>
      <c r="B863" s="18">
        <v>42.0</v>
      </c>
      <c r="C863" s="18">
        <v>16.0</v>
      </c>
      <c r="D863" s="18">
        <v>1.0</v>
      </c>
      <c r="E863" s="18" t="s">
        <v>746</v>
      </c>
      <c r="F863" s="19" t="s">
        <v>46</v>
      </c>
    </row>
    <row r="864" ht="22.5" customHeight="1">
      <c r="A864" s="18">
        <v>959.0</v>
      </c>
      <c r="B864" s="18">
        <v>43.0</v>
      </c>
      <c r="C864" s="18">
        <v>16.0</v>
      </c>
      <c r="D864" s="18">
        <v>1.0</v>
      </c>
      <c r="E864" s="18" t="s">
        <v>723</v>
      </c>
      <c r="F864" s="19" t="s">
        <v>46</v>
      </c>
    </row>
    <row r="865" ht="22.5" customHeight="1">
      <c r="A865" s="18">
        <v>960.0</v>
      </c>
      <c r="B865" s="18">
        <v>46.0</v>
      </c>
      <c r="C865" s="18">
        <v>16.0</v>
      </c>
      <c r="D865" s="18">
        <v>1.0</v>
      </c>
      <c r="E865" s="18" t="s">
        <v>755</v>
      </c>
      <c r="F865" s="19" t="s">
        <v>46</v>
      </c>
    </row>
    <row r="866" ht="22.5" customHeight="1">
      <c r="A866" s="18">
        <v>961.0</v>
      </c>
      <c r="B866" s="18">
        <v>49.0</v>
      </c>
      <c r="C866" s="18">
        <v>16.0</v>
      </c>
      <c r="D866" s="18">
        <v>1.0</v>
      </c>
      <c r="E866" s="18" t="s">
        <v>753</v>
      </c>
      <c r="F866" s="19" t="s">
        <v>46</v>
      </c>
    </row>
    <row r="867" ht="22.5" customHeight="1">
      <c r="A867" s="18">
        <v>962.0</v>
      </c>
      <c r="B867" s="18">
        <v>54.0</v>
      </c>
      <c r="C867" s="18">
        <v>16.0</v>
      </c>
      <c r="D867" s="18">
        <v>1.0</v>
      </c>
      <c r="F867" s="19" t="s">
        <v>46</v>
      </c>
    </row>
    <row r="868" ht="22.5" customHeight="1">
      <c r="A868" s="18">
        <v>963.0</v>
      </c>
      <c r="B868" s="18">
        <v>57.0</v>
      </c>
      <c r="C868" s="18">
        <v>16.0</v>
      </c>
      <c r="D868" s="18">
        <v>1.0</v>
      </c>
      <c r="E868" s="18" t="s">
        <v>753</v>
      </c>
      <c r="F868" s="19" t="s">
        <v>46</v>
      </c>
    </row>
    <row r="869" ht="22.5" customHeight="1">
      <c r="A869" s="18">
        <v>964.0</v>
      </c>
      <c r="B869" s="18">
        <v>59.0</v>
      </c>
      <c r="C869" s="18">
        <v>16.0</v>
      </c>
      <c r="D869" s="18">
        <v>1.0</v>
      </c>
      <c r="E869" s="18" t="s">
        <v>753</v>
      </c>
      <c r="F869" s="19" t="s">
        <v>46</v>
      </c>
    </row>
    <row r="870" ht="22.5" customHeight="1">
      <c r="A870" s="18">
        <v>965.0</v>
      </c>
      <c r="B870" s="18">
        <v>61.0</v>
      </c>
      <c r="C870" s="18">
        <v>16.0</v>
      </c>
      <c r="D870" s="18">
        <v>1.0</v>
      </c>
      <c r="E870" s="18" t="s">
        <v>753</v>
      </c>
      <c r="F870" s="19" t="s">
        <v>46</v>
      </c>
    </row>
    <row r="871" ht="22.5" customHeight="1">
      <c r="A871" s="18">
        <v>966.0</v>
      </c>
      <c r="B871" s="18">
        <v>63.0</v>
      </c>
      <c r="C871" s="18">
        <v>16.0</v>
      </c>
      <c r="D871" s="18">
        <v>2.0</v>
      </c>
      <c r="E871" s="18" t="s">
        <v>779</v>
      </c>
      <c r="F871" s="19" t="s">
        <v>46</v>
      </c>
    </row>
    <row r="872" ht="22.5" customHeight="1">
      <c r="A872" s="18">
        <v>967.0</v>
      </c>
      <c r="B872" s="18">
        <v>64.0</v>
      </c>
      <c r="C872" s="18">
        <v>16.0</v>
      </c>
      <c r="D872" s="18">
        <v>2.0</v>
      </c>
      <c r="F872" s="19" t="s">
        <v>46</v>
      </c>
    </row>
    <row r="873" ht="22.5" customHeight="1">
      <c r="A873" s="18">
        <v>968.0</v>
      </c>
      <c r="B873" s="18">
        <v>65.0</v>
      </c>
      <c r="C873" s="18">
        <v>16.0</v>
      </c>
      <c r="D873" s="18">
        <v>2.0</v>
      </c>
      <c r="F873" s="19" t="s">
        <v>46</v>
      </c>
    </row>
    <row r="874" ht="22.5" customHeight="1">
      <c r="A874" s="18">
        <v>969.0</v>
      </c>
      <c r="B874" s="18">
        <v>111.0</v>
      </c>
      <c r="C874" s="18">
        <v>16.0</v>
      </c>
      <c r="D874" s="18">
        <v>2.0</v>
      </c>
      <c r="F874" s="19" t="s">
        <v>46</v>
      </c>
    </row>
    <row r="875" ht="22.5" customHeight="1">
      <c r="A875" s="18">
        <v>970.0</v>
      </c>
      <c r="B875" s="18">
        <v>66.0</v>
      </c>
      <c r="C875" s="18">
        <v>16.0</v>
      </c>
      <c r="D875" s="18">
        <v>2.0</v>
      </c>
      <c r="E875" s="18" t="s">
        <v>785</v>
      </c>
      <c r="F875" s="19" t="s">
        <v>46</v>
      </c>
    </row>
    <row r="876" ht="22.5" customHeight="1">
      <c r="A876" s="18">
        <v>971.0</v>
      </c>
      <c r="B876" s="18">
        <v>67.0</v>
      </c>
      <c r="C876" s="18">
        <v>16.0</v>
      </c>
      <c r="D876" s="18">
        <v>2.0</v>
      </c>
      <c r="E876" s="18" t="s">
        <v>785</v>
      </c>
      <c r="F876" s="19" t="s">
        <v>46</v>
      </c>
    </row>
    <row r="877" ht="22.5" customHeight="1">
      <c r="A877" s="18">
        <v>972.0</v>
      </c>
      <c r="B877" s="18">
        <v>70.0</v>
      </c>
      <c r="C877" s="18">
        <v>16.0</v>
      </c>
      <c r="D877" s="18">
        <v>1.0</v>
      </c>
      <c r="E877" s="18" t="s">
        <v>723</v>
      </c>
      <c r="F877" s="19" t="s">
        <v>46</v>
      </c>
    </row>
    <row r="878" ht="22.5" customHeight="1">
      <c r="A878" s="18">
        <v>973.0</v>
      </c>
      <c r="B878" s="18">
        <v>71.0</v>
      </c>
      <c r="C878" s="18">
        <v>16.0</v>
      </c>
      <c r="D878" s="18">
        <v>2.0</v>
      </c>
      <c r="E878" s="18" t="s">
        <v>795</v>
      </c>
      <c r="F878" s="19" t="s">
        <v>46</v>
      </c>
    </row>
    <row r="879" ht="22.5" customHeight="1">
      <c r="A879" s="18">
        <v>974.0</v>
      </c>
      <c r="B879" s="18">
        <v>74.0</v>
      </c>
      <c r="C879" s="18">
        <v>16.0</v>
      </c>
      <c r="D879" s="18">
        <v>1.0</v>
      </c>
      <c r="E879" s="18" t="s">
        <v>723</v>
      </c>
      <c r="F879" s="19" t="s">
        <v>46</v>
      </c>
    </row>
    <row r="880" ht="22.5" customHeight="1">
      <c r="A880" s="18">
        <v>975.0</v>
      </c>
      <c r="B880" s="18">
        <v>75.0</v>
      </c>
      <c r="C880" s="18">
        <v>16.0</v>
      </c>
      <c r="D880" s="18">
        <v>2.0</v>
      </c>
      <c r="E880" s="18" t="s">
        <v>795</v>
      </c>
      <c r="F880" s="19" t="s">
        <v>46</v>
      </c>
    </row>
    <row r="881" ht="22.5" customHeight="1">
      <c r="A881" s="18">
        <v>976.0</v>
      </c>
      <c r="B881" s="18">
        <v>76.0</v>
      </c>
      <c r="C881" s="18">
        <v>16.0</v>
      </c>
      <c r="D881" s="18">
        <v>2.0</v>
      </c>
      <c r="E881" s="18" t="s">
        <v>795</v>
      </c>
      <c r="F881" s="19" t="s">
        <v>46</v>
      </c>
    </row>
    <row r="882" ht="22.5" customHeight="1">
      <c r="A882" s="18">
        <v>977.0</v>
      </c>
      <c r="B882" s="18">
        <v>78.0</v>
      </c>
      <c r="C882" s="18">
        <v>16.0</v>
      </c>
      <c r="D882" s="18">
        <v>2.0</v>
      </c>
      <c r="E882" s="18" t="s">
        <v>795</v>
      </c>
      <c r="F882" s="19" t="s">
        <v>46</v>
      </c>
    </row>
    <row r="883" ht="22.5" customHeight="1">
      <c r="A883" s="18">
        <v>978.0</v>
      </c>
      <c r="B883" s="18">
        <v>82.0</v>
      </c>
      <c r="C883" s="18">
        <v>16.0</v>
      </c>
      <c r="D883" s="18">
        <v>2.0</v>
      </c>
      <c r="E883" s="18" t="s">
        <v>795</v>
      </c>
      <c r="F883" s="19" t="s">
        <v>46</v>
      </c>
    </row>
    <row r="884" ht="22.5" customHeight="1">
      <c r="A884" s="18">
        <v>979.0</v>
      </c>
      <c r="B884" s="18">
        <v>84.0</v>
      </c>
      <c r="C884" s="18">
        <v>16.0</v>
      </c>
      <c r="D884" s="18">
        <v>2.0</v>
      </c>
      <c r="E884" s="18" t="s">
        <v>795</v>
      </c>
      <c r="F884" s="19" t="s">
        <v>46</v>
      </c>
    </row>
    <row r="885" ht="22.5" customHeight="1">
      <c r="A885" s="18">
        <v>980.0</v>
      </c>
      <c r="B885" s="18">
        <v>1.0</v>
      </c>
      <c r="C885" s="18">
        <v>17.0</v>
      </c>
      <c r="D885" s="18">
        <v>1.0</v>
      </c>
      <c r="F885" s="19" t="s">
        <v>46</v>
      </c>
    </row>
    <row r="886" ht="22.5" customHeight="1">
      <c r="A886" s="18">
        <v>981.0</v>
      </c>
      <c r="B886" s="18">
        <v>2.0</v>
      </c>
      <c r="C886" s="18">
        <v>17.0</v>
      </c>
      <c r="D886" s="18">
        <v>1.0</v>
      </c>
      <c r="F886" s="19" t="s">
        <v>46</v>
      </c>
    </row>
    <row r="887" ht="22.5" customHeight="1">
      <c r="A887" s="18">
        <v>982.0</v>
      </c>
      <c r="B887" s="18">
        <v>3.0</v>
      </c>
      <c r="C887" s="18">
        <v>17.0</v>
      </c>
      <c r="D887" s="18">
        <v>1.0</v>
      </c>
      <c r="F887" s="19" t="s">
        <v>46</v>
      </c>
    </row>
    <row r="888" ht="22.5" customHeight="1">
      <c r="A888" s="18">
        <v>983.0</v>
      </c>
      <c r="B888" s="18">
        <v>4.0</v>
      </c>
      <c r="C888" s="18">
        <v>17.0</v>
      </c>
      <c r="D888" s="18">
        <v>1.0</v>
      </c>
      <c r="F888" s="19" t="s">
        <v>46</v>
      </c>
    </row>
    <row r="889" ht="22.5" customHeight="1">
      <c r="A889" s="18">
        <v>984.0</v>
      </c>
      <c r="B889" s="18">
        <v>5.0</v>
      </c>
      <c r="C889" s="18">
        <v>17.0</v>
      </c>
      <c r="D889" s="18">
        <v>1.0</v>
      </c>
      <c r="F889" s="19" t="s">
        <v>46</v>
      </c>
    </row>
    <row r="890" ht="22.5" customHeight="1">
      <c r="A890" s="18">
        <v>985.0</v>
      </c>
      <c r="B890" s="18">
        <v>6.0</v>
      </c>
      <c r="C890" s="18">
        <v>17.0</v>
      </c>
      <c r="D890" s="18">
        <v>1.0</v>
      </c>
      <c r="F890" s="19" t="s">
        <v>46</v>
      </c>
    </row>
    <row r="891" ht="22.5" customHeight="1">
      <c r="A891" s="18">
        <v>986.0</v>
      </c>
      <c r="B891" s="18">
        <v>7.0</v>
      </c>
      <c r="C891" s="18">
        <v>17.0</v>
      </c>
      <c r="D891" s="18">
        <v>1.0</v>
      </c>
      <c r="F891" s="19" t="s">
        <v>46</v>
      </c>
    </row>
    <row r="892" ht="22.5" customHeight="1">
      <c r="A892" s="18">
        <v>987.0</v>
      </c>
      <c r="B892" s="18">
        <v>8.0</v>
      </c>
      <c r="C892" s="18">
        <v>17.0</v>
      </c>
      <c r="D892" s="18">
        <v>1.0</v>
      </c>
      <c r="F892" s="19" t="s">
        <v>46</v>
      </c>
    </row>
    <row r="893" ht="22.5" customHeight="1">
      <c r="A893" s="18">
        <v>988.0</v>
      </c>
      <c r="B893" s="18">
        <v>9.0</v>
      </c>
      <c r="C893" s="18">
        <v>17.0</v>
      </c>
      <c r="D893" s="18">
        <v>1.0</v>
      </c>
      <c r="F893" s="19" t="s">
        <v>46</v>
      </c>
    </row>
    <row r="894" ht="22.5" customHeight="1">
      <c r="A894" s="18">
        <v>989.0</v>
      </c>
      <c r="B894" s="18">
        <v>10.0</v>
      </c>
      <c r="C894" s="18">
        <v>17.0</v>
      </c>
      <c r="D894" s="18">
        <v>1.0</v>
      </c>
      <c r="F894" s="19" t="s">
        <v>46</v>
      </c>
    </row>
    <row r="895" ht="22.5" customHeight="1">
      <c r="A895" s="18">
        <v>990.0</v>
      </c>
      <c r="B895" s="18">
        <v>11.0</v>
      </c>
      <c r="C895" s="18">
        <v>17.0</v>
      </c>
      <c r="D895" s="18">
        <v>1.0</v>
      </c>
      <c r="F895" s="19" t="s">
        <v>46</v>
      </c>
    </row>
    <row r="896" ht="22.5" customHeight="1">
      <c r="A896" s="18">
        <v>991.0</v>
      </c>
      <c r="B896" s="18">
        <v>12.0</v>
      </c>
      <c r="C896" s="18">
        <v>17.0</v>
      </c>
      <c r="D896" s="18">
        <v>1.0</v>
      </c>
      <c r="F896" s="19" t="s">
        <v>46</v>
      </c>
    </row>
    <row r="897" ht="22.5" customHeight="1">
      <c r="A897" s="18">
        <v>992.0</v>
      </c>
      <c r="B897" s="18">
        <v>13.0</v>
      </c>
      <c r="C897" s="18">
        <v>17.0</v>
      </c>
      <c r="D897" s="18">
        <v>1.0</v>
      </c>
      <c r="F897" s="19" t="s">
        <v>46</v>
      </c>
    </row>
    <row r="898" ht="22.5" customHeight="1">
      <c r="A898" s="18">
        <v>993.0</v>
      </c>
      <c r="B898" s="18">
        <v>14.0</v>
      </c>
      <c r="C898" s="18">
        <v>17.0</v>
      </c>
      <c r="D898" s="18">
        <v>1.0</v>
      </c>
      <c r="F898" s="19" t="s">
        <v>46</v>
      </c>
    </row>
    <row r="899" ht="22.5" customHeight="1">
      <c r="A899" s="18">
        <v>994.0</v>
      </c>
      <c r="B899" s="18">
        <v>15.0</v>
      </c>
      <c r="C899" s="18">
        <v>17.0</v>
      </c>
      <c r="D899" s="18">
        <v>1.0</v>
      </c>
      <c r="F899" s="19" t="s">
        <v>46</v>
      </c>
    </row>
    <row r="900" ht="22.5" customHeight="1">
      <c r="A900" s="18">
        <v>995.0</v>
      </c>
      <c r="B900" s="18">
        <v>16.0</v>
      </c>
      <c r="C900" s="18">
        <v>17.0</v>
      </c>
      <c r="D900" s="18">
        <v>1.0</v>
      </c>
      <c r="F900" s="19" t="s">
        <v>46</v>
      </c>
    </row>
    <row r="901" ht="22.5" customHeight="1">
      <c r="A901" s="18">
        <v>996.0</v>
      </c>
      <c r="B901" s="18">
        <v>17.0</v>
      </c>
      <c r="C901" s="18">
        <v>17.0</v>
      </c>
      <c r="D901" s="18">
        <v>1.0</v>
      </c>
      <c r="F901" s="19" t="s">
        <v>46</v>
      </c>
    </row>
    <row r="902" ht="22.5" customHeight="1">
      <c r="A902" s="18">
        <v>997.0</v>
      </c>
      <c r="B902" s="18">
        <v>18.0</v>
      </c>
      <c r="C902" s="18">
        <v>17.0</v>
      </c>
      <c r="D902" s="18">
        <v>1.0</v>
      </c>
      <c r="F902" s="19" t="s">
        <v>46</v>
      </c>
    </row>
    <row r="903" ht="22.5" customHeight="1">
      <c r="A903" s="18">
        <v>998.0</v>
      </c>
      <c r="B903" s="18">
        <v>19.0</v>
      </c>
      <c r="C903" s="18">
        <v>17.0</v>
      </c>
      <c r="D903" s="18">
        <v>1.0</v>
      </c>
      <c r="F903" s="19" t="s">
        <v>46</v>
      </c>
    </row>
    <row r="904" ht="22.5" customHeight="1">
      <c r="A904" s="18">
        <v>999.0</v>
      </c>
      <c r="B904" s="18">
        <v>20.0</v>
      </c>
      <c r="C904" s="18">
        <v>17.0</v>
      </c>
      <c r="D904" s="18">
        <v>1.0</v>
      </c>
      <c r="F904" s="19" t="s">
        <v>46</v>
      </c>
    </row>
    <row r="905" ht="22.5" customHeight="1">
      <c r="A905" s="18">
        <v>1000.0</v>
      </c>
      <c r="B905" s="18">
        <v>21.0</v>
      </c>
      <c r="C905" s="18">
        <v>17.0</v>
      </c>
      <c r="D905" s="18">
        <v>1.0</v>
      </c>
      <c r="F905" s="19" t="s">
        <v>46</v>
      </c>
    </row>
    <row r="906" ht="22.5" customHeight="1">
      <c r="A906" s="18">
        <v>1001.0</v>
      </c>
      <c r="B906" s="18">
        <v>22.0</v>
      </c>
      <c r="C906" s="18">
        <v>17.0</v>
      </c>
      <c r="D906" s="18">
        <v>1.0</v>
      </c>
      <c r="F906" s="19" t="s">
        <v>46</v>
      </c>
    </row>
    <row r="907" ht="22.5" customHeight="1">
      <c r="A907" s="18">
        <v>1002.0</v>
      </c>
      <c r="B907" s="18">
        <v>23.0</v>
      </c>
      <c r="C907" s="18">
        <v>17.0</v>
      </c>
      <c r="D907" s="18">
        <v>1.0</v>
      </c>
      <c r="F907" s="19" t="s">
        <v>46</v>
      </c>
    </row>
    <row r="908" ht="22.5" customHeight="1">
      <c r="A908" s="18">
        <v>1003.0</v>
      </c>
      <c r="B908" s="18">
        <v>24.0</v>
      </c>
      <c r="C908" s="18">
        <v>17.0</v>
      </c>
      <c r="D908" s="18">
        <v>1.0</v>
      </c>
      <c r="F908" s="19" t="s">
        <v>46</v>
      </c>
    </row>
    <row r="909" ht="22.5" customHeight="1">
      <c r="A909" s="18">
        <v>1004.0</v>
      </c>
      <c r="B909" s="18">
        <v>25.0</v>
      </c>
      <c r="C909" s="18">
        <v>17.0</v>
      </c>
      <c r="D909" s="18">
        <v>1.0</v>
      </c>
      <c r="F909" s="19" t="s">
        <v>46</v>
      </c>
    </row>
    <row r="910" ht="22.5" customHeight="1">
      <c r="A910" s="18">
        <v>1005.0</v>
      </c>
      <c r="B910" s="18">
        <v>26.0</v>
      </c>
      <c r="C910" s="18">
        <v>17.0</v>
      </c>
      <c r="D910" s="18">
        <v>1.0</v>
      </c>
      <c r="F910" s="19" t="s">
        <v>46</v>
      </c>
    </row>
    <row r="911" ht="22.5" customHeight="1">
      <c r="A911" s="18">
        <v>1006.0</v>
      </c>
      <c r="B911" s="18">
        <v>27.0</v>
      </c>
      <c r="C911" s="18">
        <v>17.0</v>
      </c>
      <c r="D911" s="18">
        <v>1.0</v>
      </c>
      <c r="F911" s="19" t="s">
        <v>46</v>
      </c>
    </row>
    <row r="912" ht="22.5" customHeight="1">
      <c r="A912" s="18">
        <v>1007.0</v>
      </c>
      <c r="B912" s="18">
        <v>28.0</v>
      </c>
      <c r="C912" s="18">
        <v>17.0</v>
      </c>
      <c r="D912" s="18">
        <v>1.0</v>
      </c>
      <c r="F912" s="19" t="s">
        <v>46</v>
      </c>
    </row>
    <row r="913" ht="22.5" customHeight="1">
      <c r="A913" s="18">
        <v>1008.0</v>
      </c>
      <c r="B913" s="18">
        <v>29.0</v>
      </c>
      <c r="C913" s="18">
        <v>17.0</v>
      </c>
      <c r="D913" s="18">
        <v>1.0</v>
      </c>
      <c r="F913" s="19" t="s">
        <v>46</v>
      </c>
    </row>
    <row r="914" ht="22.5" customHeight="1">
      <c r="A914" s="18">
        <v>1009.0</v>
      </c>
      <c r="B914" s="18">
        <v>31.0</v>
      </c>
      <c r="C914" s="18">
        <v>17.0</v>
      </c>
      <c r="D914" s="18">
        <v>1.0</v>
      </c>
      <c r="F914" s="19" t="s">
        <v>46</v>
      </c>
    </row>
    <row r="915" ht="22.5" customHeight="1">
      <c r="A915" s="18">
        <v>1010.0</v>
      </c>
      <c r="B915" s="18">
        <v>32.0</v>
      </c>
      <c r="C915" s="18">
        <v>17.0</v>
      </c>
      <c r="D915" s="18">
        <v>1.0</v>
      </c>
      <c r="F915" s="19" t="s">
        <v>46</v>
      </c>
    </row>
    <row r="916" ht="22.5" customHeight="1">
      <c r="A916" s="18">
        <v>1011.0</v>
      </c>
      <c r="B916" s="18">
        <v>33.0</v>
      </c>
      <c r="C916" s="18">
        <v>17.0</v>
      </c>
      <c r="D916" s="18">
        <v>1.0</v>
      </c>
      <c r="F916" s="19" t="s">
        <v>46</v>
      </c>
    </row>
    <row r="917" ht="22.5" customHeight="1">
      <c r="A917" s="18">
        <v>1012.0</v>
      </c>
      <c r="B917" s="18">
        <v>34.0</v>
      </c>
      <c r="C917" s="18">
        <v>17.0</v>
      </c>
      <c r="D917" s="18">
        <v>1.0</v>
      </c>
      <c r="E917" s="18" t="s">
        <v>723</v>
      </c>
      <c r="F917" s="19" t="s">
        <v>46</v>
      </c>
    </row>
    <row r="918" ht="22.5" customHeight="1">
      <c r="A918" s="18">
        <v>1013.0</v>
      </c>
      <c r="B918" s="18">
        <v>35.0</v>
      </c>
      <c r="C918" s="18">
        <v>17.0</v>
      </c>
      <c r="D918" s="18">
        <v>1.0</v>
      </c>
      <c r="E918" s="18" t="s">
        <v>723</v>
      </c>
      <c r="F918" s="19" t="s">
        <v>46</v>
      </c>
    </row>
    <row r="919" ht="22.5" customHeight="1">
      <c r="A919" s="18">
        <v>1014.0</v>
      </c>
      <c r="B919" s="18">
        <v>36.0</v>
      </c>
      <c r="C919" s="18">
        <v>17.0</v>
      </c>
      <c r="D919" s="18">
        <v>1.0</v>
      </c>
      <c r="E919" s="18" t="s">
        <v>723</v>
      </c>
      <c r="F919" s="19" t="s">
        <v>46</v>
      </c>
    </row>
    <row r="920" ht="22.5" customHeight="1">
      <c r="A920" s="18">
        <v>1015.0</v>
      </c>
      <c r="B920" s="18">
        <v>37.0</v>
      </c>
      <c r="C920" s="18">
        <v>17.0</v>
      </c>
      <c r="D920" s="18">
        <v>1.0</v>
      </c>
      <c r="E920" s="18" t="s">
        <v>723</v>
      </c>
      <c r="F920" s="19" t="s">
        <v>46</v>
      </c>
    </row>
    <row r="921" ht="22.5" customHeight="1">
      <c r="A921" s="18">
        <v>1016.0</v>
      </c>
      <c r="B921" s="18">
        <v>38.0</v>
      </c>
      <c r="C921" s="18">
        <v>17.0</v>
      </c>
      <c r="D921" s="18">
        <v>1.0</v>
      </c>
      <c r="E921" s="18" t="s">
        <v>723</v>
      </c>
      <c r="F921" s="19" t="s">
        <v>46</v>
      </c>
    </row>
    <row r="922" ht="22.5" customHeight="1">
      <c r="A922" s="18">
        <v>1017.0</v>
      </c>
      <c r="B922" s="18">
        <v>40.0</v>
      </c>
      <c r="C922" s="18">
        <v>17.0</v>
      </c>
      <c r="D922" s="18">
        <v>1.0</v>
      </c>
      <c r="E922" s="18" t="s">
        <v>723</v>
      </c>
      <c r="F922" s="19" t="s">
        <v>46</v>
      </c>
    </row>
    <row r="923" ht="22.5" customHeight="1">
      <c r="A923" s="18">
        <v>1018.0</v>
      </c>
      <c r="B923" s="18">
        <v>41.0</v>
      </c>
      <c r="C923" s="18">
        <v>17.0</v>
      </c>
      <c r="D923" s="18">
        <v>1.0</v>
      </c>
      <c r="E923" s="18" t="s">
        <v>723</v>
      </c>
      <c r="F923" s="19" t="s">
        <v>46</v>
      </c>
    </row>
    <row r="924" ht="22.5" customHeight="1">
      <c r="A924" s="18">
        <v>1019.0</v>
      </c>
      <c r="B924" s="18">
        <v>63.0</v>
      </c>
      <c r="C924" s="18">
        <v>17.0</v>
      </c>
      <c r="D924" s="18">
        <v>1.0</v>
      </c>
      <c r="E924" s="18" t="s">
        <v>779</v>
      </c>
      <c r="F924" s="19" t="s">
        <v>46</v>
      </c>
    </row>
    <row r="925" ht="22.5" customHeight="1">
      <c r="A925" s="18">
        <v>1020.0</v>
      </c>
      <c r="B925" s="18">
        <v>1.0</v>
      </c>
      <c r="C925" s="18">
        <v>18.0</v>
      </c>
      <c r="D925" s="18">
        <v>1.0</v>
      </c>
      <c r="F925" s="19" t="s">
        <v>46</v>
      </c>
    </row>
    <row r="926" ht="22.5" customHeight="1">
      <c r="A926" s="18">
        <v>1021.0</v>
      </c>
      <c r="B926" s="18">
        <v>2.0</v>
      </c>
      <c r="C926" s="18">
        <v>18.0</v>
      </c>
      <c r="D926" s="18">
        <v>1.0</v>
      </c>
      <c r="F926" s="19" t="s">
        <v>46</v>
      </c>
    </row>
    <row r="927" ht="22.5" customHeight="1">
      <c r="A927" s="18">
        <v>1022.0</v>
      </c>
      <c r="B927" s="18">
        <v>3.0</v>
      </c>
      <c r="C927" s="18">
        <v>18.0</v>
      </c>
      <c r="D927" s="18">
        <v>1.0</v>
      </c>
      <c r="F927" s="19" t="s">
        <v>46</v>
      </c>
    </row>
    <row r="928" ht="22.5" customHeight="1">
      <c r="A928" s="18">
        <v>1023.0</v>
      </c>
      <c r="B928" s="18">
        <v>4.0</v>
      </c>
      <c r="C928" s="18">
        <v>18.0</v>
      </c>
      <c r="D928" s="18">
        <v>1.0</v>
      </c>
      <c r="F928" s="19" t="s">
        <v>46</v>
      </c>
    </row>
    <row r="929" ht="22.5" customHeight="1">
      <c r="A929" s="18">
        <v>1024.0</v>
      </c>
      <c r="B929" s="18">
        <v>5.0</v>
      </c>
      <c r="C929" s="18">
        <v>18.0</v>
      </c>
      <c r="D929" s="18">
        <v>1.0</v>
      </c>
      <c r="F929" s="19" t="s">
        <v>46</v>
      </c>
    </row>
    <row r="930" ht="22.5" customHeight="1">
      <c r="A930" s="18">
        <v>1025.0</v>
      </c>
      <c r="B930" s="18">
        <v>6.0</v>
      </c>
      <c r="C930" s="18">
        <v>18.0</v>
      </c>
      <c r="D930" s="18">
        <v>1.0</v>
      </c>
      <c r="F930" s="19" t="s">
        <v>46</v>
      </c>
    </row>
    <row r="931" ht="22.5" customHeight="1">
      <c r="A931" s="18">
        <v>1026.0</v>
      </c>
      <c r="B931" s="18">
        <v>7.0</v>
      </c>
      <c r="C931" s="18">
        <v>18.0</v>
      </c>
      <c r="D931" s="18">
        <v>1.0</v>
      </c>
      <c r="F931" s="19" t="s">
        <v>46</v>
      </c>
    </row>
    <row r="932" ht="22.5" customHeight="1">
      <c r="A932" s="18">
        <v>1027.0</v>
      </c>
      <c r="B932" s="18">
        <v>8.0</v>
      </c>
      <c r="C932" s="18">
        <v>18.0</v>
      </c>
      <c r="D932" s="18">
        <v>1.0</v>
      </c>
      <c r="F932" s="19" t="s">
        <v>46</v>
      </c>
    </row>
    <row r="933" ht="22.5" customHeight="1">
      <c r="A933" s="18">
        <v>1028.0</v>
      </c>
      <c r="B933" s="18">
        <v>9.0</v>
      </c>
      <c r="C933" s="18">
        <v>18.0</v>
      </c>
      <c r="D933" s="18">
        <v>1.0</v>
      </c>
      <c r="F933" s="19" t="s">
        <v>46</v>
      </c>
    </row>
    <row r="934" ht="22.5" customHeight="1">
      <c r="A934" s="18">
        <v>1029.0</v>
      </c>
      <c r="B934" s="18">
        <v>10.0</v>
      </c>
      <c r="C934" s="18">
        <v>18.0</v>
      </c>
      <c r="D934" s="18">
        <v>1.0</v>
      </c>
      <c r="F934" s="19" t="s">
        <v>46</v>
      </c>
    </row>
    <row r="935" ht="22.5" customHeight="1">
      <c r="A935" s="18">
        <v>1030.0</v>
      </c>
      <c r="B935" s="18">
        <v>11.0</v>
      </c>
      <c r="C935" s="18">
        <v>18.0</v>
      </c>
      <c r="D935" s="18">
        <v>1.0</v>
      </c>
      <c r="F935" s="19" t="s">
        <v>46</v>
      </c>
    </row>
    <row r="936" ht="22.5" customHeight="1">
      <c r="A936" s="18">
        <v>1031.0</v>
      </c>
      <c r="B936" s="18">
        <v>12.0</v>
      </c>
      <c r="C936" s="18">
        <v>18.0</v>
      </c>
      <c r="D936" s="18">
        <v>1.0</v>
      </c>
      <c r="F936" s="19" t="s">
        <v>46</v>
      </c>
    </row>
    <row r="937" ht="22.5" customHeight="1">
      <c r="A937" s="18">
        <v>1032.0</v>
      </c>
      <c r="B937" s="18">
        <v>13.0</v>
      </c>
      <c r="C937" s="18">
        <v>18.0</v>
      </c>
      <c r="D937" s="18">
        <v>1.0</v>
      </c>
      <c r="F937" s="19" t="s">
        <v>46</v>
      </c>
    </row>
    <row r="938" ht="22.5" customHeight="1">
      <c r="A938" s="18">
        <v>1033.0</v>
      </c>
      <c r="B938" s="18">
        <v>14.0</v>
      </c>
      <c r="C938" s="18">
        <v>18.0</v>
      </c>
      <c r="D938" s="18">
        <v>1.0</v>
      </c>
      <c r="F938" s="19" t="s">
        <v>46</v>
      </c>
    </row>
    <row r="939" ht="22.5" customHeight="1">
      <c r="A939" s="18">
        <v>1034.0</v>
      </c>
      <c r="B939" s="18">
        <v>15.0</v>
      </c>
      <c r="C939" s="18">
        <v>18.0</v>
      </c>
      <c r="D939" s="18">
        <v>1.0</v>
      </c>
      <c r="F939" s="19" t="s">
        <v>46</v>
      </c>
    </row>
    <row r="940" ht="22.5" customHeight="1">
      <c r="A940" s="18">
        <v>1035.0</v>
      </c>
      <c r="B940" s="18">
        <v>16.0</v>
      </c>
      <c r="C940" s="18">
        <v>18.0</v>
      </c>
      <c r="D940" s="18">
        <v>1.0</v>
      </c>
      <c r="F940" s="19" t="s">
        <v>46</v>
      </c>
    </row>
    <row r="941" ht="22.5" customHeight="1">
      <c r="A941" s="18">
        <v>1036.0</v>
      </c>
      <c r="B941" s="18">
        <v>17.0</v>
      </c>
      <c r="C941" s="18">
        <v>18.0</v>
      </c>
      <c r="D941" s="18">
        <v>1.0</v>
      </c>
      <c r="F941" s="19" t="s">
        <v>46</v>
      </c>
    </row>
    <row r="942" ht="22.5" customHeight="1">
      <c r="A942" s="18">
        <v>1037.0</v>
      </c>
      <c r="B942" s="18">
        <v>18.0</v>
      </c>
      <c r="C942" s="18">
        <v>18.0</v>
      </c>
      <c r="D942" s="18">
        <v>1.0</v>
      </c>
      <c r="F942" s="19" t="s">
        <v>46</v>
      </c>
    </row>
    <row r="943" ht="22.5" customHeight="1">
      <c r="A943" s="18">
        <v>1038.0</v>
      </c>
      <c r="B943" s="18">
        <v>19.0</v>
      </c>
      <c r="C943" s="18">
        <v>18.0</v>
      </c>
      <c r="D943" s="18">
        <v>1.0</v>
      </c>
      <c r="F943" s="19" t="s">
        <v>46</v>
      </c>
    </row>
    <row r="944" ht="22.5" customHeight="1">
      <c r="A944" s="18">
        <v>1039.0</v>
      </c>
      <c r="B944" s="18">
        <v>20.0</v>
      </c>
      <c r="C944" s="18">
        <v>18.0</v>
      </c>
      <c r="D944" s="18">
        <v>1.0</v>
      </c>
      <c r="F944" s="19" t="s">
        <v>46</v>
      </c>
    </row>
    <row r="945" ht="22.5" customHeight="1">
      <c r="A945" s="18">
        <v>1040.0</v>
      </c>
      <c r="B945" s="18">
        <v>21.0</v>
      </c>
      <c r="C945" s="18">
        <v>18.0</v>
      </c>
      <c r="D945" s="18">
        <v>1.0</v>
      </c>
      <c r="F945" s="19" t="s">
        <v>46</v>
      </c>
    </row>
    <row r="946" ht="22.5" customHeight="1">
      <c r="A946" s="18">
        <v>1041.0</v>
      </c>
      <c r="B946" s="18">
        <v>22.0</v>
      </c>
      <c r="C946" s="18">
        <v>18.0</v>
      </c>
      <c r="D946" s="18">
        <v>1.0</v>
      </c>
      <c r="F946" s="19" t="s">
        <v>46</v>
      </c>
    </row>
    <row r="947" ht="22.5" customHeight="1">
      <c r="A947" s="18">
        <v>1042.0</v>
      </c>
      <c r="B947" s="18">
        <v>23.0</v>
      </c>
      <c r="C947" s="18">
        <v>18.0</v>
      </c>
      <c r="D947" s="18">
        <v>1.0</v>
      </c>
      <c r="F947" s="19" t="s">
        <v>46</v>
      </c>
    </row>
    <row r="948" ht="22.5" customHeight="1">
      <c r="A948" s="18">
        <v>1043.0</v>
      </c>
      <c r="B948" s="18">
        <v>24.0</v>
      </c>
      <c r="C948" s="18">
        <v>18.0</v>
      </c>
      <c r="D948" s="18">
        <v>1.0</v>
      </c>
      <c r="F948" s="19" t="s">
        <v>46</v>
      </c>
    </row>
    <row r="949" ht="22.5" customHeight="1">
      <c r="A949" s="18">
        <v>1044.0</v>
      </c>
      <c r="B949" s="18">
        <v>25.0</v>
      </c>
      <c r="C949" s="18">
        <v>18.0</v>
      </c>
      <c r="D949" s="18">
        <v>1.0</v>
      </c>
      <c r="F949" s="19" t="s">
        <v>46</v>
      </c>
    </row>
    <row r="950" ht="22.5" customHeight="1">
      <c r="A950" s="18">
        <v>1045.0</v>
      </c>
      <c r="B950" s="18">
        <v>26.0</v>
      </c>
      <c r="C950" s="18">
        <v>18.0</v>
      </c>
      <c r="D950" s="18">
        <v>1.0</v>
      </c>
      <c r="F950" s="19" t="s">
        <v>46</v>
      </c>
    </row>
    <row r="951" ht="22.5" customHeight="1">
      <c r="A951" s="18">
        <v>1046.0</v>
      </c>
      <c r="B951" s="18">
        <v>27.0</v>
      </c>
      <c r="C951" s="18">
        <v>18.0</v>
      </c>
      <c r="D951" s="18">
        <v>1.0</v>
      </c>
      <c r="F951" s="19" t="s">
        <v>46</v>
      </c>
    </row>
    <row r="952" ht="22.5" customHeight="1">
      <c r="A952" s="18">
        <v>1047.0</v>
      </c>
      <c r="B952" s="18">
        <v>28.0</v>
      </c>
      <c r="C952" s="18">
        <v>18.0</v>
      </c>
      <c r="D952" s="18">
        <v>1.0</v>
      </c>
      <c r="F952" s="19" t="s">
        <v>46</v>
      </c>
    </row>
    <row r="953" ht="22.5" customHeight="1">
      <c r="A953" s="18">
        <v>1048.0</v>
      </c>
      <c r="B953" s="18">
        <v>29.0</v>
      </c>
      <c r="C953" s="18">
        <v>18.0</v>
      </c>
      <c r="D953" s="18">
        <v>1.0</v>
      </c>
      <c r="F953" s="19" t="s">
        <v>46</v>
      </c>
    </row>
    <row r="954" ht="22.5" customHeight="1">
      <c r="A954" s="18">
        <v>1049.0</v>
      </c>
      <c r="B954" s="18">
        <v>30.0</v>
      </c>
      <c r="C954" s="18">
        <v>18.0</v>
      </c>
      <c r="D954" s="18">
        <v>1.0</v>
      </c>
      <c r="F954" s="19" t="s">
        <v>46</v>
      </c>
    </row>
    <row r="955" ht="22.5" customHeight="1">
      <c r="A955" s="18">
        <v>1050.0</v>
      </c>
      <c r="B955" s="18">
        <v>31.0</v>
      </c>
      <c r="C955" s="18">
        <v>18.0</v>
      </c>
      <c r="D955" s="18">
        <v>1.0</v>
      </c>
      <c r="F955" s="19" t="s">
        <v>46</v>
      </c>
    </row>
    <row r="956" ht="22.5" customHeight="1">
      <c r="A956" s="18">
        <v>1051.0</v>
      </c>
      <c r="B956" s="18">
        <v>32.0</v>
      </c>
      <c r="C956" s="18">
        <v>18.0</v>
      </c>
      <c r="D956" s="18">
        <v>1.0</v>
      </c>
      <c r="F956" s="19" t="s">
        <v>46</v>
      </c>
    </row>
    <row r="957" ht="22.5" customHeight="1">
      <c r="A957" s="18">
        <v>1052.0</v>
      </c>
      <c r="B957" s="18">
        <v>33.0</v>
      </c>
      <c r="C957" s="18">
        <v>18.0</v>
      </c>
      <c r="D957" s="18">
        <v>1.0</v>
      </c>
      <c r="F957" s="19" t="s">
        <v>46</v>
      </c>
    </row>
    <row r="958" ht="22.5" customHeight="1">
      <c r="A958" s="18">
        <v>1053.0</v>
      </c>
      <c r="B958" s="18">
        <v>34.0</v>
      </c>
      <c r="C958" s="18">
        <v>18.0</v>
      </c>
      <c r="D958" s="18">
        <v>1.0</v>
      </c>
      <c r="E958" s="18" t="s">
        <v>723</v>
      </c>
      <c r="F958" s="19" t="s">
        <v>46</v>
      </c>
    </row>
    <row r="959" ht="22.5" customHeight="1">
      <c r="A959" s="18">
        <v>1054.0</v>
      </c>
      <c r="B959" s="18">
        <v>35.0</v>
      </c>
      <c r="C959" s="18">
        <v>18.0</v>
      </c>
      <c r="D959" s="18">
        <v>1.0</v>
      </c>
      <c r="E959" s="18" t="s">
        <v>723</v>
      </c>
      <c r="F959" s="19" t="s">
        <v>46</v>
      </c>
    </row>
    <row r="960" ht="22.5" customHeight="1">
      <c r="A960" s="18">
        <v>1055.0</v>
      </c>
      <c r="B960" s="18">
        <v>36.0</v>
      </c>
      <c r="C960" s="18">
        <v>18.0</v>
      </c>
      <c r="D960" s="18">
        <v>1.0</v>
      </c>
      <c r="E960" s="18" t="s">
        <v>723</v>
      </c>
      <c r="F960" s="19" t="s">
        <v>46</v>
      </c>
    </row>
    <row r="961" ht="22.5" customHeight="1">
      <c r="A961" s="18">
        <v>1056.0</v>
      </c>
      <c r="B961" s="18">
        <v>37.0</v>
      </c>
      <c r="C961" s="18">
        <v>18.0</v>
      </c>
      <c r="D961" s="18">
        <v>1.0</v>
      </c>
      <c r="E961" s="18" t="s">
        <v>723</v>
      </c>
      <c r="F961" s="19" t="s">
        <v>46</v>
      </c>
    </row>
    <row r="962" ht="22.5" customHeight="1">
      <c r="A962" s="18">
        <v>1057.0</v>
      </c>
      <c r="B962" s="18">
        <v>38.0</v>
      </c>
      <c r="C962" s="18">
        <v>18.0</v>
      </c>
      <c r="D962" s="18">
        <v>1.0</v>
      </c>
      <c r="E962" s="18" t="s">
        <v>723</v>
      </c>
      <c r="F962" s="19" t="s">
        <v>46</v>
      </c>
    </row>
    <row r="963" ht="22.5" customHeight="1">
      <c r="A963" s="18">
        <v>1058.0</v>
      </c>
      <c r="B963" s="18">
        <v>40.0</v>
      </c>
      <c r="C963" s="18">
        <v>18.0</v>
      </c>
      <c r="D963" s="18">
        <v>1.0</v>
      </c>
      <c r="E963" s="18" t="s">
        <v>723</v>
      </c>
      <c r="F963" s="19" t="s">
        <v>46</v>
      </c>
    </row>
    <row r="964" ht="22.5" customHeight="1">
      <c r="A964" s="18">
        <v>1059.0</v>
      </c>
      <c r="B964" s="18">
        <v>41.0</v>
      </c>
      <c r="C964" s="18">
        <v>18.0</v>
      </c>
      <c r="D964" s="18">
        <v>1.0</v>
      </c>
      <c r="E964" s="18" t="s">
        <v>723</v>
      </c>
      <c r="F964" s="19" t="s">
        <v>46</v>
      </c>
    </row>
    <row r="965" ht="22.5" customHeight="1">
      <c r="A965" s="18">
        <v>1060.0</v>
      </c>
      <c r="B965" s="18">
        <v>63.0</v>
      </c>
      <c r="C965" s="18">
        <v>18.0</v>
      </c>
      <c r="D965" s="18">
        <v>1.0</v>
      </c>
      <c r="E965" s="18" t="s">
        <v>779</v>
      </c>
      <c r="F965" s="19" t="s">
        <v>46</v>
      </c>
    </row>
    <row r="966" ht="22.5" customHeight="1">
      <c r="A966" s="18">
        <v>1061.0</v>
      </c>
      <c r="B966" s="18">
        <v>64.0</v>
      </c>
      <c r="C966" s="18">
        <v>18.0</v>
      </c>
      <c r="D966" s="18">
        <v>1.0</v>
      </c>
      <c r="F966" s="19" t="s">
        <v>46</v>
      </c>
    </row>
    <row r="967" ht="22.5" customHeight="1">
      <c r="A967" s="18">
        <v>1062.0</v>
      </c>
      <c r="B967" s="18">
        <v>65.0</v>
      </c>
      <c r="C967" s="18">
        <v>18.0</v>
      </c>
      <c r="D967" s="18">
        <v>2.0</v>
      </c>
      <c r="F967" s="19" t="s">
        <v>46</v>
      </c>
    </row>
    <row r="968" ht="22.5" customHeight="1">
      <c r="A968" s="18">
        <v>1063.0</v>
      </c>
      <c r="B968" s="18">
        <v>111.0</v>
      </c>
      <c r="C968" s="18">
        <v>18.0</v>
      </c>
      <c r="D968" s="18">
        <v>2.0</v>
      </c>
      <c r="F968" s="19" t="s">
        <v>46</v>
      </c>
    </row>
    <row r="969" ht="22.5" customHeight="1">
      <c r="A969" s="18">
        <v>1064.0</v>
      </c>
      <c r="B969" s="18">
        <v>66.0</v>
      </c>
      <c r="C969" s="18">
        <v>18.0</v>
      </c>
      <c r="D969" s="18">
        <v>2.0</v>
      </c>
      <c r="E969" s="18" t="s">
        <v>785</v>
      </c>
      <c r="F969" s="19" t="s">
        <v>46</v>
      </c>
    </row>
    <row r="970" ht="22.5" customHeight="1">
      <c r="A970" s="18">
        <v>1065.0</v>
      </c>
      <c r="B970" s="18">
        <v>67.0</v>
      </c>
      <c r="C970" s="18">
        <v>18.0</v>
      </c>
      <c r="D970" s="18">
        <v>2.0</v>
      </c>
      <c r="E970" s="18" t="s">
        <v>785</v>
      </c>
      <c r="F970" s="19" t="s">
        <v>46</v>
      </c>
    </row>
    <row r="971" ht="22.5" customHeight="1">
      <c r="A971" s="18">
        <v>1066.0</v>
      </c>
      <c r="B971" s="18">
        <v>1.0</v>
      </c>
      <c r="C971" s="18">
        <v>19.0</v>
      </c>
      <c r="D971" s="18">
        <v>1.0</v>
      </c>
      <c r="F971" s="19" t="s">
        <v>46</v>
      </c>
    </row>
    <row r="972" ht="22.5" customHeight="1">
      <c r="A972" s="18">
        <v>1067.0</v>
      </c>
      <c r="B972" s="18">
        <v>2.0</v>
      </c>
      <c r="C972" s="18">
        <v>19.0</v>
      </c>
      <c r="D972" s="18">
        <v>1.0</v>
      </c>
      <c r="F972" s="19" t="s">
        <v>46</v>
      </c>
    </row>
    <row r="973" ht="22.5" customHeight="1">
      <c r="A973" s="18">
        <v>1068.0</v>
      </c>
      <c r="B973" s="18">
        <v>3.0</v>
      </c>
      <c r="C973" s="18">
        <v>19.0</v>
      </c>
      <c r="D973" s="18">
        <v>1.0</v>
      </c>
      <c r="F973" s="19" t="s">
        <v>46</v>
      </c>
    </row>
    <row r="974" ht="22.5" customHeight="1">
      <c r="A974" s="18">
        <v>1069.0</v>
      </c>
      <c r="B974" s="18">
        <v>4.0</v>
      </c>
      <c r="C974" s="18">
        <v>19.0</v>
      </c>
      <c r="D974" s="18">
        <v>1.0</v>
      </c>
      <c r="F974" s="19" t="s">
        <v>46</v>
      </c>
    </row>
    <row r="975" ht="22.5" customHeight="1">
      <c r="A975" s="18">
        <v>1070.0</v>
      </c>
      <c r="B975" s="18">
        <v>5.0</v>
      </c>
      <c r="C975" s="18">
        <v>19.0</v>
      </c>
      <c r="D975" s="18">
        <v>1.0</v>
      </c>
      <c r="F975" s="19" t="s">
        <v>46</v>
      </c>
    </row>
    <row r="976" ht="22.5" customHeight="1">
      <c r="A976" s="18">
        <v>1071.0</v>
      </c>
      <c r="B976" s="18">
        <v>6.0</v>
      </c>
      <c r="C976" s="18">
        <v>19.0</v>
      </c>
      <c r="D976" s="18">
        <v>1.0</v>
      </c>
      <c r="F976" s="19" t="s">
        <v>46</v>
      </c>
    </row>
    <row r="977" ht="22.5" customHeight="1">
      <c r="A977" s="18">
        <v>1072.0</v>
      </c>
      <c r="B977" s="18">
        <v>7.0</v>
      </c>
      <c r="C977" s="18">
        <v>19.0</v>
      </c>
      <c r="D977" s="18">
        <v>1.0</v>
      </c>
      <c r="F977" s="19" t="s">
        <v>46</v>
      </c>
    </row>
    <row r="978" ht="22.5" customHeight="1">
      <c r="A978" s="18">
        <v>1073.0</v>
      </c>
      <c r="B978" s="18">
        <v>8.0</v>
      </c>
      <c r="C978" s="18">
        <v>19.0</v>
      </c>
      <c r="D978" s="18">
        <v>1.0</v>
      </c>
      <c r="F978" s="19" t="s">
        <v>46</v>
      </c>
    </row>
    <row r="979" ht="22.5" customHeight="1">
      <c r="A979" s="18">
        <v>1074.0</v>
      </c>
      <c r="B979" s="18">
        <v>9.0</v>
      </c>
      <c r="C979" s="18">
        <v>19.0</v>
      </c>
      <c r="D979" s="18">
        <v>1.0</v>
      </c>
      <c r="F979" s="19" t="s">
        <v>46</v>
      </c>
    </row>
    <row r="980" ht="22.5" customHeight="1">
      <c r="A980" s="18">
        <v>1075.0</v>
      </c>
      <c r="B980" s="18">
        <v>10.0</v>
      </c>
      <c r="C980" s="18">
        <v>19.0</v>
      </c>
      <c r="D980" s="18">
        <v>1.0</v>
      </c>
      <c r="F980" s="19" t="s">
        <v>46</v>
      </c>
    </row>
    <row r="981" ht="22.5" customHeight="1">
      <c r="A981" s="18">
        <v>1076.0</v>
      </c>
      <c r="B981" s="18">
        <v>11.0</v>
      </c>
      <c r="C981" s="18">
        <v>19.0</v>
      </c>
      <c r="D981" s="18">
        <v>1.0</v>
      </c>
      <c r="F981" s="19" t="s">
        <v>46</v>
      </c>
    </row>
    <row r="982" ht="22.5" customHeight="1">
      <c r="A982" s="18">
        <v>1077.0</v>
      </c>
      <c r="B982" s="18">
        <v>12.0</v>
      </c>
      <c r="C982" s="18">
        <v>19.0</v>
      </c>
      <c r="D982" s="18">
        <v>1.0</v>
      </c>
      <c r="F982" s="19" t="s">
        <v>46</v>
      </c>
    </row>
    <row r="983" ht="22.5" customHeight="1">
      <c r="A983" s="18">
        <v>1078.0</v>
      </c>
      <c r="B983" s="18">
        <v>13.0</v>
      </c>
      <c r="C983" s="18">
        <v>19.0</v>
      </c>
      <c r="D983" s="18">
        <v>1.0</v>
      </c>
      <c r="F983" s="19" t="s">
        <v>46</v>
      </c>
    </row>
    <row r="984" ht="22.5" customHeight="1">
      <c r="A984" s="18">
        <v>1079.0</v>
      </c>
      <c r="B984" s="18">
        <v>14.0</v>
      </c>
      <c r="C984" s="18">
        <v>19.0</v>
      </c>
      <c r="D984" s="18">
        <v>1.0</v>
      </c>
      <c r="F984" s="19" t="s">
        <v>46</v>
      </c>
    </row>
    <row r="985" ht="22.5" customHeight="1">
      <c r="A985" s="18">
        <v>1080.0</v>
      </c>
      <c r="B985" s="18">
        <v>15.0</v>
      </c>
      <c r="C985" s="18">
        <v>19.0</v>
      </c>
      <c r="D985" s="18">
        <v>1.0</v>
      </c>
      <c r="F985" s="19" t="s">
        <v>46</v>
      </c>
    </row>
    <row r="986" ht="22.5" customHeight="1">
      <c r="A986" s="18">
        <v>1081.0</v>
      </c>
      <c r="B986" s="18">
        <v>16.0</v>
      </c>
      <c r="C986" s="18">
        <v>19.0</v>
      </c>
      <c r="D986" s="18">
        <v>1.0</v>
      </c>
      <c r="F986" s="19" t="s">
        <v>46</v>
      </c>
    </row>
    <row r="987" ht="22.5" customHeight="1">
      <c r="A987" s="18">
        <v>1082.0</v>
      </c>
      <c r="B987" s="18">
        <v>17.0</v>
      </c>
      <c r="C987" s="18">
        <v>19.0</v>
      </c>
      <c r="D987" s="18">
        <v>1.0</v>
      </c>
      <c r="F987" s="19" t="s">
        <v>46</v>
      </c>
    </row>
    <row r="988" ht="22.5" customHeight="1">
      <c r="A988" s="18">
        <v>1083.0</v>
      </c>
      <c r="B988" s="18">
        <v>18.0</v>
      </c>
      <c r="C988" s="18">
        <v>19.0</v>
      </c>
      <c r="D988" s="18">
        <v>1.0</v>
      </c>
      <c r="F988" s="19" t="s">
        <v>46</v>
      </c>
    </row>
    <row r="989" ht="22.5" customHeight="1">
      <c r="A989" s="18">
        <v>1084.0</v>
      </c>
      <c r="B989" s="18">
        <v>19.0</v>
      </c>
      <c r="C989" s="18">
        <v>19.0</v>
      </c>
      <c r="D989" s="18">
        <v>1.0</v>
      </c>
      <c r="F989" s="19" t="s">
        <v>46</v>
      </c>
    </row>
    <row r="990" ht="22.5" customHeight="1">
      <c r="A990" s="18">
        <v>1085.0</v>
      </c>
      <c r="B990" s="18">
        <v>20.0</v>
      </c>
      <c r="C990" s="18">
        <v>19.0</v>
      </c>
      <c r="D990" s="18">
        <v>1.0</v>
      </c>
      <c r="F990" s="19" t="s">
        <v>46</v>
      </c>
    </row>
    <row r="991" ht="22.5" customHeight="1">
      <c r="A991" s="18">
        <v>1086.0</v>
      </c>
      <c r="B991" s="18">
        <v>21.0</v>
      </c>
      <c r="C991" s="18">
        <v>19.0</v>
      </c>
      <c r="D991" s="18">
        <v>1.0</v>
      </c>
      <c r="F991" s="19" t="s">
        <v>46</v>
      </c>
    </row>
    <row r="992" ht="22.5" customHeight="1">
      <c r="A992" s="18">
        <v>1087.0</v>
      </c>
      <c r="B992" s="18">
        <v>22.0</v>
      </c>
      <c r="C992" s="18">
        <v>19.0</v>
      </c>
      <c r="D992" s="18">
        <v>1.0</v>
      </c>
      <c r="F992" s="19" t="s">
        <v>46</v>
      </c>
    </row>
    <row r="993" ht="22.5" customHeight="1">
      <c r="A993" s="18">
        <v>1088.0</v>
      </c>
      <c r="B993" s="18">
        <v>23.0</v>
      </c>
      <c r="C993" s="18">
        <v>19.0</v>
      </c>
      <c r="D993" s="18">
        <v>1.0</v>
      </c>
      <c r="F993" s="19" t="s">
        <v>46</v>
      </c>
    </row>
    <row r="994" ht="22.5" customHeight="1">
      <c r="A994" s="18">
        <v>1089.0</v>
      </c>
      <c r="B994" s="18">
        <v>24.0</v>
      </c>
      <c r="C994" s="18">
        <v>19.0</v>
      </c>
      <c r="D994" s="18">
        <v>1.0</v>
      </c>
      <c r="F994" s="19" t="s">
        <v>46</v>
      </c>
    </row>
    <row r="995" ht="22.5" customHeight="1">
      <c r="A995" s="18">
        <v>1090.0</v>
      </c>
      <c r="B995" s="18">
        <v>25.0</v>
      </c>
      <c r="C995" s="18">
        <v>19.0</v>
      </c>
      <c r="D995" s="18">
        <v>1.0</v>
      </c>
      <c r="F995" s="19" t="s">
        <v>46</v>
      </c>
    </row>
    <row r="996" ht="22.5" customHeight="1">
      <c r="A996" s="18">
        <v>1091.0</v>
      </c>
      <c r="B996" s="18">
        <v>26.0</v>
      </c>
      <c r="C996" s="18">
        <v>19.0</v>
      </c>
      <c r="D996" s="18">
        <v>1.0</v>
      </c>
      <c r="F996" s="19" t="s">
        <v>46</v>
      </c>
    </row>
    <row r="997" ht="22.5" customHeight="1">
      <c r="A997" s="18">
        <v>1092.0</v>
      </c>
      <c r="B997" s="18">
        <v>27.0</v>
      </c>
      <c r="C997" s="18">
        <v>19.0</v>
      </c>
      <c r="D997" s="18">
        <v>1.0</v>
      </c>
      <c r="F997" s="19" t="s">
        <v>46</v>
      </c>
    </row>
    <row r="998" ht="22.5" customHeight="1">
      <c r="A998" s="18">
        <v>1093.0</v>
      </c>
      <c r="B998" s="18">
        <v>28.0</v>
      </c>
      <c r="C998" s="18">
        <v>19.0</v>
      </c>
      <c r="D998" s="18">
        <v>1.0</v>
      </c>
      <c r="F998" s="19" t="s">
        <v>46</v>
      </c>
    </row>
    <row r="999" ht="22.5" customHeight="1">
      <c r="A999" s="18">
        <v>1094.0</v>
      </c>
      <c r="B999" s="18">
        <v>29.0</v>
      </c>
      <c r="C999" s="18">
        <v>19.0</v>
      </c>
      <c r="D999" s="18">
        <v>1.0</v>
      </c>
      <c r="F999" s="19" t="s">
        <v>46</v>
      </c>
    </row>
    <row r="1000" ht="22.5" customHeight="1">
      <c r="A1000" s="18">
        <v>1095.0</v>
      </c>
      <c r="B1000" s="18">
        <v>31.0</v>
      </c>
      <c r="C1000" s="18">
        <v>19.0</v>
      </c>
      <c r="D1000" s="18">
        <v>1.0</v>
      </c>
      <c r="F1000" s="19" t="s">
        <v>46</v>
      </c>
    </row>
    <row r="1001" ht="22.5" customHeight="1">
      <c r="A1001" s="18">
        <v>1096.0</v>
      </c>
      <c r="B1001" s="18">
        <v>32.0</v>
      </c>
      <c r="C1001" s="18">
        <v>19.0</v>
      </c>
      <c r="D1001" s="18">
        <v>1.0</v>
      </c>
      <c r="F1001" s="19" t="s">
        <v>46</v>
      </c>
    </row>
    <row r="1002" ht="22.5" customHeight="1">
      <c r="A1002" s="18">
        <v>1097.0</v>
      </c>
      <c r="B1002" s="18">
        <v>33.0</v>
      </c>
      <c r="C1002" s="18">
        <v>19.0</v>
      </c>
      <c r="D1002" s="18">
        <v>1.0</v>
      </c>
      <c r="F1002" s="19" t="s">
        <v>46</v>
      </c>
    </row>
    <row r="1003" ht="22.5" customHeight="1">
      <c r="A1003" s="18">
        <v>1098.0</v>
      </c>
      <c r="B1003" s="18">
        <v>34.0</v>
      </c>
      <c r="C1003" s="18">
        <v>19.0</v>
      </c>
      <c r="D1003" s="18">
        <v>1.0</v>
      </c>
      <c r="E1003" s="18" t="s">
        <v>723</v>
      </c>
      <c r="F1003" s="19" t="s">
        <v>46</v>
      </c>
    </row>
    <row r="1004" ht="22.5" customHeight="1">
      <c r="A1004" s="18">
        <v>1099.0</v>
      </c>
      <c r="B1004" s="18">
        <v>35.0</v>
      </c>
      <c r="C1004" s="18">
        <v>19.0</v>
      </c>
      <c r="D1004" s="18">
        <v>1.0</v>
      </c>
      <c r="E1004" s="18" t="s">
        <v>723</v>
      </c>
      <c r="F1004" s="19" t="s">
        <v>46</v>
      </c>
    </row>
    <row r="1005" ht="22.5" customHeight="1">
      <c r="A1005" s="18">
        <v>1100.0</v>
      </c>
      <c r="B1005" s="18">
        <v>36.0</v>
      </c>
      <c r="C1005" s="18">
        <v>19.0</v>
      </c>
      <c r="D1005" s="18">
        <v>1.0</v>
      </c>
      <c r="E1005" s="18" t="s">
        <v>723</v>
      </c>
      <c r="F1005" s="19" t="s">
        <v>46</v>
      </c>
    </row>
    <row r="1006" ht="22.5" customHeight="1">
      <c r="A1006" s="18">
        <v>1101.0</v>
      </c>
      <c r="B1006" s="18">
        <v>37.0</v>
      </c>
      <c r="C1006" s="18">
        <v>19.0</v>
      </c>
      <c r="D1006" s="18">
        <v>1.0</v>
      </c>
      <c r="E1006" s="18" t="s">
        <v>723</v>
      </c>
      <c r="F1006" s="19" t="s">
        <v>46</v>
      </c>
    </row>
    <row r="1007" ht="22.5" customHeight="1">
      <c r="A1007" s="18">
        <v>1102.0</v>
      </c>
      <c r="B1007" s="18">
        <v>38.0</v>
      </c>
      <c r="C1007" s="18">
        <v>19.0</v>
      </c>
      <c r="D1007" s="18">
        <v>1.0</v>
      </c>
      <c r="E1007" s="18" t="s">
        <v>723</v>
      </c>
      <c r="F1007" s="19" t="s">
        <v>46</v>
      </c>
    </row>
    <row r="1008" ht="22.5" customHeight="1">
      <c r="A1008" s="18">
        <v>1103.0</v>
      </c>
      <c r="B1008" s="18">
        <v>40.0</v>
      </c>
      <c r="C1008" s="18">
        <v>19.0</v>
      </c>
      <c r="D1008" s="18">
        <v>1.0</v>
      </c>
      <c r="E1008" s="18" t="s">
        <v>723</v>
      </c>
      <c r="F1008" s="19" t="s">
        <v>46</v>
      </c>
    </row>
    <row r="1009" ht="22.5" customHeight="1">
      <c r="A1009" s="18">
        <v>1104.0</v>
      </c>
      <c r="B1009" s="18">
        <v>41.0</v>
      </c>
      <c r="C1009" s="18">
        <v>19.0</v>
      </c>
      <c r="D1009" s="18">
        <v>1.0</v>
      </c>
      <c r="E1009" s="18" t="s">
        <v>723</v>
      </c>
      <c r="F1009" s="19" t="s">
        <v>46</v>
      </c>
    </row>
    <row r="1010" ht="22.5" customHeight="1">
      <c r="A1010" s="18">
        <v>1105.0</v>
      </c>
      <c r="B1010" s="18">
        <v>57.0</v>
      </c>
      <c r="C1010" s="18">
        <v>19.0</v>
      </c>
      <c r="D1010" s="18">
        <v>1.0</v>
      </c>
      <c r="E1010" s="18" t="s">
        <v>753</v>
      </c>
      <c r="F1010" s="19" t="s">
        <v>46</v>
      </c>
    </row>
    <row r="1011" ht="22.5" customHeight="1">
      <c r="A1011" s="18">
        <v>1106.0</v>
      </c>
      <c r="B1011" s="18">
        <v>58.0</v>
      </c>
      <c r="C1011" s="18">
        <v>19.0</v>
      </c>
      <c r="D1011" s="18">
        <v>1.0</v>
      </c>
      <c r="E1011" s="18" t="s">
        <v>753</v>
      </c>
      <c r="F1011" s="19" t="s">
        <v>46</v>
      </c>
    </row>
    <row r="1012" ht="22.5" customHeight="1">
      <c r="A1012" s="18">
        <v>1107.0</v>
      </c>
      <c r="B1012" s="18">
        <v>59.0</v>
      </c>
      <c r="C1012" s="18">
        <v>19.0</v>
      </c>
      <c r="D1012" s="18">
        <v>1.0</v>
      </c>
      <c r="E1012" s="18" t="s">
        <v>753</v>
      </c>
      <c r="F1012" s="19" t="s">
        <v>46</v>
      </c>
    </row>
    <row r="1013" ht="22.5" customHeight="1">
      <c r="A1013" s="18">
        <v>1108.0</v>
      </c>
      <c r="B1013" s="18">
        <v>61.0</v>
      </c>
      <c r="C1013" s="18">
        <v>19.0</v>
      </c>
      <c r="D1013" s="18">
        <v>1.0</v>
      </c>
      <c r="E1013" s="18" t="s">
        <v>753</v>
      </c>
      <c r="F1013" s="19" t="s">
        <v>46</v>
      </c>
    </row>
    <row r="1014" ht="22.5" customHeight="1">
      <c r="A1014" s="18">
        <v>1109.0</v>
      </c>
      <c r="B1014" s="18">
        <v>63.0</v>
      </c>
      <c r="C1014" s="18">
        <v>19.0</v>
      </c>
      <c r="D1014" s="18">
        <v>1.0</v>
      </c>
      <c r="E1014" s="18" t="s">
        <v>779</v>
      </c>
      <c r="F1014" s="19" t="s">
        <v>46</v>
      </c>
    </row>
    <row r="1015" ht="22.5" customHeight="1">
      <c r="A1015" s="18">
        <v>1110.0</v>
      </c>
      <c r="B1015" s="18">
        <v>64.0</v>
      </c>
      <c r="C1015" s="18">
        <v>19.0</v>
      </c>
      <c r="D1015" s="18">
        <v>1.0</v>
      </c>
      <c r="F1015" s="19" t="s">
        <v>46</v>
      </c>
    </row>
    <row r="1016" ht="22.5" customHeight="1">
      <c r="A1016" s="18">
        <v>1111.0</v>
      </c>
      <c r="B1016" s="18">
        <v>65.0</v>
      </c>
      <c r="C1016" s="18">
        <v>19.0</v>
      </c>
      <c r="D1016" s="18">
        <v>1.0</v>
      </c>
      <c r="F1016" s="19" t="s">
        <v>46</v>
      </c>
    </row>
    <row r="1017" ht="22.5" customHeight="1">
      <c r="A1017" s="18">
        <v>1112.0</v>
      </c>
      <c r="B1017" s="18">
        <v>111.0</v>
      </c>
      <c r="C1017" s="18">
        <v>19.0</v>
      </c>
      <c r="D1017" s="18">
        <v>1.0</v>
      </c>
      <c r="F1017" s="19" t="s">
        <v>46</v>
      </c>
    </row>
    <row r="1018" ht="22.5" customHeight="1">
      <c r="A1018" s="18">
        <v>1113.0</v>
      </c>
      <c r="B1018" s="18">
        <v>66.0</v>
      </c>
      <c r="C1018" s="18">
        <v>19.0</v>
      </c>
      <c r="D1018" s="18">
        <v>1.0</v>
      </c>
      <c r="E1018" s="18" t="s">
        <v>785</v>
      </c>
      <c r="F1018" s="19" t="s">
        <v>46</v>
      </c>
    </row>
    <row r="1019" ht="22.5" customHeight="1">
      <c r="A1019" s="18">
        <v>1114.0</v>
      </c>
      <c r="B1019" s="18">
        <v>67.0</v>
      </c>
      <c r="C1019" s="18">
        <v>19.0</v>
      </c>
      <c r="D1019" s="18">
        <v>2.0</v>
      </c>
      <c r="E1019" s="18" t="s">
        <v>785</v>
      </c>
      <c r="F1019" s="19" t="s">
        <v>46</v>
      </c>
    </row>
    <row r="1020" ht="22.5" customHeight="1">
      <c r="A1020" s="18">
        <v>1115.0</v>
      </c>
      <c r="B1020" s="18">
        <v>70.0</v>
      </c>
      <c r="C1020" s="18">
        <v>19.0</v>
      </c>
      <c r="D1020" s="18">
        <v>1.0</v>
      </c>
      <c r="E1020" s="18" t="s">
        <v>723</v>
      </c>
      <c r="F1020" s="19" t="s">
        <v>46</v>
      </c>
    </row>
    <row r="1021" ht="22.5" customHeight="1">
      <c r="A1021" s="18">
        <v>1116.0</v>
      </c>
      <c r="B1021" s="18">
        <v>74.0</v>
      </c>
      <c r="C1021" s="18">
        <v>19.0</v>
      </c>
      <c r="D1021" s="18">
        <v>1.0</v>
      </c>
      <c r="E1021" s="18" t="s">
        <v>723</v>
      </c>
      <c r="F1021" s="19" t="s">
        <v>46</v>
      </c>
    </row>
    <row r="1022" ht="22.5" customHeight="1">
      <c r="A1022" s="18">
        <v>1117.0</v>
      </c>
      <c r="B1022" s="18">
        <v>75.0</v>
      </c>
      <c r="C1022" s="18">
        <v>19.0</v>
      </c>
      <c r="D1022" s="18">
        <v>2.0</v>
      </c>
      <c r="E1022" s="18" t="s">
        <v>795</v>
      </c>
      <c r="F1022" s="19" t="s">
        <v>46</v>
      </c>
    </row>
    <row r="1023" ht="22.5" customHeight="1">
      <c r="A1023" s="18">
        <v>1118.0</v>
      </c>
      <c r="B1023" s="18">
        <v>115.0</v>
      </c>
      <c r="C1023" s="18">
        <v>1.0</v>
      </c>
      <c r="D1023" s="18">
        <v>1.0</v>
      </c>
      <c r="F1023" s="19" t="s">
        <v>46</v>
      </c>
    </row>
    <row r="1024" ht="22.5" customHeight="1">
      <c r="A1024" s="18">
        <v>1119.0</v>
      </c>
      <c r="B1024" s="18">
        <v>115.0</v>
      </c>
      <c r="C1024" s="18">
        <v>2.0</v>
      </c>
      <c r="D1024" s="18">
        <v>1.0</v>
      </c>
      <c r="F1024" s="19" t="s">
        <v>46</v>
      </c>
    </row>
    <row r="1025" ht="22.5" customHeight="1">
      <c r="A1025" s="18">
        <v>1120.0</v>
      </c>
      <c r="B1025" s="18">
        <v>115.0</v>
      </c>
      <c r="C1025" s="18">
        <v>3.0</v>
      </c>
      <c r="D1025" s="18">
        <v>1.0</v>
      </c>
      <c r="F1025" s="19" t="s">
        <v>46</v>
      </c>
    </row>
    <row r="1026" ht="22.5" customHeight="1">
      <c r="A1026" s="18">
        <v>1121.0</v>
      </c>
      <c r="B1026" s="18">
        <v>115.0</v>
      </c>
      <c r="C1026" s="18">
        <v>5.0</v>
      </c>
      <c r="D1026" s="18">
        <v>1.0</v>
      </c>
      <c r="F1026" s="19" t="s">
        <v>46</v>
      </c>
    </row>
    <row r="1027" ht="22.5" customHeight="1">
      <c r="A1027" s="18">
        <v>1122.0</v>
      </c>
      <c r="B1027" s="18">
        <v>115.0</v>
      </c>
      <c r="C1027" s="18">
        <v>6.0</v>
      </c>
      <c r="D1027" s="18">
        <v>1.0</v>
      </c>
      <c r="F1027" s="19" t="s">
        <v>46</v>
      </c>
    </row>
    <row r="1028" ht="22.5" customHeight="1">
      <c r="A1028" s="18">
        <v>1123.0</v>
      </c>
      <c r="B1028" s="18">
        <v>115.0</v>
      </c>
      <c r="C1028" s="18">
        <v>7.0</v>
      </c>
      <c r="D1028" s="18">
        <v>1.0</v>
      </c>
      <c r="F1028" s="19" t="s">
        <v>46</v>
      </c>
    </row>
    <row r="1029" ht="22.5" customHeight="1">
      <c r="A1029" s="18">
        <v>1124.0</v>
      </c>
      <c r="B1029" s="18">
        <v>115.0</v>
      </c>
      <c r="C1029" s="18">
        <v>8.0</v>
      </c>
      <c r="D1029" s="18">
        <v>1.0</v>
      </c>
      <c r="F1029" s="19" t="s">
        <v>46</v>
      </c>
    </row>
    <row r="1030" ht="22.5" customHeight="1">
      <c r="A1030" s="18">
        <v>1125.0</v>
      </c>
      <c r="B1030" s="18">
        <v>115.0</v>
      </c>
      <c r="C1030" s="18">
        <v>9.0</v>
      </c>
      <c r="D1030" s="18">
        <v>1.0</v>
      </c>
      <c r="F1030" s="19" t="s">
        <v>46</v>
      </c>
    </row>
    <row r="1031" ht="22.5" customHeight="1">
      <c r="A1031" s="18">
        <v>1126.0</v>
      </c>
      <c r="B1031" s="18">
        <v>115.0</v>
      </c>
      <c r="C1031" s="18">
        <v>11.0</v>
      </c>
      <c r="D1031" s="18">
        <v>1.0</v>
      </c>
      <c r="F1031" s="19" t="s">
        <v>46</v>
      </c>
    </row>
    <row r="1032" ht="22.5" customHeight="1">
      <c r="A1032" s="18">
        <v>1127.0</v>
      </c>
      <c r="B1032" s="18">
        <v>115.0</v>
      </c>
      <c r="C1032" s="18">
        <v>12.0</v>
      </c>
      <c r="D1032" s="18">
        <v>1.0</v>
      </c>
      <c r="F1032" s="19" t="s">
        <v>46</v>
      </c>
    </row>
    <row r="1033" ht="22.5" customHeight="1">
      <c r="A1033" s="18">
        <v>1128.0</v>
      </c>
      <c r="B1033" s="18">
        <v>115.0</v>
      </c>
      <c r="C1033" s="18">
        <v>14.0</v>
      </c>
      <c r="D1033" s="18">
        <v>1.0</v>
      </c>
      <c r="F1033" s="19" t="s">
        <v>46</v>
      </c>
    </row>
    <row r="1034" ht="22.5" customHeight="1">
      <c r="A1034" s="18">
        <v>1129.0</v>
      </c>
      <c r="B1034" s="18">
        <v>115.0</v>
      </c>
      <c r="C1034" s="18">
        <v>15.0</v>
      </c>
      <c r="D1034" s="18">
        <v>1.0</v>
      </c>
      <c r="F1034" s="19" t="s">
        <v>46</v>
      </c>
    </row>
    <row r="1035" ht="22.5" customHeight="1">
      <c r="A1035" s="18">
        <v>1130.0</v>
      </c>
      <c r="B1035" s="18">
        <v>115.0</v>
      </c>
      <c r="C1035" s="18">
        <v>16.0</v>
      </c>
      <c r="D1035" s="18">
        <v>1.0</v>
      </c>
      <c r="F1035" s="19" t="s">
        <v>46</v>
      </c>
    </row>
    <row r="1036" ht="22.5" customHeight="1">
      <c r="A1036" s="18">
        <v>1131.0</v>
      </c>
      <c r="B1036" s="18">
        <v>115.0</v>
      </c>
      <c r="C1036" s="18">
        <v>17.0</v>
      </c>
      <c r="D1036" s="18">
        <v>1.0</v>
      </c>
      <c r="F1036" s="19" t="s">
        <v>46</v>
      </c>
    </row>
    <row r="1037" ht="22.5" customHeight="1">
      <c r="A1037" s="18">
        <v>1132.0</v>
      </c>
      <c r="B1037" s="18">
        <v>115.0</v>
      </c>
      <c r="C1037" s="18">
        <v>18.0</v>
      </c>
      <c r="D1037" s="18">
        <v>1.0</v>
      </c>
      <c r="F1037" s="19" t="s">
        <v>46</v>
      </c>
    </row>
    <row r="1038" ht="22.5" customHeight="1">
      <c r="A1038" s="18">
        <v>1133.0</v>
      </c>
      <c r="B1038" s="18">
        <v>115.0</v>
      </c>
      <c r="C1038" s="18">
        <v>19.0</v>
      </c>
      <c r="D1038" s="18">
        <v>1.0</v>
      </c>
      <c r="F1038" s="19" t="s">
        <v>46</v>
      </c>
    </row>
    <row r="1039" ht="22.5" customHeight="1">
      <c r="A1039" s="18">
        <v>1134.0</v>
      </c>
      <c r="B1039" s="18">
        <v>115.0</v>
      </c>
      <c r="C1039" s="18">
        <v>13.0</v>
      </c>
      <c r="D1039" s="18">
        <v>2.0</v>
      </c>
      <c r="F1039" s="19" t="s">
        <v>46</v>
      </c>
    </row>
    <row r="1040" ht="22.5" customHeight="1">
      <c r="A1040" s="18">
        <v>1135.0</v>
      </c>
      <c r="B1040" s="18">
        <v>115.0</v>
      </c>
      <c r="C1040" s="18">
        <v>4.0</v>
      </c>
      <c r="D1040" s="18">
        <v>2.0</v>
      </c>
      <c r="F1040" s="19" t="s">
        <v>46</v>
      </c>
    </row>
    <row r="1041" ht="22.5" customHeight="1">
      <c r="A1041" s="18">
        <v>1136.0</v>
      </c>
      <c r="B1041" s="18">
        <v>87.0</v>
      </c>
      <c r="C1041" s="18">
        <v>1.0</v>
      </c>
      <c r="D1041" s="18">
        <v>2.0</v>
      </c>
      <c r="E1041" s="18" t="s">
        <v>821</v>
      </c>
      <c r="F1041" s="19" t="s">
        <v>46</v>
      </c>
    </row>
    <row r="1042" ht="22.5" customHeight="1">
      <c r="A1042" s="18">
        <v>1137.0</v>
      </c>
      <c r="B1042" s="18">
        <v>87.0</v>
      </c>
      <c r="C1042" s="18">
        <v>3.0</v>
      </c>
      <c r="D1042" s="18">
        <v>2.0</v>
      </c>
      <c r="E1042" s="18" t="s">
        <v>821</v>
      </c>
      <c r="F1042" s="19" t="s">
        <v>46</v>
      </c>
    </row>
    <row r="1043" ht="22.5" customHeight="1">
      <c r="A1043" s="18">
        <v>1138.0</v>
      </c>
      <c r="B1043" s="18">
        <v>87.0</v>
      </c>
      <c r="C1043" s="18">
        <v>4.0</v>
      </c>
      <c r="D1043" s="18">
        <v>2.0</v>
      </c>
      <c r="E1043" s="18" t="s">
        <v>821</v>
      </c>
      <c r="F1043" s="19" t="s">
        <v>46</v>
      </c>
    </row>
    <row r="1044" ht="22.5" customHeight="1">
      <c r="A1044" s="18">
        <v>1139.0</v>
      </c>
      <c r="B1044" s="18">
        <v>87.0</v>
      </c>
      <c r="C1044" s="18">
        <v>5.0</v>
      </c>
      <c r="D1044" s="18">
        <v>2.0</v>
      </c>
      <c r="E1044" s="18" t="s">
        <v>821</v>
      </c>
      <c r="F1044" s="19" t="s">
        <v>46</v>
      </c>
    </row>
    <row r="1045" ht="22.5" customHeight="1">
      <c r="A1045" s="18">
        <v>1140.0</v>
      </c>
      <c r="B1045" s="18">
        <v>87.0</v>
      </c>
      <c r="C1045" s="18">
        <v>6.0</v>
      </c>
      <c r="D1045" s="18">
        <v>2.0</v>
      </c>
      <c r="E1045" s="18" t="s">
        <v>821</v>
      </c>
      <c r="F1045" s="19" t="s">
        <v>46</v>
      </c>
    </row>
    <row r="1046" ht="22.5" customHeight="1">
      <c r="A1046" s="18">
        <v>1141.0</v>
      </c>
      <c r="B1046" s="18">
        <v>87.0</v>
      </c>
      <c r="C1046" s="18">
        <v>7.0</v>
      </c>
      <c r="D1046" s="18">
        <v>2.0</v>
      </c>
      <c r="E1046" s="18" t="s">
        <v>821</v>
      </c>
      <c r="F1046" s="19" t="s">
        <v>46</v>
      </c>
    </row>
    <row r="1047" ht="22.5" customHeight="1">
      <c r="A1047" s="18">
        <v>1142.0</v>
      </c>
      <c r="B1047" s="18">
        <v>87.0</v>
      </c>
      <c r="C1047" s="18">
        <v>8.0</v>
      </c>
      <c r="D1047" s="18">
        <v>2.0</v>
      </c>
      <c r="E1047" s="18" t="s">
        <v>821</v>
      </c>
      <c r="F1047" s="19" t="s">
        <v>46</v>
      </c>
    </row>
    <row r="1048" ht="22.5" customHeight="1">
      <c r="A1048" s="18">
        <v>1143.0</v>
      </c>
      <c r="B1048" s="18">
        <v>87.0</v>
      </c>
      <c r="C1048" s="18">
        <v>9.0</v>
      </c>
      <c r="D1048" s="18">
        <v>2.0</v>
      </c>
      <c r="E1048" s="18" t="s">
        <v>821</v>
      </c>
      <c r="F1048" s="19" t="s">
        <v>46</v>
      </c>
    </row>
    <row r="1049" ht="22.5" customHeight="1">
      <c r="A1049" s="18">
        <v>1144.0</v>
      </c>
      <c r="B1049" s="18">
        <v>87.0</v>
      </c>
      <c r="C1049" s="18">
        <v>11.0</v>
      </c>
      <c r="D1049" s="18">
        <v>2.0</v>
      </c>
      <c r="E1049" s="18" t="s">
        <v>821</v>
      </c>
      <c r="F1049" s="19" t="s">
        <v>46</v>
      </c>
    </row>
    <row r="1050" ht="22.5" customHeight="1">
      <c r="A1050" s="18">
        <v>1145.0</v>
      </c>
      <c r="B1050" s="18">
        <v>87.0</v>
      </c>
      <c r="C1050" s="18">
        <v>12.0</v>
      </c>
      <c r="D1050" s="18">
        <v>2.0</v>
      </c>
      <c r="E1050" s="18" t="s">
        <v>821</v>
      </c>
      <c r="F1050" s="19" t="s">
        <v>46</v>
      </c>
    </row>
    <row r="1051" ht="22.5" customHeight="1">
      <c r="A1051" s="18">
        <v>1146.0</v>
      </c>
      <c r="B1051" s="18">
        <v>87.0</v>
      </c>
      <c r="C1051" s="18">
        <v>13.0</v>
      </c>
      <c r="D1051" s="18">
        <v>2.0</v>
      </c>
      <c r="E1051" s="18" t="s">
        <v>821</v>
      </c>
      <c r="F1051" s="19" t="s">
        <v>46</v>
      </c>
    </row>
    <row r="1052" ht="22.5" customHeight="1">
      <c r="A1052" s="18">
        <v>1147.0</v>
      </c>
      <c r="B1052" s="18">
        <v>87.0</v>
      </c>
      <c r="C1052" s="18">
        <v>14.0</v>
      </c>
      <c r="D1052" s="18">
        <v>2.0</v>
      </c>
      <c r="E1052" s="18" t="s">
        <v>821</v>
      </c>
      <c r="F1052" s="19" t="s">
        <v>46</v>
      </c>
    </row>
    <row r="1053" ht="22.5" customHeight="1">
      <c r="A1053" s="18">
        <v>1148.0</v>
      </c>
      <c r="B1053" s="18">
        <v>87.0</v>
      </c>
      <c r="C1053" s="18">
        <v>15.0</v>
      </c>
      <c r="D1053" s="18">
        <v>2.0</v>
      </c>
      <c r="E1053" s="18" t="s">
        <v>821</v>
      </c>
      <c r="F1053" s="19" t="s">
        <v>46</v>
      </c>
    </row>
    <row r="1054" ht="22.5" customHeight="1">
      <c r="A1054" s="18">
        <v>1149.0</v>
      </c>
      <c r="B1054" s="18">
        <v>87.0</v>
      </c>
      <c r="C1054" s="18">
        <v>16.0</v>
      </c>
      <c r="D1054" s="18">
        <v>2.0</v>
      </c>
      <c r="E1054" s="18" t="s">
        <v>821</v>
      </c>
      <c r="F1054" s="19" t="s">
        <v>46</v>
      </c>
    </row>
    <row r="1055" ht="22.5" customHeight="1">
      <c r="A1055" s="18">
        <v>1150.0</v>
      </c>
      <c r="B1055" s="18">
        <v>87.0</v>
      </c>
      <c r="C1055" s="18">
        <v>17.0</v>
      </c>
      <c r="D1055" s="18">
        <v>2.0</v>
      </c>
      <c r="E1055" s="18" t="s">
        <v>821</v>
      </c>
      <c r="F1055" s="19" t="s">
        <v>46</v>
      </c>
    </row>
    <row r="1056" ht="22.5" customHeight="1">
      <c r="A1056" s="18">
        <v>1151.0</v>
      </c>
      <c r="B1056" s="18">
        <v>87.0</v>
      </c>
      <c r="C1056" s="18">
        <v>18.0</v>
      </c>
      <c r="D1056" s="18">
        <v>2.0</v>
      </c>
      <c r="E1056" s="18" t="s">
        <v>821</v>
      </c>
      <c r="F1056" s="19" t="s">
        <v>46</v>
      </c>
    </row>
    <row r="1057" ht="22.5" customHeight="1">
      <c r="A1057" s="18">
        <v>1152.0</v>
      </c>
      <c r="B1057" s="18">
        <v>87.0</v>
      </c>
      <c r="C1057" s="18">
        <v>19.0</v>
      </c>
      <c r="D1057" s="18">
        <v>2.0</v>
      </c>
      <c r="E1057" s="18" t="s">
        <v>821</v>
      </c>
      <c r="F1057" s="19" t="s">
        <v>46</v>
      </c>
    </row>
    <row r="1058" ht="22.5" customHeight="1">
      <c r="A1058" s="18">
        <v>1153.0</v>
      </c>
      <c r="B1058" s="18">
        <v>88.0</v>
      </c>
      <c r="C1058" s="18">
        <v>1.0</v>
      </c>
      <c r="D1058" s="18">
        <v>1.0</v>
      </c>
      <c r="E1058" s="18" t="s">
        <v>821</v>
      </c>
      <c r="F1058" s="19" t="s">
        <v>46</v>
      </c>
    </row>
    <row r="1059" ht="22.5" customHeight="1">
      <c r="A1059" s="18">
        <v>1154.0</v>
      </c>
      <c r="B1059" s="18">
        <v>88.0</v>
      </c>
      <c r="C1059" s="18">
        <v>3.0</v>
      </c>
      <c r="D1059" s="18">
        <v>1.0</v>
      </c>
      <c r="E1059" s="18" t="s">
        <v>821</v>
      </c>
      <c r="F1059" s="19" t="s">
        <v>46</v>
      </c>
    </row>
    <row r="1060" ht="22.5" customHeight="1">
      <c r="A1060" s="18">
        <v>1155.0</v>
      </c>
      <c r="B1060" s="18">
        <v>88.0</v>
      </c>
      <c r="C1060" s="18">
        <v>6.0</v>
      </c>
      <c r="D1060" s="18">
        <v>1.0</v>
      </c>
      <c r="E1060" s="18" t="s">
        <v>821</v>
      </c>
      <c r="F1060" s="19" t="s">
        <v>46</v>
      </c>
    </row>
    <row r="1061" ht="22.5" customHeight="1">
      <c r="A1061" s="18">
        <v>1156.0</v>
      </c>
      <c r="B1061" s="18">
        <v>88.0</v>
      </c>
      <c r="C1061" s="18">
        <v>7.0</v>
      </c>
      <c r="D1061" s="18">
        <v>1.0</v>
      </c>
      <c r="E1061" s="18" t="s">
        <v>821</v>
      </c>
      <c r="F1061" s="19" t="s">
        <v>46</v>
      </c>
    </row>
    <row r="1062" ht="22.5" customHeight="1">
      <c r="A1062" s="18">
        <v>1157.0</v>
      </c>
      <c r="B1062" s="18">
        <v>88.0</v>
      </c>
      <c r="C1062" s="18">
        <v>8.0</v>
      </c>
      <c r="D1062" s="18">
        <v>1.0</v>
      </c>
      <c r="E1062" s="18" t="s">
        <v>821</v>
      </c>
      <c r="F1062" s="19" t="s">
        <v>46</v>
      </c>
    </row>
    <row r="1063" ht="22.5" customHeight="1">
      <c r="A1063" s="18">
        <v>1158.0</v>
      </c>
      <c r="B1063" s="18">
        <v>88.0</v>
      </c>
      <c r="C1063" s="18">
        <v>9.0</v>
      </c>
      <c r="D1063" s="18">
        <v>1.0</v>
      </c>
      <c r="E1063" s="18" t="s">
        <v>821</v>
      </c>
      <c r="F1063" s="19" t="s">
        <v>46</v>
      </c>
    </row>
    <row r="1064" ht="22.5" customHeight="1">
      <c r="A1064" s="18">
        <v>1159.0</v>
      </c>
      <c r="B1064" s="18">
        <v>88.0</v>
      </c>
      <c r="C1064" s="18">
        <v>12.0</v>
      </c>
      <c r="D1064" s="18">
        <v>1.0</v>
      </c>
      <c r="E1064" s="18" t="s">
        <v>821</v>
      </c>
      <c r="F1064" s="19" t="s">
        <v>46</v>
      </c>
    </row>
    <row r="1065" ht="22.5" customHeight="1">
      <c r="A1065" s="18">
        <v>1160.0</v>
      </c>
      <c r="B1065" s="18">
        <v>88.0</v>
      </c>
      <c r="C1065" s="18">
        <v>14.0</v>
      </c>
      <c r="D1065" s="18">
        <v>1.0</v>
      </c>
      <c r="E1065" s="18" t="s">
        <v>821</v>
      </c>
      <c r="F1065" s="19" t="s">
        <v>46</v>
      </c>
    </row>
    <row r="1066" ht="22.5" customHeight="1">
      <c r="A1066" s="18">
        <v>1161.0</v>
      </c>
      <c r="B1066" s="18">
        <v>88.0</v>
      </c>
      <c r="C1066" s="18">
        <v>16.0</v>
      </c>
      <c r="D1066" s="18">
        <v>1.0</v>
      </c>
      <c r="E1066" s="18" t="s">
        <v>821</v>
      </c>
      <c r="F1066" s="19" t="s">
        <v>46</v>
      </c>
    </row>
    <row r="1067" ht="22.5" customHeight="1">
      <c r="A1067" s="18">
        <v>1162.0</v>
      </c>
      <c r="B1067" s="18">
        <v>88.0</v>
      </c>
      <c r="C1067" s="18">
        <v>19.0</v>
      </c>
      <c r="D1067" s="18">
        <v>1.0</v>
      </c>
      <c r="E1067" s="18" t="s">
        <v>821</v>
      </c>
      <c r="F1067" s="19" t="s">
        <v>46</v>
      </c>
    </row>
    <row r="1068" ht="22.5" customHeight="1">
      <c r="A1068" s="18">
        <v>1163.0</v>
      </c>
      <c r="B1068" s="18">
        <v>89.0</v>
      </c>
      <c r="C1068" s="18">
        <v>8.0</v>
      </c>
      <c r="D1068" s="18">
        <v>1.0</v>
      </c>
      <c r="E1068" s="18" t="s">
        <v>821</v>
      </c>
      <c r="F1068" s="19" t="s">
        <v>46</v>
      </c>
    </row>
    <row r="1069" ht="22.5" customHeight="1">
      <c r="A1069" s="18">
        <v>1164.0</v>
      </c>
      <c r="B1069" s="18">
        <v>89.0</v>
      </c>
      <c r="C1069" s="18">
        <v>14.0</v>
      </c>
      <c r="D1069" s="18">
        <v>1.0</v>
      </c>
      <c r="E1069" s="18" t="s">
        <v>821</v>
      </c>
      <c r="F1069" s="19" t="s">
        <v>46</v>
      </c>
    </row>
    <row r="1070" ht="22.5" customHeight="1">
      <c r="A1070" s="18">
        <v>1165.0</v>
      </c>
      <c r="B1070" s="18">
        <v>90.0</v>
      </c>
      <c r="C1070" s="18">
        <v>1.0</v>
      </c>
      <c r="D1070" s="18">
        <v>1.0</v>
      </c>
      <c r="E1070" s="18"/>
      <c r="F1070" s="19" t="s">
        <v>46</v>
      </c>
    </row>
    <row r="1071" ht="22.5" customHeight="1">
      <c r="A1071" s="18">
        <v>1167.0</v>
      </c>
      <c r="B1071" s="18">
        <v>91.0</v>
      </c>
      <c r="C1071" s="18">
        <v>3.0</v>
      </c>
      <c r="D1071" s="18">
        <v>1.0</v>
      </c>
      <c r="E1071" s="18" t="s">
        <v>821</v>
      </c>
      <c r="F1071" s="19" t="s">
        <v>46</v>
      </c>
    </row>
    <row r="1072" ht="22.5" customHeight="1">
      <c r="A1072" s="18">
        <v>1168.0</v>
      </c>
      <c r="B1072" s="18">
        <v>91.0</v>
      </c>
      <c r="C1072" s="18">
        <v>6.0</v>
      </c>
      <c r="D1072" s="18">
        <v>1.0</v>
      </c>
      <c r="E1072" s="18" t="s">
        <v>821</v>
      </c>
      <c r="F1072" s="19" t="s">
        <v>46</v>
      </c>
    </row>
    <row r="1073" ht="22.5" customHeight="1">
      <c r="A1073" s="18">
        <v>1169.0</v>
      </c>
      <c r="B1073" s="18">
        <v>91.0</v>
      </c>
      <c r="C1073" s="18">
        <v>8.0</v>
      </c>
      <c r="D1073" s="18">
        <v>1.0</v>
      </c>
      <c r="E1073" s="18" t="s">
        <v>821</v>
      </c>
      <c r="F1073" s="19" t="s">
        <v>46</v>
      </c>
    </row>
    <row r="1074" ht="22.5" customHeight="1">
      <c r="A1074" s="18">
        <v>1170.0</v>
      </c>
      <c r="B1074" s="18">
        <v>91.0</v>
      </c>
      <c r="C1074" s="18">
        <v>14.0</v>
      </c>
      <c r="D1074" s="18">
        <v>1.0</v>
      </c>
      <c r="E1074" s="18" t="s">
        <v>821</v>
      </c>
      <c r="F1074" s="19" t="s">
        <v>46</v>
      </c>
    </row>
    <row r="1075" ht="22.5" customHeight="1">
      <c r="A1075" s="18">
        <v>1171.0</v>
      </c>
      <c r="B1075" s="18">
        <v>91.0</v>
      </c>
      <c r="C1075" s="18">
        <v>16.0</v>
      </c>
      <c r="D1075" s="18">
        <v>1.0</v>
      </c>
      <c r="E1075" s="18" t="s">
        <v>821</v>
      </c>
      <c r="F1075" s="19" t="s">
        <v>46</v>
      </c>
    </row>
    <row r="1076" ht="22.5" customHeight="1">
      <c r="A1076" s="18">
        <v>1172.0</v>
      </c>
      <c r="B1076" s="18">
        <v>92.0</v>
      </c>
      <c r="C1076" s="18">
        <v>3.0</v>
      </c>
      <c r="D1076" s="18">
        <v>2.0</v>
      </c>
      <c r="E1076" s="18" t="s">
        <v>821</v>
      </c>
      <c r="F1076" s="19" t="s">
        <v>46</v>
      </c>
    </row>
    <row r="1077" ht="22.5" customHeight="1">
      <c r="A1077" s="18">
        <v>1173.0</v>
      </c>
      <c r="B1077" s="18">
        <v>92.0</v>
      </c>
      <c r="C1077" s="18">
        <v>8.0</v>
      </c>
      <c r="D1077" s="18">
        <v>2.0</v>
      </c>
      <c r="E1077" s="18" t="s">
        <v>821</v>
      </c>
      <c r="F1077" s="19" t="s">
        <v>46</v>
      </c>
    </row>
    <row r="1078" ht="22.5" customHeight="1">
      <c r="A1078" s="18">
        <v>1174.0</v>
      </c>
      <c r="B1078" s="18">
        <v>92.0</v>
      </c>
      <c r="C1078" s="18">
        <v>14.0</v>
      </c>
      <c r="D1078" s="18">
        <v>2.0</v>
      </c>
      <c r="E1078" s="18" t="s">
        <v>821</v>
      </c>
      <c r="F1078" s="19" t="s">
        <v>46</v>
      </c>
    </row>
    <row r="1079" ht="22.5" customHeight="1">
      <c r="A1079" s="18">
        <v>1175.0</v>
      </c>
      <c r="B1079" s="18">
        <v>112.0</v>
      </c>
      <c r="C1079" s="18">
        <v>2.0</v>
      </c>
      <c r="D1079" s="18">
        <v>1.0</v>
      </c>
      <c r="E1079" s="18" t="s">
        <v>821</v>
      </c>
      <c r="F1079" s="19" t="s">
        <v>46</v>
      </c>
    </row>
    <row r="1080" ht="22.5" customHeight="1">
      <c r="A1080" s="18">
        <v>1176.0</v>
      </c>
      <c r="B1080" s="18">
        <v>112.0</v>
      </c>
      <c r="C1080" s="18">
        <v>4.0</v>
      </c>
      <c r="D1080" s="18">
        <v>1.0</v>
      </c>
      <c r="E1080" s="18" t="s">
        <v>821</v>
      </c>
      <c r="F1080" s="19" t="s">
        <v>46</v>
      </c>
    </row>
    <row r="1081" ht="22.5" customHeight="1">
      <c r="A1081" s="18">
        <v>1177.0</v>
      </c>
      <c r="B1081" s="18">
        <v>112.0</v>
      </c>
      <c r="C1081" s="18">
        <v>6.0</v>
      </c>
      <c r="D1081" s="18">
        <v>1.0</v>
      </c>
      <c r="E1081" s="18" t="s">
        <v>821</v>
      </c>
      <c r="F1081" s="19" t="s">
        <v>46</v>
      </c>
    </row>
    <row r="1082" ht="22.5" customHeight="1">
      <c r="A1082" s="18">
        <v>1178.0</v>
      </c>
      <c r="B1082" s="18">
        <v>112.0</v>
      </c>
      <c r="C1082" s="18">
        <v>8.0</v>
      </c>
      <c r="D1082" s="18">
        <v>1.0</v>
      </c>
      <c r="E1082" s="18" t="s">
        <v>821</v>
      </c>
      <c r="F1082" s="19" t="s">
        <v>46</v>
      </c>
    </row>
    <row r="1083" ht="22.5" customHeight="1">
      <c r="A1083" s="18">
        <v>1179.0</v>
      </c>
      <c r="B1083" s="18">
        <v>112.0</v>
      </c>
      <c r="C1083" s="18">
        <v>11.0</v>
      </c>
      <c r="D1083" s="18">
        <v>1.0</v>
      </c>
      <c r="E1083" s="18" t="s">
        <v>821</v>
      </c>
      <c r="F1083" s="19" t="s">
        <v>46</v>
      </c>
    </row>
    <row r="1084" ht="22.5" customHeight="1">
      <c r="A1084" s="18">
        <v>1180.0</v>
      </c>
      <c r="B1084" s="18">
        <v>112.0</v>
      </c>
      <c r="C1084" s="18">
        <v>16.0</v>
      </c>
      <c r="D1084" s="18">
        <v>1.0</v>
      </c>
      <c r="E1084" s="18" t="s">
        <v>821</v>
      </c>
      <c r="F1084" s="19" t="s">
        <v>46</v>
      </c>
    </row>
    <row r="1085" ht="22.5" customHeight="1">
      <c r="A1085" s="18">
        <v>1181.0</v>
      </c>
      <c r="B1085" s="18">
        <v>113.0</v>
      </c>
      <c r="C1085" s="18">
        <v>2.0</v>
      </c>
      <c r="D1085" s="18">
        <v>1.0</v>
      </c>
      <c r="E1085" s="18" t="s">
        <v>821</v>
      </c>
      <c r="F1085" s="19" t="s">
        <v>46</v>
      </c>
    </row>
    <row r="1086" ht="22.5" customHeight="1">
      <c r="A1086" s="18">
        <v>1182.0</v>
      </c>
      <c r="B1086" s="18">
        <v>113.0</v>
      </c>
      <c r="C1086" s="18">
        <v>4.0</v>
      </c>
      <c r="D1086" s="18">
        <v>1.0</v>
      </c>
      <c r="E1086" s="18" t="s">
        <v>821</v>
      </c>
      <c r="F1086" s="19" t="s">
        <v>46</v>
      </c>
    </row>
    <row r="1087" ht="22.5" customHeight="1">
      <c r="A1087" s="18">
        <v>1183.0</v>
      </c>
      <c r="B1087" s="18">
        <v>113.0</v>
      </c>
      <c r="C1087" s="18">
        <v>6.0</v>
      </c>
      <c r="D1087" s="18">
        <v>1.0</v>
      </c>
      <c r="E1087" s="18" t="s">
        <v>821</v>
      </c>
      <c r="F1087" s="19" t="s">
        <v>46</v>
      </c>
    </row>
    <row r="1088" ht="22.5" customHeight="1">
      <c r="A1088" s="18">
        <v>1184.0</v>
      </c>
      <c r="B1088" s="18">
        <v>113.0</v>
      </c>
      <c r="C1088" s="18">
        <v>8.0</v>
      </c>
      <c r="D1088" s="18">
        <v>1.0</v>
      </c>
      <c r="E1088" s="18" t="s">
        <v>821</v>
      </c>
      <c r="F1088" s="19" t="s">
        <v>46</v>
      </c>
    </row>
    <row r="1089" ht="22.5" customHeight="1">
      <c r="A1089" s="18">
        <v>1185.0</v>
      </c>
      <c r="B1089" s="18">
        <v>113.0</v>
      </c>
      <c r="C1089" s="18">
        <v>16.0</v>
      </c>
      <c r="D1089" s="18">
        <v>1.0</v>
      </c>
      <c r="E1089" s="18" t="s">
        <v>821</v>
      </c>
      <c r="F1089" s="19" t="s">
        <v>46</v>
      </c>
    </row>
    <row r="1090" ht="22.5" customHeight="1">
      <c r="A1090" s="18">
        <v>1187.0</v>
      </c>
      <c r="B1090" s="18">
        <v>114.0</v>
      </c>
      <c r="C1090" s="18">
        <v>2.0</v>
      </c>
      <c r="D1090" s="18">
        <v>1.0</v>
      </c>
      <c r="E1090" s="18" t="s">
        <v>1495</v>
      </c>
      <c r="F1090" s="19" t="s">
        <v>46</v>
      </c>
    </row>
    <row r="1091" ht="22.5" customHeight="1">
      <c r="A1091" s="18">
        <v>1193.0</v>
      </c>
      <c r="B1091" s="18">
        <v>114.0</v>
      </c>
      <c r="C1091" s="18">
        <v>8.0</v>
      </c>
      <c r="D1091" s="18">
        <v>1.0</v>
      </c>
      <c r="E1091" s="18" t="s">
        <v>1495</v>
      </c>
      <c r="F1091" s="19" t="s">
        <v>46</v>
      </c>
    </row>
    <row r="1092" ht="22.5" customHeight="1">
      <c r="A1092" s="18">
        <v>1196.0</v>
      </c>
      <c r="B1092" s="18">
        <v>114.0</v>
      </c>
      <c r="C1092" s="18">
        <v>12.0</v>
      </c>
      <c r="D1092" s="18">
        <v>1.0</v>
      </c>
      <c r="E1092" s="18" t="s">
        <v>1495</v>
      </c>
      <c r="F1092" s="19" t="s">
        <v>46</v>
      </c>
    </row>
    <row r="1093" ht="22.5" customHeight="1">
      <c r="A1093" s="18">
        <v>1198.0</v>
      </c>
      <c r="B1093" s="18">
        <v>114.0</v>
      </c>
      <c r="C1093" s="18">
        <v>14.0</v>
      </c>
      <c r="D1093" s="18">
        <v>1.0</v>
      </c>
      <c r="E1093" s="18" t="s">
        <v>1496</v>
      </c>
      <c r="F1093" s="19" t="s">
        <v>46</v>
      </c>
    </row>
    <row r="1094" ht="22.5" customHeight="1">
      <c r="A1094" s="18">
        <v>1204.0</v>
      </c>
      <c r="B1094" s="18">
        <v>93.0</v>
      </c>
      <c r="C1094" s="18">
        <v>4.0</v>
      </c>
      <c r="D1094" s="18">
        <v>2.0</v>
      </c>
      <c r="E1094" s="18" t="s">
        <v>821</v>
      </c>
      <c r="F1094" s="19" t="s">
        <v>46</v>
      </c>
    </row>
    <row r="1095" ht="22.5" customHeight="1">
      <c r="A1095" s="18">
        <v>1205.0</v>
      </c>
      <c r="B1095" s="18">
        <v>93.0</v>
      </c>
      <c r="C1095" s="18">
        <v>8.0</v>
      </c>
      <c r="D1095" s="18">
        <v>2.0</v>
      </c>
      <c r="E1095" s="18" t="s">
        <v>821</v>
      </c>
      <c r="F1095" s="19" t="s">
        <v>46</v>
      </c>
    </row>
    <row r="1096" ht="22.5" customHeight="1">
      <c r="A1096" s="18">
        <v>1206.0</v>
      </c>
      <c r="B1096" s="18">
        <v>93.0</v>
      </c>
      <c r="C1096" s="18">
        <v>13.0</v>
      </c>
      <c r="D1096" s="18">
        <v>2.0</v>
      </c>
      <c r="E1096" s="18" t="s">
        <v>821</v>
      </c>
      <c r="F1096" s="19" t="s">
        <v>46</v>
      </c>
    </row>
    <row r="1097" ht="22.5" customHeight="1">
      <c r="A1097" s="18">
        <v>1207.0</v>
      </c>
      <c r="B1097" s="18">
        <v>94.0</v>
      </c>
      <c r="C1097" s="18">
        <v>4.0</v>
      </c>
      <c r="D1097" s="18">
        <v>2.0</v>
      </c>
      <c r="E1097" s="18" t="s">
        <v>821</v>
      </c>
      <c r="F1097" s="19" t="s">
        <v>46</v>
      </c>
    </row>
    <row r="1098" ht="22.5" customHeight="1">
      <c r="A1098" s="18">
        <v>1208.0</v>
      </c>
      <c r="B1098" s="18">
        <v>94.0</v>
      </c>
      <c r="C1098" s="18">
        <v>8.0</v>
      </c>
      <c r="D1098" s="18">
        <v>2.0</v>
      </c>
      <c r="E1098" s="18" t="s">
        <v>821</v>
      </c>
      <c r="F1098" s="19" t="s">
        <v>46</v>
      </c>
    </row>
    <row r="1099" ht="22.5" customHeight="1">
      <c r="A1099" s="18">
        <v>1209.0</v>
      </c>
      <c r="B1099" s="18">
        <v>94.0</v>
      </c>
      <c r="C1099" s="18">
        <v>13.0</v>
      </c>
      <c r="D1099" s="18">
        <v>2.0</v>
      </c>
      <c r="E1099" s="18" t="s">
        <v>821</v>
      </c>
      <c r="F1099" s="19" t="s">
        <v>46</v>
      </c>
    </row>
    <row r="1100" ht="22.5" customHeight="1">
      <c r="A1100" s="18">
        <v>1210.0</v>
      </c>
      <c r="B1100" s="18">
        <v>95.0</v>
      </c>
      <c r="C1100" s="18">
        <v>4.0</v>
      </c>
      <c r="D1100" s="18">
        <v>2.0</v>
      </c>
      <c r="E1100" s="18" t="s">
        <v>821</v>
      </c>
      <c r="F1100" s="19" t="s">
        <v>46</v>
      </c>
    </row>
    <row r="1101" ht="22.5" customHeight="1">
      <c r="A1101" s="18">
        <v>1211.0</v>
      </c>
      <c r="B1101" s="18">
        <v>95.0</v>
      </c>
      <c r="C1101" s="18">
        <v>8.0</v>
      </c>
      <c r="D1101" s="18">
        <v>2.0</v>
      </c>
      <c r="E1101" s="18" t="s">
        <v>821</v>
      </c>
      <c r="F1101" s="19" t="s">
        <v>46</v>
      </c>
    </row>
    <row r="1102" ht="22.5" customHeight="1">
      <c r="A1102" s="18">
        <v>1212.0</v>
      </c>
      <c r="B1102" s="18">
        <v>95.0</v>
      </c>
      <c r="C1102" s="18">
        <v>13.0</v>
      </c>
      <c r="D1102" s="18">
        <v>2.0</v>
      </c>
      <c r="E1102" s="18" t="s">
        <v>821</v>
      </c>
      <c r="F1102" s="19" t="s">
        <v>46</v>
      </c>
    </row>
    <row r="1103" ht="22.5" customHeight="1">
      <c r="A1103" s="18">
        <v>1213.0</v>
      </c>
      <c r="B1103" s="18">
        <v>96.0</v>
      </c>
      <c r="C1103" s="18">
        <v>4.0</v>
      </c>
      <c r="D1103" s="18">
        <v>2.0</v>
      </c>
      <c r="E1103" s="18" t="s">
        <v>821</v>
      </c>
      <c r="F1103" s="19" t="s">
        <v>46</v>
      </c>
    </row>
    <row r="1104" ht="22.5" customHeight="1">
      <c r="A1104" s="18">
        <v>1214.0</v>
      </c>
      <c r="B1104" s="18">
        <v>96.0</v>
      </c>
      <c r="C1104" s="18">
        <v>8.0</v>
      </c>
      <c r="D1104" s="18">
        <v>2.0</v>
      </c>
      <c r="E1104" s="18" t="s">
        <v>821</v>
      </c>
      <c r="F1104" s="19" t="s">
        <v>46</v>
      </c>
    </row>
    <row r="1105" ht="22.5" customHeight="1">
      <c r="A1105" s="18">
        <v>1215.0</v>
      </c>
      <c r="B1105" s="18">
        <v>96.0</v>
      </c>
      <c r="C1105" s="18">
        <v>9.0</v>
      </c>
      <c r="D1105" s="18">
        <v>2.0</v>
      </c>
      <c r="E1105" s="18" t="s">
        <v>821</v>
      </c>
      <c r="F1105" s="19" t="s">
        <v>46</v>
      </c>
    </row>
    <row r="1106" ht="22.5" customHeight="1">
      <c r="A1106" s="18">
        <v>1216.0</v>
      </c>
      <c r="B1106" s="18">
        <v>96.0</v>
      </c>
      <c r="C1106" s="18">
        <v>11.0</v>
      </c>
      <c r="D1106" s="18">
        <v>2.0</v>
      </c>
      <c r="E1106" s="18" t="s">
        <v>821</v>
      </c>
      <c r="F1106" s="19" t="s">
        <v>46</v>
      </c>
    </row>
    <row r="1107" ht="22.5" customHeight="1">
      <c r="A1107" s="18">
        <v>1217.0</v>
      </c>
      <c r="B1107" s="18">
        <v>96.0</v>
      </c>
      <c r="C1107" s="18">
        <v>13.0</v>
      </c>
      <c r="D1107" s="18">
        <v>2.0</v>
      </c>
      <c r="E1107" s="18" t="s">
        <v>821</v>
      </c>
      <c r="F1107" s="19" t="s">
        <v>46</v>
      </c>
    </row>
    <row r="1108" ht="22.5" customHeight="1">
      <c r="A1108" s="18">
        <v>1218.0</v>
      </c>
      <c r="B1108" s="18">
        <v>97.0</v>
      </c>
      <c r="C1108" s="18">
        <v>4.0</v>
      </c>
      <c r="D1108" s="18">
        <v>2.0</v>
      </c>
      <c r="E1108" s="18" t="s">
        <v>821</v>
      </c>
      <c r="F1108" s="19" t="s">
        <v>46</v>
      </c>
    </row>
    <row r="1109" ht="22.5" customHeight="1">
      <c r="A1109" s="18">
        <v>1219.0</v>
      </c>
      <c r="B1109" s="18">
        <v>97.0</v>
      </c>
      <c r="C1109" s="18">
        <v>7.0</v>
      </c>
      <c r="D1109" s="18">
        <v>2.0</v>
      </c>
      <c r="E1109" s="18" t="s">
        <v>821</v>
      </c>
      <c r="F1109" s="19" t="s">
        <v>46</v>
      </c>
    </row>
    <row r="1110" ht="22.5" customHeight="1">
      <c r="A1110" s="18">
        <v>1220.0</v>
      </c>
      <c r="B1110" s="18">
        <v>97.0</v>
      </c>
      <c r="C1110" s="18">
        <v>8.0</v>
      </c>
      <c r="D1110" s="18">
        <v>2.0</v>
      </c>
      <c r="E1110" s="18" t="s">
        <v>821</v>
      </c>
      <c r="F1110" s="19" t="s">
        <v>46</v>
      </c>
    </row>
    <row r="1111" ht="22.5" customHeight="1">
      <c r="A1111" s="18">
        <v>1221.0</v>
      </c>
      <c r="B1111" s="18">
        <v>97.0</v>
      </c>
      <c r="C1111" s="18">
        <v>9.0</v>
      </c>
      <c r="D1111" s="18">
        <v>2.0</v>
      </c>
      <c r="E1111" s="18" t="s">
        <v>821</v>
      </c>
      <c r="F1111" s="19" t="s">
        <v>46</v>
      </c>
    </row>
    <row r="1112" ht="22.5" customHeight="1">
      <c r="A1112" s="18">
        <v>1222.0</v>
      </c>
      <c r="B1112" s="18">
        <v>97.0</v>
      </c>
      <c r="C1112" s="18">
        <v>13.0</v>
      </c>
      <c r="D1112" s="18">
        <v>2.0</v>
      </c>
      <c r="E1112" s="18" t="s">
        <v>821</v>
      </c>
      <c r="F1112" s="19" t="s">
        <v>46</v>
      </c>
    </row>
    <row r="1113" ht="22.5" customHeight="1">
      <c r="A1113" s="18">
        <v>1223.0</v>
      </c>
      <c r="B1113" s="18">
        <v>98.0</v>
      </c>
      <c r="C1113" s="18">
        <v>4.0</v>
      </c>
      <c r="D1113" s="18">
        <v>2.0</v>
      </c>
      <c r="E1113" s="18" t="s">
        <v>821</v>
      </c>
      <c r="F1113" s="19" t="s">
        <v>46</v>
      </c>
    </row>
    <row r="1114" ht="22.5" customHeight="1">
      <c r="A1114" s="18">
        <v>1224.0</v>
      </c>
      <c r="B1114" s="18">
        <v>98.0</v>
      </c>
      <c r="C1114" s="18">
        <v>8.0</v>
      </c>
      <c r="D1114" s="18">
        <v>2.0</v>
      </c>
      <c r="E1114" s="18" t="s">
        <v>821</v>
      </c>
      <c r="F1114" s="19" t="s">
        <v>46</v>
      </c>
    </row>
    <row r="1115" ht="22.5" customHeight="1">
      <c r="A1115" s="18">
        <v>1225.0</v>
      </c>
      <c r="B1115" s="18">
        <v>98.0</v>
      </c>
      <c r="C1115" s="18">
        <v>9.0</v>
      </c>
      <c r="D1115" s="18">
        <v>2.0</v>
      </c>
      <c r="E1115" s="18" t="s">
        <v>821</v>
      </c>
      <c r="F1115" s="19" t="s">
        <v>46</v>
      </c>
    </row>
    <row r="1116" ht="22.5" customHeight="1">
      <c r="A1116" s="18">
        <v>1226.0</v>
      </c>
      <c r="B1116" s="18">
        <v>98.0</v>
      </c>
      <c r="C1116" s="18">
        <v>13.0</v>
      </c>
      <c r="D1116" s="18">
        <v>2.0</v>
      </c>
      <c r="E1116" s="18" t="s">
        <v>821</v>
      </c>
      <c r="F1116" s="19" t="s">
        <v>46</v>
      </c>
    </row>
    <row r="1117" ht="22.5" customHeight="1">
      <c r="A1117" s="18">
        <v>1227.0</v>
      </c>
      <c r="B1117" s="18">
        <v>99.0</v>
      </c>
      <c r="C1117" s="18">
        <v>4.0</v>
      </c>
      <c r="D1117" s="18">
        <v>2.0</v>
      </c>
      <c r="E1117" s="18" t="s">
        <v>821</v>
      </c>
      <c r="F1117" s="19" t="s">
        <v>46</v>
      </c>
    </row>
    <row r="1118" ht="22.5" customHeight="1">
      <c r="A1118" s="18">
        <v>1228.0</v>
      </c>
      <c r="B1118" s="18">
        <v>99.0</v>
      </c>
      <c r="C1118" s="18">
        <v>8.0</v>
      </c>
      <c r="D1118" s="18">
        <v>2.0</v>
      </c>
      <c r="E1118" s="18" t="s">
        <v>821</v>
      </c>
      <c r="F1118" s="19" t="s">
        <v>46</v>
      </c>
    </row>
    <row r="1119" ht="22.5" customHeight="1">
      <c r="A1119" s="18">
        <v>1229.0</v>
      </c>
      <c r="B1119" s="18">
        <v>99.0</v>
      </c>
      <c r="C1119" s="18">
        <v>9.0</v>
      </c>
      <c r="D1119" s="18">
        <v>2.0</v>
      </c>
      <c r="E1119" s="18" t="s">
        <v>821</v>
      </c>
      <c r="F1119" s="19" t="s">
        <v>46</v>
      </c>
    </row>
    <row r="1120" ht="22.5" customHeight="1">
      <c r="A1120" s="18">
        <v>1230.0</v>
      </c>
      <c r="B1120" s="18">
        <v>99.0</v>
      </c>
      <c r="C1120" s="18">
        <v>13.0</v>
      </c>
      <c r="D1120" s="18">
        <v>2.0</v>
      </c>
      <c r="E1120" s="18" t="s">
        <v>821</v>
      </c>
      <c r="F1120" s="19" t="s">
        <v>46</v>
      </c>
    </row>
    <row r="1121" ht="22.5" customHeight="1">
      <c r="A1121" s="18">
        <v>1231.0</v>
      </c>
      <c r="B1121" s="18">
        <v>100.0</v>
      </c>
      <c r="C1121" s="18">
        <v>4.0</v>
      </c>
      <c r="D1121" s="18">
        <v>2.0</v>
      </c>
      <c r="E1121" s="18" t="s">
        <v>821</v>
      </c>
      <c r="F1121" s="19" t="s">
        <v>46</v>
      </c>
    </row>
    <row r="1122" ht="22.5" customHeight="1">
      <c r="A1122" s="18">
        <v>1232.0</v>
      </c>
      <c r="B1122" s="18">
        <v>100.0</v>
      </c>
      <c r="C1122" s="18">
        <v>8.0</v>
      </c>
      <c r="D1122" s="18">
        <v>2.0</v>
      </c>
      <c r="E1122" s="18" t="s">
        <v>821</v>
      </c>
      <c r="F1122" s="19" t="s">
        <v>46</v>
      </c>
    </row>
    <row r="1123" ht="22.5" customHeight="1">
      <c r="A1123" s="18">
        <v>1233.0</v>
      </c>
      <c r="B1123" s="18">
        <v>100.0</v>
      </c>
      <c r="C1123" s="18">
        <v>9.0</v>
      </c>
      <c r="D1123" s="18">
        <v>2.0</v>
      </c>
      <c r="E1123" s="18" t="s">
        <v>821</v>
      </c>
      <c r="F1123" s="19" t="s">
        <v>46</v>
      </c>
    </row>
    <row r="1124" ht="22.5" customHeight="1">
      <c r="A1124" s="18">
        <v>1234.0</v>
      </c>
      <c r="B1124" s="18">
        <v>100.0</v>
      </c>
      <c r="C1124" s="18">
        <v>13.0</v>
      </c>
      <c r="D1124" s="18">
        <v>2.0</v>
      </c>
      <c r="E1124" s="18" t="s">
        <v>821</v>
      </c>
      <c r="F1124" s="19" t="s">
        <v>46</v>
      </c>
    </row>
    <row r="1125" ht="22.5" customHeight="1">
      <c r="A1125" s="18">
        <v>1235.0</v>
      </c>
      <c r="B1125" s="18">
        <v>101.0</v>
      </c>
      <c r="C1125" s="18">
        <v>4.0</v>
      </c>
      <c r="D1125" s="18">
        <v>2.0</v>
      </c>
      <c r="E1125" s="18" t="s">
        <v>821</v>
      </c>
      <c r="F1125" s="19" t="s">
        <v>46</v>
      </c>
    </row>
    <row r="1126" ht="22.5" customHeight="1">
      <c r="A1126" s="18">
        <v>1236.0</v>
      </c>
      <c r="B1126" s="18">
        <v>101.0</v>
      </c>
      <c r="C1126" s="18">
        <v>8.0</v>
      </c>
      <c r="D1126" s="18">
        <v>2.0</v>
      </c>
      <c r="E1126" s="18" t="s">
        <v>821</v>
      </c>
      <c r="F1126" s="19" t="s">
        <v>46</v>
      </c>
    </row>
    <row r="1127" ht="22.5" customHeight="1">
      <c r="A1127" s="18">
        <v>1237.0</v>
      </c>
      <c r="B1127" s="18">
        <v>101.0</v>
      </c>
      <c r="C1127" s="18">
        <v>9.0</v>
      </c>
      <c r="D1127" s="18">
        <v>2.0</v>
      </c>
      <c r="E1127" s="18" t="s">
        <v>821</v>
      </c>
      <c r="F1127" s="19" t="s">
        <v>46</v>
      </c>
    </row>
    <row r="1128" ht="22.5" customHeight="1">
      <c r="A1128" s="18">
        <v>1238.0</v>
      </c>
      <c r="B1128" s="18">
        <v>101.0</v>
      </c>
      <c r="C1128" s="18">
        <v>13.0</v>
      </c>
      <c r="D1128" s="18">
        <v>2.0</v>
      </c>
      <c r="E1128" s="18" t="s">
        <v>821</v>
      </c>
      <c r="F1128" s="19" t="s">
        <v>46</v>
      </c>
    </row>
    <row r="1129" ht="22.5" customHeight="1">
      <c r="A1129" s="18">
        <v>1239.0</v>
      </c>
      <c r="B1129" s="18">
        <v>102.0</v>
      </c>
      <c r="C1129" s="18">
        <v>4.0</v>
      </c>
      <c r="D1129" s="18">
        <v>2.0</v>
      </c>
      <c r="E1129" s="18" t="s">
        <v>821</v>
      </c>
      <c r="F1129" s="19" t="s">
        <v>46</v>
      </c>
    </row>
    <row r="1130" ht="22.5" customHeight="1">
      <c r="A1130" s="18">
        <v>1240.0</v>
      </c>
      <c r="B1130" s="18">
        <v>102.0</v>
      </c>
      <c r="C1130" s="18">
        <v>8.0</v>
      </c>
      <c r="D1130" s="18">
        <v>2.0</v>
      </c>
      <c r="E1130" s="18" t="s">
        <v>821</v>
      </c>
      <c r="F1130" s="19" t="s">
        <v>46</v>
      </c>
    </row>
    <row r="1131" ht="22.5" customHeight="1">
      <c r="A1131" s="18">
        <v>1241.0</v>
      </c>
      <c r="B1131" s="18">
        <v>102.0</v>
      </c>
      <c r="C1131" s="18">
        <v>9.0</v>
      </c>
      <c r="D1131" s="18">
        <v>2.0</v>
      </c>
      <c r="E1131" s="18" t="s">
        <v>821</v>
      </c>
      <c r="F1131" s="19" t="s">
        <v>46</v>
      </c>
    </row>
    <row r="1132" ht="22.5" customHeight="1">
      <c r="A1132" s="18">
        <v>1242.0</v>
      </c>
      <c r="B1132" s="18">
        <v>102.0</v>
      </c>
      <c r="C1132" s="18">
        <v>13.0</v>
      </c>
      <c r="D1132" s="18">
        <v>2.0</v>
      </c>
      <c r="E1132" s="18" t="s">
        <v>821</v>
      </c>
      <c r="F1132" s="19" t="s">
        <v>46</v>
      </c>
    </row>
    <row r="1133" ht="22.5" customHeight="1">
      <c r="A1133" s="18">
        <v>1243.0</v>
      </c>
      <c r="B1133" s="18">
        <v>103.0</v>
      </c>
      <c r="C1133" s="18">
        <v>2.0</v>
      </c>
      <c r="D1133" s="18">
        <v>1.0</v>
      </c>
      <c r="E1133" s="18" t="s">
        <v>1497</v>
      </c>
      <c r="F1133" s="19" t="s">
        <v>46</v>
      </c>
    </row>
    <row r="1134" ht="22.5" customHeight="1">
      <c r="A1134" s="18">
        <v>1244.0</v>
      </c>
      <c r="B1134" s="18">
        <v>103.0</v>
      </c>
      <c r="C1134" s="18">
        <v>6.0</v>
      </c>
      <c r="D1134" s="18">
        <v>1.0</v>
      </c>
      <c r="E1134" s="18" t="s">
        <v>1497</v>
      </c>
      <c r="F1134" s="19" t="s">
        <v>46</v>
      </c>
    </row>
    <row r="1135" ht="22.5" customHeight="1">
      <c r="A1135" s="18">
        <v>1245.0</v>
      </c>
      <c r="B1135" s="18">
        <v>103.0</v>
      </c>
      <c r="C1135" s="18">
        <v>8.0</v>
      </c>
      <c r="D1135" s="18">
        <v>1.0</v>
      </c>
      <c r="E1135" s="18" t="s">
        <v>1497</v>
      </c>
      <c r="F1135" s="19" t="s">
        <v>46</v>
      </c>
    </row>
    <row r="1136" ht="22.5" customHeight="1">
      <c r="A1136" s="18">
        <v>1246.0</v>
      </c>
      <c r="B1136" s="18">
        <v>103.0</v>
      </c>
      <c r="C1136" s="18">
        <v>14.0</v>
      </c>
      <c r="D1136" s="18">
        <v>1.0</v>
      </c>
      <c r="E1136" s="18" t="s">
        <v>1497</v>
      </c>
      <c r="F1136" s="19" t="s">
        <v>46</v>
      </c>
    </row>
    <row r="1137" ht="22.5" customHeight="1">
      <c r="A1137" s="18">
        <v>1247.0</v>
      </c>
      <c r="B1137" s="18">
        <v>104.0</v>
      </c>
      <c r="C1137" s="18">
        <v>2.0</v>
      </c>
      <c r="D1137" s="18">
        <v>1.0</v>
      </c>
      <c r="E1137" s="18" t="s">
        <v>1497</v>
      </c>
      <c r="F1137" s="19" t="s">
        <v>46</v>
      </c>
    </row>
    <row r="1138" ht="22.5" customHeight="1">
      <c r="A1138" s="18">
        <v>1248.0</v>
      </c>
      <c r="B1138" s="18">
        <v>104.0</v>
      </c>
      <c r="C1138" s="18">
        <v>6.0</v>
      </c>
      <c r="D1138" s="18">
        <v>1.0</v>
      </c>
      <c r="E1138" s="18" t="s">
        <v>1497</v>
      </c>
      <c r="F1138" s="19" t="s">
        <v>46</v>
      </c>
    </row>
    <row r="1139" ht="22.5" customHeight="1">
      <c r="A1139" s="18">
        <v>1249.0</v>
      </c>
      <c r="B1139" s="18">
        <v>104.0</v>
      </c>
      <c r="C1139" s="18">
        <v>8.0</v>
      </c>
      <c r="D1139" s="18">
        <v>1.0</v>
      </c>
      <c r="E1139" s="18" t="s">
        <v>1497</v>
      </c>
      <c r="F1139" s="19" t="s">
        <v>46</v>
      </c>
    </row>
    <row r="1140" ht="22.5" customHeight="1">
      <c r="A1140" s="18">
        <v>1250.0</v>
      </c>
      <c r="B1140" s="18">
        <v>104.0</v>
      </c>
      <c r="C1140" s="18">
        <v>14.0</v>
      </c>
      <c r="D1140" s="18">
        <v>1.0</v>
      </c>
      <c r="E1140" s="18" t="s">
        <v>1497</v>
      </c>
      <c r="F1140" s="19" t="s">
        <v>46</v>
      </c>
    </row>
    <row r="1141" ht="22.5" customHeight="1">
      <c r="A1141" s="18">
        <v>1251.0</v>
      </c>
      <c r="B1141" s="18">
        <v>105.0</v>
      </c>
      <c r="C1141" s="18">
        <v>3.0</v>
      </c>
      <c r="D1141" s="18">
        <v>1.0</v>
      </c>
      <c r="E1141" s="18" t="s">
        <v>1497</v>
      </c>
      <c r="F1141" s="19" t="s">
        <v>46</v>
      </c>
    </row>
    <row r="1142" ht="22.5" customHeight="1">
      <c r="A1142" s="18">
        <v>1252.0</v>
      </c>
      <c r="B1142" s="18">
        <v>105.0</v>
      </c>
      <c r="C1142" s="18">
        <v>8.0</v>
      </c>
      <c r="D1142" s="18">
        <v>1.0</v>
      </c>
      <c r="E1142" s="18" t="s">
        <v>1497</v>
      </c>
      <c r="F1142" s="19" t="s">
        <v>46</v>
      </c>
    </row>
    <row r="1143" ht="22.5" customHeight="1">
      <c r="A1143" s="18">
        <v>1253.0</v>
      </c>
      <c r="B1143" s="18">
        <v>105.0</v>
      </c>
      <c r="C1143" s="18">
        <v>14.0</v>
      </c>
      <c r="D1143" s="18">
        <v>1.0</v>
      </c>
      <c r="E1143" s="18" t="s">
        <v>1497</v>
      </c>
      <c r="F1143" s="19" t="s">
        <v>46</v>
      </c>
    </row>
    <row r="1144" ht="22.5" customHeight="1">
      <c r="A1144" s="18">
        <v>1254.0</v>
      </c>
      <c r="B1144" s="18">
        <v>106.0</v>
      </c>
      <c r="C1144" s="18">
        <v>6.0</v>
      </c>
      <c r="D1144" s="18">
        <v>1.0</v>
      </c>
      <c r="E1144" s="18" t="s">
        <v>1497</v>
      </c>
      <c r="F1144" s="19" t="s">
        <v>46</v>
      </c>
    </row>
    <row r="1145" ht="22.5" customHeight="1">
      <c r="A1145" s="18">
        <v>1255.0</v>
      </c>
      <c r="B1145" s="18">
        <v>106.0</v>
      </c>
      <c r="C1145" s="18">
        <v>8.0</v>
      </c>
      <c r="D1145" s="18">
        <v>1.0</v>
      </c>
      <c r="E1145" s="18" t="s">
        <v>1497</v>
      </c>
      <c r="F1145" s="19" t="s">
        <v>46</v>
      </c>
    </row>
    <row r="1146" ht="22.5" customHeight="1">
      <c r="A1146" s="18">
        <v>1256.0</v>
      </c>
      <c r="B1146" s="18">
        <v>106.0</v>
      </c>
      <c r="C1146" s="18">
        <v>14.0</v>
      </c>
      <c r="D1146" s="18">
        <v>1.0</v>
      </c>
      <c r="E1146" s="18" t="s">
        <v>1497</v>
      </c>
      <c r="F1146" s="19" t="s">
        <v>46</v>
      </c>
    </row>
    <row r="1147" ht="22.5" customHeight="1">
      <c r="A1147" s="18">
        <v>1257.0</v>
      </c>
      <c r="B1147" s="18">
        <v>106.0</v>
      </c>
      <c r="C1147" s="18">
        <v>16.0</v>
      </c>
      <c r="D1147" s="18">
        <v>1.0</v>
      </c>
      <c r="E1147" s="18" t="s">
        <v>1497</v>
      </c>
      <c r="F1147" s="19" t="s">
        <v>46</v>
      </c>
    </row>
    <row r="1148" ht="22.5" customHeight="1">
      <c r="A1148" s="18">
        <v>1258.0</v>
      </c>
      <c r="B1148" s="18">
        <v>107.0</v>
      </c>
      <c r="C1148" s="18">
        <v>3.0</v>
      </c>
      <c r="D1148" s="18">
        <v>1.0</v>
      </c>
      <c r="E1148" s="18" t="s">
        <v>1497</v>
      </c>
      <c r="F1148" s="19" t="s">
        <v>46</v>
      </c>
    </row>
    <row r="1149" ht="22.5" customHeight="1">
      <c r="A1149" s="18">
        <v>1259.0</v>
      </c>
      <c r="B1149" s="18">
        <v>107.0</v>
      </c>
      <c r="C1149" s="18">
        <v>6.0</v>
      </c>
      <c r="D1149" s="18">
        <v>1.0</v>
      </c>
      <c r="E1149" s="18" t="s">
        <v>1497</v>
      </c>
      <c r="F1149" s="19" t="s">
        <v>46</v>
      </c>
    </row>
    <row r="1150" ht="22.5" customHeight="1">
      <c r="A1150" s="18">
        <v>1260.0</v>
      </c>
      <c r="B1150" s="18">
        <v>107.0</v>
      </c>
      <c r="C1150" s="18">
        <v>8.0</v>
      </c>
      <c r="D1150" s="18">
        <v>1.0</v>
      </c>
      <c r="E1150" s="18" t="s">
        <v>1497</v>
      </c>
      <c r="F1150" s="19" t="s">
        <v>46</v>
      </c>
    </row>
    <row r="1151" ht="22.5" customHeight="1">
      <c r="A1151" s="18">
        <v>1261.0</v>
      </c>
      <c r="B1151" s="18">
        <v>107.0</v>
      </c>
      <c r="C1151" s="18">
        <v>14.0</v>
      </c>
      <c r="D1151" s="18">
        <v>1.0</v>
      </c>
      <c r="E1151" s="18" t="s">
        <v>1497</v>
      </c>
      <c r="F1151" s="19" t="s">
        <v>46</v>
      </c>
    </row>
    <row r="1152" ht="22.5" customHeight="1">
      <c r="A1152" s="18">
        <v>1262.0</v>
      </c>
      <c r="B1152" s="18">
        <v>107.0</v>
      </c>
      <c r="C1152" s="18">
        <v>16.0</v>
      </c>
      <c r="D1152" s="18">
        <v>1.0</v>
      </c>
      <c r="E1152" s="18" t="s">
        <v>1497</v>
      </c>
      <c r="F1152" s="19" t="s">
        <v>46</v>
      </c>
    </row>
    <row r="1153" ht="22.5" customHeight="1">
      <c r="A1153" s="18">
        <v>1263.0</v>
      </c>
      <c r="B1153" s="18">
        <v>108.0</v>
      </c>
      <c r="C1153" s="18">
        <v>8.0</v>
      </c>
      <c r="D1153" s="18">
        <v>1.0</v>
      </c>
      <c r="E1153" s="18" t="s">
        <v>1497</v>
      </c>
      <c r="F1153" s="19" t="s">
        <v>46</v>
      </c>
    </row>
    <row r="1154" ht="22.5" customHeight="1">
      <c r="A1154" s="18">
        <v>1264.0</v>
      </c>
      <c r="B1154" s="18">
        <v>108.0</v>
      </c>
      <c r="C1154" s="18">
        <v>14.0</v>
      </c>
      <c r="D1154" s="18">
        <v>1.0</v>
      </c>
      <c r="E1154" s="18" t="s">
        <v>1497</v>
      </c>
      <c r="F1154" s="19" t="s">
        <v>46</v>
      </c>
    </row>
    <row r="1155" ht="22.5" customHeight="1">
      <c r="A1155" s="23">
        <v>1265.0</v>
      </c>
      <c r="B1155" s="23">
        <v>67.0</v>
      </c>
      <c r="C1155" s="23">
        <v>14.0</v>
      </c>
      <c r="D1155" s="23">
        <v>1.0</v>
      </c>
      <c r="E1155" s="18" t="s">
        <v>785</v>
      </c>
      <c r="F1155" s="19" t="s">
        <v>46</v>
      </c>
    </row>
    <row r="1156" ht="22.5" customHeight="1">
      <c r="A1156" s="23">
        <v>1266.0</v>
      </c>
      <c r="B1156" s="23">
        <v>110.0</v>
      </c>
      <c r="C1156" s="23">
        <v>19.0</v>
      </c>
      <c r="D1156" s="23">
        <v>1.0</v>
      </c>
      <c r="E1156" s="18" t="s">
        <v>723</v>
      </c>
      <c r="F1156" s="19" t="s">
        <v>46</v>
      </c>
    </row>
    <row r="1157" ht="22.5" customHeight="1">
      <c r="A1157" s="18">
        <v>1267.0</v>
      </c>
      <c r="B1157" s="18">
        <v>30.0</v>
      </c>
      <c r="C1157" s="24">
        <v>5.0</v>
      </c>
      <c r="D1157" s="23">
        <v>1.0</v>
      </c>
      <c r="E1157" s="23"/>
      <c r="F1157" s="19" t="s">
        <v>46</v>
      </c>
    </row>
    <row r="1158" ht="22.5" customHeight="1">
      <c r="A1158" s="23">
        <v>1268.0</v>
      </c>
      <c r="B1158" s="18">
        <v>30.0</v>
      </c>
      <c r="C1158" s="24">
        <v>6.0</v>
      </c>
      <c r="D1158" s="23">
        <v>1.0</v>
      </c>
      <c r="E1158" s="23"/>
      <c r="F1158" s="19" t="s">
        <v>46</v>
      </c>
    </row>
    <row r="1159" ht="22.5" customHeight="1">
      <c r="A1159" s="23">
        <v>1269.0</v>
      </c>
      <c r="B1159" s="18">
        <v>30.0</v>
      </c>
      <c r="C1159" s="24">
        <v>7.0</v>
      </c>
      <c r="D1159" s="23">
        <v>1.0</v>
      </c>
      <c r="E1159" s="23"/>
      <c r="F1159" s="19" t="s">
        <v>46</v>
      </c>
    </row>
    <row r="1160" ht="22.5" customHeight="1">
      <c r="A1160" s="18">
        <v>1270.0</v>
      </c>
      <c r="B1160" s="18">
        <v>30.0</v>
      </c>
      <c r="C1160" s="24">
        <v>8.0</v>
      </c>
      <c r="D1160" s="23">
        <v>1.0</v>
      </c>
      <c r="E1160" s="23"/>
      <c r="F1160" s="19" t="s">
        <v>46</v>
      </c>
    </row>
    <row r="1161" ht="22.5" customHeight="1">
      <c r="A1161" s="23">
        <v>1271.0</v>
      </c>
      <c r="B1161" s="18">
        <v>30.0</v>
      </c>
      <c r="C1161" s="24">
        <v>9.0</v>
      </c>
      <c r="D1161" s="23">
        <v>1.0</v>
      </c>
      <c r="E1161" s="23"/>
      <c r="F1161" s="19" t="s">
        <v>46</v>
      </c>
    </row>
    <row r="1162" ht="22.5" customHeight="1">
      <c r="A1162" s="23">
        <v>1272.0</v>
      </c>
      <c r="B1162" s="18">
        <v>30.0</v>
      </c>
      <c r="C1162" s="24">
        <v>11.0</v>
      </c>
      <c r="D1162" s="23">
        <v>1.0</v>
      </c>
      <c r="E1162" s="23"/>
      <c r="F1162" s="19" t="s">
        <v>46</v>
      </c>
    </row>
    <row r="1163" ht="22.5" customHeight="1">
      <c r="A1163" s="18">
        <v>1273.0</v>
      </c>
      <c r="B1163" s="18">
        <v>30.0</v>
      </c>
      <c r="C1163" s="24">
        <v>12.0</v>
      </c>
      <c r="D1163" s="23">
        <v>1.0</v>
      </c>
      <c r="E1163" s="23"/>
      <c r="F1163" s="19" t="s">
        <v>46</v>
      </c>
    </row>
    <row r="1164" ht="22.5" customHeight="1">
      <c r="A1164" s="23">
        <v>1274.0</v>
      </c>
      <c r="B1164" s="18">
        <v>30.0</v>
      </c>
      <c r="C1164" s="24">
        <v>14.0</v>
      </c>
      <c r="D1164" s="23">
        <v>1.0</v>
      </c>
      <c r="E1164" s="23"/>
      <c r="F1164" s="19" t="s">
        <v>46</v>
      </c>
    </row>
    <row r="1165" ht="22.5" customHeight="1">
      <c r="A1165" s="23">
        <v>1275.0</v>
      </c>
      <c r="B1165" s="18">
        <v>30.0</v>
      </c>
      <c r="C1165" s="24">
        <v>15.0</v>
      </c>
      <c r="D1165" s="23">
        <v>1.0</v>
      </c>
      <c r="E1165" s="23"/>
      <c r="F1165" s="19" t="s">
        <v>46</v>
      </c>
    </row>
    <row r="1166" ht="22.5" customHeight="1">
      <c r="A1166" s="18">
        <v>1276.0</v>
      </c>
      <c r="B1166" s="18">
        <v>30.0</v>
      </c>
      <c r="C1166" s="24">
        <v>16.0</v>
      </c>
      <c r="D1166" s="23">
        <v>1.0</v>
      </c>
      <c r="E1166" s="23"/>
      <c r="F1166" s="19" t="s">
        <v>46</v>
      </c>
    </row>
    <row r="1167" ht="22.5" customHeight="1">
      <c r="A1167" s="23">
        <v>1277.0</v>
      </c>
      <c r="B1167" s="18">
        <v>30.0</v>
      </c>
      <c r="C1167" s="24">
        <v>17.0</v>
      </c>
      <c r="D1167" s="23">
        <v>1.0</v>
      </c>
      <c r="E1167" s="23"/>
      <c r="F1167" s="19" t="s">
        <v>46</v>
      </c>
    </row>
    <row r="1168" ht="22.5" customHeight="1">
      <c r="A1168" s="23">
        <v>1278.0</v>
      </c>
      <c r="B1168" s="18">
        <v>30.0</v>
      </c>
      <c r="C1168" s="24">
        <v>19.0</v>
      </c>
      <c r="D1168" s="23">
        <v>1.0</v>
      </c>
      <c r="E1168" s="23"/>
      <c r="F1168" s="19" t="s">
        <v>46</v>
      </c>
    </row>
    <row r="1169" ht="22.5" customHeight="1">
      <c r="A1169" s="23">
        <v>1279.0</v>
      </c>
      <c r="B1169" s="23">
        <v>46.0</v>
      </c>
      <c r="C1169" s="23">
        <v>6.0</v>
      </c>
      <c r="D1169" s="23">
        <v>1.0</v>
      </c>
      <c r="E1169" s="23"/>
      <c r="F1169" s="19" t="s">
        <v>46</v>
      </c>
    </row>
    <row r="1170" ht="22.5" customHeight="1">
      <c r="A1170" s="23">
        <v>1280.0</v>
      </c>
      <c r="B1170" s="23">
        <v>65.0</v>
      </c>
      <c r="C1170" s="23">
        <v>15.0</v>
      </c>
      <c r="D1170" s="23">
        <v>1.0</v>
      </c>
      <c r="E1170" s="23"/>
      <c r="F1170" s="19" t="s">
        <v>46</v>
      </c>
    </row>
    <row r="1171" ht="22.5" customHeight="1">
      <c r="A1171" s="23">
        <v>1281.0</v>
      </c>
      <c r="B1171" s="23">
        <v>43.0</v>
      </c>
      <c r="C1171" s="23">
        <v>4.0</v>
      </c>
      <c r="D1171" s="23">
        <v>1.0</v>
      </c>
      <c r="E1171" s="18" t="s">
        <v>723</v>
      </c>
      <c r="F1171" s="19" t="s">
        <v>46</v>
      </c>
    </row>
    <row r="1172" ht="22.5" customHeight="1">
      <c r="A1172" s="23">
        <v>1282.0</v>
      </c>
      <c r="B1172" s="23">
        <v>32.0</v>
      </c>
      <c r="C1172" s="23">
        <v>13.0</v>
      </c>
      <c r="D1172" s="23">
        <v>1.0</v>
      </c>
      <c r="E1172" s="23"/>
      <c r="F1172" s="19" t="s">
        <v>46</v>
      </c>
    </row>
    <row r="1173" ht="22.5" customHeight="1">
      <c r="A1173" s="23">
        <v>1283.0</v>
      </c>
      <c r="B1173" s="23">
        <v>116.0</v>
      </c>
      <c r="C1173" s="23">
        <v>3.0</v>
      </c>
      <c r="D1173" s="23">
        <v>2.0</v>
      </c>
      <c r="E1173" s="23"/>
      <c r="F1173" s="19" t="s">
        <v>46</v>
      </c>
    </row>
    <row r="1174" ht="22.5" customHeight="1">
      <c r="A1174" s="23">
        <v>1284.0</v>
      </c>
      <c r="B1174" s="23">
        <v>116.0</v>
      </c>
      <c r="C1174" s="23">
        <v>5.0</v>
      </c>
      <c r="D1174" s="23">
        <v>2.0</v>
      </c>
      <c r="E1174" s="23"/>
      <c r="F1174" s="19" t="s">
        <v>46</v>
      </c>
    </row>
    <row r="1175" ht="22.5" customHeight="1">
      <c r="A1175" s="23">
        <v>1285.0</v>
      </c>
      <c r="B1175" s="23">
        <v>116.0</v>
      </c>
      <c r="C1175" s="23">
        <v>8.0</v>
      </c>
      <c r="D1175" s="23">
        <v>2.0</v>
      </c>
      <c r="E1175" s="23"/>
      <c r="F1175" s="19" t="s">
        <v>46</v>
      </c>
    </row>
    <row r="1176" ht="22.5" customHeight="1">
      <c r="A1176" s="23">
        <v>1286.0</v>
      </c>
      <c r="B1176" s="23">
        <v>116.0</v>
      </c>
      <c r="C1176" s="23">
        <v>9.0</v>
      </c>
      <c r="D1176" s="23">
        <v>2.0</v>
      </c>
      <c r="E1176" s="23"/>
      <c r="F1176" s="19" t="s">
        <v>46</v>
      </c>
    </row>
    <row r="1177" ht="22.5" customHeight="1">
      <c r="A1177" s="23">
        <v>1287.0</v>
      </c>
      <c r="B1177" s="23">
        <v>116.0</v>
      </c>
      <c r="C1177" s="23">
        <v>18.0</v>
      </c>
      <c r="D1177" s="23">
        <v>2.0</v>
      </c>
      <c r="E1177" s="23"/>
      <c r="F1177" s="19" t="s">
        <v>46</v>
      </c>
    </row>
    <row r="1178" ht="22.5" customHeight="1">
      <c r="A1178" s="23">
        <v>1288.0</v>
      </c>
      <c r="B1178" s="23">
        <v>66.0</v>
      </c>
      <c r="C1178" s="23">
        <v>14.0</v>
      </c>
      <c r="D1178" s="23">
        <v>1.0</v>
      </c>
      <c r="E1178" s="18" t="s">
        <v>785</v>
      </c>
      <c r="F1178" s="19" t="s">
        <v>46</v>
      </c>
    </row>
    <row r="1179" ht="22.5" customHeight="1">
      <c r="A1179" s="23">
        <v>1289.0</v>
      </c>
      <c r="B1179" s="23">
        <v>117.0</v>
      </c>
      <c r="C1179" s="23">
        <v>1.0</v>
      </c>
      <c r="D1179" s="23">
        <v>2.0</v>
      </c>
      <c r="E1179" s="18" t="s">
        <v>795</v>
      </c>
      <c r="F1179" s="19" t="s">
        <v>46</v>
      </c>
    </row>
    <row r="1180" ht="22.5" customHeight="1">
      <c r="A1180" s="23">
        <v>1290.0</v>
      </c>
      <c r="B1180" s="23">
        <v>117.0</v>
      </c>
      <c r="C1180" s="23">
        <v>2.0</v>
      </c>
      <c r="D1180" s="23">
        <v>2.0</v>
      </c>
      <c r="E1180" s="18" t="s">
        <v>795</v>
      </c>
      <c r="F1180" s="19" t="s">
        <v>46</v>
      </c>
    </row>
    <row r="1181" ht="22.5" customHeight="1">
      <c r="A1181" s="23">
        <v>1291.0</v>
      </c>
      <c r="B1181" s="23">
        <v>117.0</v>
      </c>
      <c r="C1181" s="23">
        <v>3.0</v>
      </c>
      <c r="D1181" s="23">
        <v>2.0</v>
      </c>
      <c r="E1181" s="18" t="s">
        <v>795</v>
      </c>
      <c r="F1181" s="19" t="s">
        <v>46</v>
      </c>
    </row>
    <row r="1182" ht="22.5" customHeight="1">
      <c r="A1182" s="23">
        <v>1292.0</v>
      </c>
      <c r="B1182" s="23">
        <v>117.0</v>
      </c>
      <c r="C1182" s="23">
        <v>6.0</v>
      </c>
      <c r="D1182" s="23">
        <v>2.0</v>
      </c>
      <c r="E1182" s="18" t="s">
        <v>795</v>
      </c>
      <c r="F1182" s="19" t="s">
        <v>46</v>
      </c>
    </row>
    <row r="1183" ht="22.5" customHeight="1">
      <c r="A1183" s="23">
        <v>1294.0</v>
      </c>
      <c r="B1183" s="23">
        <v>117.0</v>
      </c>
      <c r="C1183" s="23">
        <v>8.0</v>
      </c>
      <c r="D1183" s="23">
        <v>2.0</v>
      </c>
      <c r="E1183" s="18" t="s">
        <v>795</v>
      </c>
      <c r="F1183" s="19" t="s">
        <v>46</v>
      </c>
    </row>
    <row r="1184" ht="22.5" customHeight="1">
      <c r="A1184" s="23">
        <v>1295.0</v>
      </c>
      <c r="B1184" s="23">
        <v>117.0</v>
      </c>
      <c r="C1184" s="23">
        <v>9.0</v>
      </c>
      <c r="D1184" s="23">
        <v>2.0</v>
      </c>
      <c r="E1184" s="18" t="s">
        <v>795</v>
      </c>
      <c r="F1184" s="19" t="s">
        <v>46</v>
      </c>
    </row>
    <row r="1185" ht="22.5" customHeight="1">
      <c r="A1185" s="23">
        <v>1296.0</v>
      </c>
      <c r="B1185" s="23">
        <v>117.0</v>
      </c>
      <c r="C1185" s="23">
        <v>11.0</v>
      </c>
      <c r="D1185" s="23">
        <v>2.0</v>
      </c>
      <c r="E1185" s="18" t="s">
        <v>795</v>
      </c>
      <c r="F1185" s="19" t="s">
        <v>46</v>
      </c>
    </row>
    <row r="1186" ht="22.5" customHeight="1">
      <c r="A1186" s="23">
        <v>1298.0</v>
      </c>
      <c r="B1186" s="23">
        <v>117.0</v>
      </c>
      <c r="C1186" s="23">
        <v>13.0</v>
      </c>
      <c r="D1186" s="23">
        <v>2.0</v>
      </c>
      <c r="E1186" s="18" t="s">
        <v>795</v>
      </c>
      <c r="F1186" s="19" t="s">
        <v>46</v>
      </c>
    </row>
    <row r="1187" ht="22.5" customHeight="1">
      <c r="A1187" s="23">
        <v>1299.0</v>
      </c>
      <c r="B1187" s="23">
        <v>117.0</v>
      </c>
      <c r="C1187" s="23">
        <v>14.0</v>
      </c>
      <c r="D1187" s="23">
        <v>2.0</v>
      </c>
      <c r="E1187" s="18" t="s">
        <v>795</v>
      </c>
      <c r="F1187" s="19" t="s">
        <v>46</v>
      </c>
    </row>
    <row r="1188" ht="22.5" customHeight="1">
      <c r="A1188" s="23">
        <v>1300.0</v>
      </c>
      <c r="B1188" s="23">
        <v>117.0</v>
      </c>
      <c r="C1188" s="23">
        <v>15.0</v>
      </c>
      <c r="D1188" s="23">
        <v>2.0</v>
      </c>
      <c r="E1188" s="18" t="s">
        <v>795</v>
      </c>
      <c r="F1188" s="19" t="s">
        <v>46</v>
      </c>
    </row>
    <row r="1189" ht="22.5" customHeight="1">
      <c r="A1189" s="23">
        <v>1301.0</v>
      </c>
      <c r="B1189" s="23">
        <v>117.0</v>
      </c>
      <c r="C1189" s="23">
        <v>16.0</v>
      </c>
      <c r="D1189" s="23">
        <v>2.0</v>
      </c>
      <c r="E1189" s="18" t="s">
        <v>795</v>
      </c>
      <c r="F1189" s="19" t="s">
        <v>46</v>
      </c>
    </row>
    <row r="1190" ht="22.5" customHeight="1">
      <c r="A1190" s="23">
        <v>1302.0</v>
      </c>
      <c r="B1190" s="23">
        <v>118.0</v>
      </c>
      <c r="C1190" s="23">
        <v>1.0</v>
      </c>
      <c r="D1190" s="23">
        <v>1.0</v>
      </c>
      <c r="E1190" s="23"/>
      <c r="F1190" s="19" t="s">
        <v>46</v>
      </c>
    </row>
    <row r="1191" ht="22.5" customHeight="1">
      <c r="A1191" s="23">
        <v>1303.0</v>
      </c>
      <c r="B1191" s="23">
        <v>118.0</v>
      </c>
      <c r="C1191" s="23">
        <v>2.0</v>
      </c>
      <c r="D1191" s="23">
        <v>1.0</v>
      </c>
      <c r="E1191" s="23"/>
      <c r="F1191" s="19" t="s">
        <v>46</v>
      </c>
    </row>
    <row r="1192" ht="22.5" customHeight="1">
      <c r="A1192" s="23">
        <v>1304.0</v>
      </c>
      <c r="B1192" s="23">
        <v>118.0</v>
      </c>
      <c r="C1192" s="23">
        <v>3.0</v>
      </c>
      <c r="D1192" s="23">
        <v>1.0</v>
      </c>
      <c r="E1192" s="23"/>
      <c r="F1192" s="19" t="s">
        <v>46</v>
      </c>
    </row>
    <row r="1193" ht="22.5" customHeight="1">
      <c r="A1193" s="23">
        <v>1305.0</v>
      </c>
      <c r="B1193" s="23">
        <v>118.0</v>
      </c>
      <c r="C1193" s="23">
        <v>4.0</v>
      </c>
      <c r="D1193" s="23">
        <v>1.0</v>
      </c>
      <c r="E1193" s="23"/>
      <c r="F1193" s="19" t="s">
        <v>46</v>
      </c>
    </row>
    <row r="1194" ht="22.5" customHeight="1">
      <c r="A1194" s="23">
        <v>1306.0</v>
      </c>
      <c r="B1194" s="23">
        <v>118.0</v>
      </c>
      <c r="C1194" s="23">
        <v>5.0</v>
      </c>
      <c r="D1194" s="23">
        <v>1.0</v>
      </c>
      <c r="E1194" s="23"/>
      <c r="F1194" s="19" t="s">
        <v>46</v>
      </c>
    </row>
    <row r="1195" ht="22.5" customHeight="1">
      <c r="A1195" s="23">
        <v>1307.0</v>
      </c>
      <c r="B1195" s="23">
        <v>118.0</v>
      </c>
      <c r="C1195" s="23">
        <v>6.0</v>
      </c>
      <c r="D1195" s="23">
        <v>1.0</v>
      </c>
      <c r="E1195" s="23"/>
      <c r="F1195" s="19" t="s">
        <v>46</v>
      </c>
    </row>
    <row r="1196" ht="22.5" customHeight="1">
      <c r="A1196" s="23">
        <v>1308.0</v>
      </c>
      <c r="B1196" s="23">
        <v>118.0</v>
      </c>
      <c r="C1196" s="23">
        <v>7.0</v>
      </c>
      <c r="D1196" s="23">
        <v>1.0</v>
      </c>
      <c r="E1196" s="23"/>
      <c r="F1196" s="19" t="s">
        <v>46</v>
      </c>
    </row>
    <row r="1197" ht="22.5" customHeight="1">
      <c r="A1197" s="23">
        <v>1309.0</v>
      </c>
      <c r="B1197" s="23">
        <v>118.0</v>
      </c>
      <c r="C1197" s="23">
        <v>8.0</v>
      </c>
      <c r="D1197" s="23">
        <v>1.0</v>
      </c>
      <c r="E1197" s="23"/>
      <c r="F1197" s="19" t="s">
        <v>46</v>
      </c>
    </row>
    <row r="1198" ht="22.5" customHeight="1">
      <c r="A1198" s="23">
        <v>1310.0</v>
      </c>
      <c r="B1198" s="23">
        <v>118.0</v>
      </c>
      <c r="C1198" s="23">
        <v>9.0</v>
      </c>
      <c r="D1198" s="23">
        <v>1.0</v>
      </c>
      <c r="E1198" s="23"/>
      <c r="F1198" s="19" t="s">
        <v>46</v>
      </c>
    </row>
    <row r="1199" ht="22.5" customHeight="1">
      <c r="A1199" s="23">
        <v>1311.0</v>
      </c>
      <c r="B1199" s="23">
        <v>118.0</v>
      </c>
      <c r="C1199" s="23">
        <v>11.0</v>
      </c>
      <c r="D1199" s="23">
        <v>1.0</v>
      </c>
      <c r="E1199" s="23"/>
      <c r="F1199" s="19" t="s">
        <v>46</v>
      </c>
    </row>
    <row r="1200" ht="22.5" customHeight="1">
      <c r="A1200" s="23">
        <v>1312.0</v>
      </c>
      <c r="B1200" s="23">
        <v>118.0</v>
      </c>
      <c r="C1200" s="23">
        <v>12.0</v>
      </c>
      <c r="D1200" s="23">
        <v>1.0</v>
      </c>
      <c r="E1200" s="23"/>
      <c r="F1200" s="19" t="s">
        <v>46</v>
      </c>
    </row>
    <row r="1201" ht="22.5" customHeight="1">
      <c r="A1201" s="23">
        <v>1313.0</v>
      </c>
      <c r="B1201" s="23">
        <v>118.0</v>
      </c>
      <c r="C1201" s="23">
        <v>13.0</v>
      </c>
      <c r="D1201" s="23">
        <v>1.0</v>
      </c>
      <c r="E1201" s="23"/>
      <c r="F1201" s="19" t="s">
        <v>46</v>
      </c>
    </row>
    <row r="1202" ht="22.5" customHeight="1">
      <c r="A1202" s="23">
        <v>1314.0</v>
      </c>
      <c r="B1202" s="23">
        <v>118.0</v>
      </c>
      <c r="C1202" s="23">
        <v>14.0</v>
      </c>
      <c r="D1202" s="23">
        <v>1.0</v>
      </c>
      <c r="E1202" s="23"/>
      <c r="F1202" s="19" t="s">
        <v>46</v>
      </c>
    </row>
    <row r="1203" ht="22.5" customHeight="1">
      <c r="A1203" s="23">
        <v>1315.0</v>
      </c>
      <c r="B1203" s="23">
        <v>118.0</v>
      </c>
      <c r="C1203" s="23">
        <v>15.0</v>
      </c>
      <c r="D1203" s="23">
        <v>1.0</v>
      </c>
      <c r="E1203" s="23"/>
      <c r="F1203" s="19" t="s">
        <v>46</v>
      </c>
    </row>
    <row r="1204" ht="22.5" customHeight="1">
      <c r="A1204" s="23">
        <v>1316.0</v>
      </c>
      <c r="B1204" s="23">
        <v>118.0</v>
      </c>
      <c r="C1204" s="23">
        <v>16.0</v>
      </c>
      <c r="D1204" s="23">
        <v>1.0</v>
      </c>
      <c r="E1204" s="23"/>
      <c r="F1204" s="19" t="s">
        <v>46</v>
      </c>
    </row>
    <row r="1205" ht="22.5" customHeight="1">
      <c r="A1205" s="23">
        <v>1317.0</v>
      </c>
      <c r="B1205" s="23">
        <v>118.0</v>
      </c>
      <c r="C1205" s="23">
        <v>17.0</v>
      </c>
      <c r="D1205" s="23">
        <v>1.0</v>
      </c>
      <c r="E1205" s="23"/>
      <c r="F1205" s="19" t="s">
        <v>46</v>
      </c>
    </row>
    <row r="1206" ht="22.5" customHeight="1">
      <c r="A1206" s="23">
        <v>1318.0</v>
      </c>
      <c r="B1206" s="23">
        <v>118.0</v>
      </c>
      <c r="C1206" s="23">
        <v>18.0</v>
      </c>
      <c r="D1206" s="23">
        <v>1.0</v>
      </c>
      <c r="E1206" s="23"/>
      <c r="F1206" s="19" t="s">
        <v>46</v>
      </c>
    </row>
    <row r="1207" ht="22.5" customHeight="1">
      <c r="A1207" s="23">
        <v>1319.0</v>
      </c>
      <c r="B1207" s="23">
        <v>118.0</v>
      </c>
      <c r="C1207" s="23">
        <v>19.0</v>
      </c>
      <c r="D1207" s="23">
        <v>1.0</v>
      </c>
      <c r="E1207" s="23"/>
      <c r="F1207" s="19" t="s">
        <v>46</v>
      </c>
    </row>
    <row r="1208" ht="22.5" customHeight="1">
      <c r="A1208" s="23">
        <v>1320.0</v>
      </c>
      <c r="B1208" s="23">
        <v>119.0</v>
      </c>
      <c r="C1208" s="24">
        <v>1.0</v>
      </c>
      <c r="D1208" s="23">
        <v>1.0</v>
      </c>
      <c r="E1208" s="18" t="s">
        <v>821</v>
      </c>
      <c r="F1208" s="19" t="s">
        <v>46</v>
      </c>
    </row>
    <row r="1209" ht="22.5" customHeight="1">
      <c r="A1209" s="23">
        <v>1321.0</v>
      </c>
      <c r="B1209" s="23">
        <v>119.0</v>
      </c>
      <c r="C1209" s="24">
        <v>8.0</v>
      </c>
      <c r="D1209" s="23">
        <v>1.0</v>
      </c>
      <c r="E1209" s="18" t="s">
        <v>821</v>
      </c>
      <c r="F1209" s="19" t="s">
        <v>46</v>
      </c>
    </row>
    <row r="1210" ht="22.5" customHeight="1">
      <c r="A1210" s="23">
        <v>1322.0</v>
      </c>
      <c r="B1210" s="23">
        <v>29.0</v>
      </c>
      <c r="C1210" s="23">
        <v>13.0</v>
      </c>
      <c r="D1210" s="23">
        <v>2.0</v>
      </c>
      <c r="E1210" s="23"/>
      <c r="F1210" s="19" t="s">
        <v>46</v>
      </c>
    </row>
    <row r="1211">
      <c r="B1211" s="2"/>
      <c r="D1211" s="2"/>
      <c r="F1211" s="22"/>
      <c r="I1211" s="29"/>
    </row>
    <row r="1212">
      <c r="B1212" s="2"/>
      <c r="D1212" s="2"/>
      <c r="F1212" s="22"/>
      <c r="I1212" s="30"/>
    </row>
    <row r="1213">
      <c r="B1213" s="2"/>
      <c r="D1213" s="2"/>
      <c r="F1213" s="22"/>
    </row>
    <row r="1214">
      <c r="B1214" s="2"/>
      <c r="D1214" s="2"/>
      <c r="F1214" s="22"/>
    </row>
    <row r="1215">
      <c r="B1215" s="2"/>
      <c r="D1215" s="2"/>
      <c r="F1215" s="22"/>
    </row>
    <row r="1216">
      <c r="B1216" s="2"/>
      <c r="D1216" s="2"/>
      <c r="F1216" s="22"/>
    </row>
    <row r="1217">
      <c r="B1217" s="2"/>
      <c r="D1217" s="2"/>
      <c r="F1217" s="22"/>
    </row>
    <row r="1218">
      <c r="B1218" s="2"/>
      <c r="D1218" s="2"/>
      <c r="F1218" s="22"/>
    </row>
    <row r="1219">
      <c r="B1219" s="2"/>
      <c r="D1219" s="2"/>
      <c r="F1219" s="22"/>
    </row>
    <row r="1220">
      <c r="B1220" s="2"/>
      <c r="D1220" s="2"/>
      <c r="F1220" s="22"/>
    </row>
    <row r="1221">
      <c r="B1221" s="2"/>
      <c r="D1221" s="2"/>
      <c r="F1221" s="22"/>
    </row>
    <row r="1222">
      <c r="B1222" s="2"/>
      <c r="D1222" s="2"/>
      <c r="F1222" s="22"/>
    </row>
    <row r="1223">
      <c r="B1223" s="2"/>
      <c r="D1223" s="2"/>
      <c r="F1223" s="22"/>
    </row>
    <row r="1224">
      <c r="B1224" s="2"/>
      <c r="D1224" s="2"/>
      <c r="F1224" s="22"/>
    </row>
    <row r="1225">
      <c r="B1225" s="2"/>
      <c r="D1225" s="2"/>
      <c r="F1225" s="22"/>
    </row>
    <row r="1226">
      <c r="B1226" s="2"/>
      <c r="D1226" s="2"/>
      <c r="F1226" s="22"/>
    </row>
    <row r="1227">
      <c r="B1227" s="2"/>
      <c r="D1227" s="2"/>
      <c r="F1227" s="22"/>
    </row>
    <row r="1228">
      <c r="B1228" s="2"/>
      <c r="D1228" s="2"/>
      <c r="F1228" s="22"/>
    </row>
    <row r="1229">
      <c r="B1229" s="2"/>
      <c r="D1229" s="2"/>
      <c r="F1229" s="22"/>
    </row>
    <row r="1230">
      <c r="B1230" s="2"/>
      <c r="D1230" s="2"/>
      <c r="F1230" s="22"/>
    </row>
    <row r="1231">
      <c r="B1231" s="2"/>
      <c r="D1231" s="2"/>
      <c r="F1231" s="22"/>
    </row>
    <row r="1232">
      <c r="B1232" s="2"/>
      <c r="D1232" s="2"/>
      <c r="F1232" s="22"/>
    </row>
    <row r="1233">
      <c r="B1233" s="2"/>
      <c r="D1233" s="2"/>
      <c r="F1233" s="22"/>
    </row>
    <row r="1234">
      <c r="B1234" s="2"/>
      <c r="D1234" s="2"/>
      <c r="F1234" s="22"/>
    </row>
    <row r="1235">
      <c r="B1235" s="2"/>
      <c r="D1235" s="2"/>
      <c r="F1235" s="22"/>
    </row>
    <row r="1236">
      <c r="B1236" s="2"/>
      <c r="D1236" s="2"/>
      <c r="F1236" s="22"/>
    </row>
    <row r="1237">
      <c r="B1237" s="2"/>
      <c r="D1237" s="2"/>
      <c r="F1237" s="22"/>
    </row>
    <row r="1238">
      <c r="B1238" s="2"/>
      <c r="D1238" s="2"/>
      <c r="F1238" s="22"/>
    </row>
    <row r="1239">
      <c r="B1239" s="2"/>
      <c r="D1239" s="2"/>
      <c r="F1239" s="22"/>
    </row>
    <row r="1240">
      <c r="B1240" s="2"/>
      <c r="D1240" s="2"/>
      <c r="F1240" s="22"/>
    </row>
    <row r="1241">
      <c r="B1241" s="2"/>
      <c r="D1241" s="2"/>
      <c r="F1241" s="22"/>
    </row>
    <row r="1242">
      <c r="B1242" s="2"/>
      <c r="D1242" s="2"/>
      <c r="F1242" s="22"/>
    </row>
    <row r="1243">
      <c r="B1243" s="2"/>
      <c r="D1243" s="2"/>
      <c r="F1243" s="22"/>
    </row>
    <row r="1244">
      <c r="B1244" s="2"/>
      <c r="D1244" s="2"/>
      <c r="F1244" s="22"/>
    </row>
    <row r="1245">
      <c r="B1245" s="2"/>
      <c r="D1245" s="2"/>
      <c r="F1245" s="22"/>
    </row>
    <row r="1246">
      <c r="B1246" s="2"/>
      <c r="D1246" s="2"/>
      <c r="F1246" s="22"/>
    </row>
    <row r="1247">
      <c r="B1247" s="2"/>
      <c r="D1247" s="2"/>
      <c r="F1247" s="22"/>
    </row>
    <row r="1248">
      <c r="B1248" s="2"/>
      <c r="D1248" s="2"/>
      <c r="F1248" s="22"/>
    </row>
    <row r="1249">
      <c r="B1249" s="2"/>
      <c r="D1249" s="2"/>
      <c r="F1249" s="22"/>
    </row>
    <row r="1250">
      <c r="B1250" s="2"/>
      <c r="D1250" s="2"/>
      <c r="F1250" s="22"/>
    </row>
    <row r="1251">
      <c r="B1251" s="2"/>
      <c r="D1251" s="2"/>
      <c r="F1251" s="22"/>
    </row>
    <row r="1252">
      <c r="B1252" s="2"/>
      <c r="D1252" s="2"/>
      <c r="F1252" s="22"/>
    </row>
    <row r="1253">
      <c r="B1253" s="2"/>
      <c r="D1253" s="2"/>
      <c r="F1253" s="22"/>
    </row>
    <row r="1254">
      <c r="B1254" s="2"/>
      <c r="D1254" s="2"/>
      <c r="F1254" s="22"/>
    </row>
    <row r="1255">
      <c r="B1255" s="2"/>
      <c r="D1255" s="2"/>
      <c r="F1255" s="22"/>
    </row>
    <row r="1256">
      <c r="B1256" s="2"/>
      <c r="D1256" s="2"/>
      <c r="F1256" s="22"/>
    </row>
    <row r="1257">
      <c r="B1257" s="2"/>
      <c r="D1257" s="2"/>
      <c r="F1257" s="22"/>
    </row>
    <row r="1258">
      <c r="B1258" s="2"/>
      <c r="D1258" s="2"/>
      <c r="F1258" s="22"/>
    </row>
    <row r="1259">
      <c r="B1259" s="2"/>
      <c r="D1259" s="2"/>
      <c r="F1259" s="22"/>
    </row>
    <row r="1260">
      <c r="B1260" s="2"/>
      <c r="D1260" s="2"/>
      <c r="F1260" s="22"/>
    </row>
    <row r="1261">
      <c r="B1261" s="2"/>
      <c r="D1261" s="2"/>
      <c r="F1261" s="22"/>
    </row>
    <row r="1262">
      <c r="B1262" s="2"/>
      <c r="D1262" s="2"/>
      <c r="F1262" s="22"/>
    </row>
    <row r="1263">
      <c r="B1263" s="2"/>
      <c r="D1263" s="2"/>
      <c r="F1263" s="22"/>
    </row>
    <row r="1264">
      <c r="B1264" s="2"/>
      <c r="D1264" s="2"/>
      <c r="F1264" s="22"/>
    </row>
    <row r="1265">
      <c r="B1265" s="2"/>
      <c r="D1265" s="2"/>
      <c r="F1265" s="22"/>
    </row>
    <row r="1266">
      <c r="B1266" s="2"/>
      <c r="D1266" s="2"/>
      <c r="F1266" s="22"/>
    </row>
    <row r="1267">
      <c r="B1267" s="2"/>
      <c r="D1267" s="2"/>
      <c r="F1267" s="22"/>
    </row>
    <row r="1268">
      <c r="B1268" s="2"/>
      <c r="D1268" s="2"/>
      <c r="F1268" s="22"/>
    </row>
    <row r="1269">
      <c r="B1269" s="2"/>
      <c r="D1269" s="2"/>
      <c r="F1269" s="22"/>
    </row>
    <row r="1270">
      <c r="B1270" s="2"/>
      <c r="D1270" s="2"/>
      <c r="F1270" s="22"/>
    </row>
    <row r="1271">
      <c r="B1271" s="2"/>
      <c r="D1271" s="2"/>
      <c r="F1271" s="22"/>
    </row>
    <row r="1272">
      <c r="B1272" s="2"/>
      <c r="D1272" s="2"/>
      <c r="F1272" s="22"/>
    </row>
    <row r="1273">
      <c r="B1273" s="2"/>
      <c r="D1273" s="2"/>
      <c r="F1273" s="22"/>
    </row>
    <row r="1274">
      <c r="B1274" s="2"/>
      <c r="D1274" s="2"/>
      <c r="F1274" s="22"/>
    </row>
    <row r="1275">
      <c r="B1275" s="2"/>
      <c r="D1275" s="2"/>
      <c r="F1275" s="22"/>
    </row>
    <row r="1276">
      <c r="B1276" s="2"/>
      <c r="D1276" s="2"/>
      <c r="F1276" s="22"/>
    </row>
    <row r="1277">
      <c r="B1277" s="2"/>
      <c r="D1277" s="2"/>
      <c r="F1277" s="22"/>
    </row>
    <row r="1278">
      <c r="B1278" s="2"/>
      <c r="D1278" s="2"/>
      <c r="F1278" s="22"/>
    </row>
    <row r="1279">
      <c r="B1279" s="2"/>
      <c r="D1279" s="2"/>
      <c r="F1279" s="22"/>
    </row>
    <row r="1280">
      <c r="B1280" s="2"/>
      <c r="D1280" s="2"/>
      <c r="F1280" s="22"/>
    </row>
    <row r="1281">
      <c r="B1281" s="2"/>
      <c r="D1281" s="2"/>
      <c r="F1281" s="22"/>
    </row>
    <row r="1282">
      <c r="B1282" s="2"/>
      <c r="D1282" s="2"/>
      <c r="F1282" s="22"/>
    </row>
    <row r="1283">
      <c r="B1283" s="2"/>
      <c r="D1283" s="2"/>
      <c r="F1283" s="22"/>
    </row>
    <row r="1284">
      <c r="B1284" s="2"/>
      <c r="D1284" s="2"/>
      <c r="F1284" s="22"/>
    </row>
    <row r="1285">
      <c r="B1285" s="2"/>
      <c r="D1285" s="2"/>
      <c r="F1285" s="22"/>
    </row>
    <row r="1286">
      <c r="B1286" s="2"/>
      <c r="D1286" s="2"/>
      <c r="F1286" s="22"/>
    </row>
    <row r="1287">
      <c r="B1287" s="2"/>
      <c r="D1287" s="2"/>
      <c r="F1287" s="22"/>
    </row>
    <row r="1288">
      <c r="B1288" s="2"/>
      <c r="D1288" s="2"/>
      <c r="F1288" s="22"/>
    </row>
    <row r="1289">
      <c r="B1289" s="2"/>
      <c r="D1289" s="2"/>
      <c r="F1289" s="22"/>
    </row>
    <row r="1290">
      <c r="B1290" s="2"/>
      <c r="D1290" s="2"/>
      <c r="F1290" s="22"/>
    </row>
    <row r="1291">
      <c r="B1291" s="2"/>
      <c r="D1291" s="2"/>
      <c r="F1291" s="22"/>
    </row>
    <row r="1292">
      <c r="B1292" s="2"/>
      <c r="D1292" s="2"/>
      <c r="F1292" s="22"/>
    </row>
    <row r="1293">
      <c r="B1293" s="2"/>
      <c r="D1293" s="2"/>
      <c r="F1293" s="22"/>
    </row>
    <row r="1294">
      <c r="B1294" s="2"/>
      <c r="D1294" s="2"/>
      <c r="F1294" s="22"/>
    </row>
    <row r="1295">
      <c r="B1295" s="2"/>
      <c r="D1295" s="2"/>
      <c r="F1295" s="22"/>
    </row>
    <row r="1296">
      <c r="B1296" s="2"/>
      <c r="D1296" s="2"/>
      <c r="F1296" s="22"/>
    </row>
    <row r="1297">
      <c r="B1297" s="2"/>
      <c r="D1297" s="2"/>
      <c r="F1297" s="22"/>
    </row>
    <row r="1298">
      <c r="B1298" s="2"/>
      <c r="D1298" s="2"/>
      <c r="F1298" s="22"/>
    </row>
    <row r="1299">
      <c r="B1299" s="2"/>
      <c r="D1299" s="2"/>
      <c r="F1299" s="22"/>
    </row>
    <row r="1300">
      <c r="B1300" s="2"/>
      <c r="D1300" s="2"/>
      <c r="F1300" s="22"/>
    </row>
    <row r="1301">
      <c r="B1301" s="2"/>
      <c r="D1301" s="2"/>
      <c r="F1301" s="22"/>
    </row>
    <row r="1302">
      <c r="B1302" s="2"/>
      <c r="D1302" s="2"/>
      <c r="F1302" s="22"/>
    </row>
    <row r="1303">
      <c r="B1303" s="2"/>
      <c r="D1303" s="2"/>
      <c r="F1303" s="22"/>
    </row>
    <row r="1304">
      <c r="B1304" s="2"/>
      <c r="D1304" s="2"/>
      <c r="F1304" s="22"/>
    </row>
    <row r="1305">
      <c r="B1305" s="2"/>
      <c r="D1305" s="2"/>
      <c r="F1305" s="22"/>
    </row>
    <row r="1306">
      <c r="B1306" s="2"/>
      <c r="D1306" s="2"/>
      <c r="F1306" s="22"/>
    </row>
    <row r="1307">
      <c r="B1307" s="2"/>
      <c r="D1307" s="2"/>
      <c r="F1307" s="22"/>
    </row>
    <row r="1308">
      <c r="B1308" s="2"/>
      <c r="D1308" s="2"/>
      <c r="F1308" s="22"/>
    </row>
    <row r="1309">
      <c r="B1309" s="2"/>
      <c r="D1309" s="2"/>
      <c r="F1309" s="22"/>
    </row>
    <row r="1310">
      <c r="B1310" s="2"/>
      <c r="D1310" s="2"/>
      <c r="F1310" s="22"/>
    </row>
    <row r="1311">
      <c r="B1311" s="2"/>
      <c r="D1311" s="2"/>
      <c r="F1311" s="22"/>
    </row>
    <row r="1312">
      <c r="B1312" s="2"/>
      <c r="D1312" s="2"/>
      <c r="F1312" s="22"/>
    </row>
    <row r="1313">
      <c r="B1313" s="2"/>
      <c r="D1313" s="2"/>
      <c r="F1313" s="22"/>
    </row>
    <row r="1314">
      <c r="B1314" s="2"/>
      <c r="D1314" s="2"/>
      <c r="F1314" s="22"/>
    </row>
    <row r="1315">
      <c r="B1315" s="2"/>
      <c r="D1315" s="2"/>
      <c r="F1315" s="22"/>
    </row>
    <row r="1316">
      <c r="B1316" s="2"/>
      <c r="D1316" s="2"/>
      <c r="F1316" s="22"/>
    </row>
    <row r="1317">
      <c r="B1317" s="2"/>
      <c r="D1317" s="2"/>
      <c r="F1317" s="22"/>
    </row>
    <row r="1318">
      <c r="B1318" s="2"/>
      <c r="D1318" s="2"/>
      <c r="F1318" s="22"/>
    </row>
    <row r="1319">
      <c r="B1319" s="2"/>
      <c r="D1319" s="2"/>
      <c r="F1319" s="22"/>
    </row>
    <row r="1320">
      <c r="B1320" s="2"/>
      <c r="D1320" s="2"/>
      <c r="F1320" s="22"/>
    </row>
    <row r="1321">
      <c r="B1321" s="2"/>
      <c r="D1321" s="2"/>
      <c r="F1321" s="22"/>
    </row>
    <row r="1322">
      <c r="B1322" s="2"/>
      <c r="D1322" s="2"/>
      <c r="F1322" s="22"/>
    </row>
    <row r="1323">
      <c r="B1323" s="2"/>
      <c r="D1323" s="2"/>
      <c r="F1323" s="22"/>
    </row>
    <row r="1324">
      <c r="B1324" s="2"/>
      <c r="D1324" s="2"/>
      <c r="F1324" s="22"/>
    </row>
    <row r="1325">
      <c r="B1325" s="2"/>
      <c r="D1325" s="2"/>
      <c r="F1325" s="22"/>
    </row>
    <row r="1326">
      <c r="B1326" s="2"/>
      <c r="D1326" s="2"/>
      <c r="F1326" s="22"/>
    </row>
    <row r="1327">
      <c r="B1327" s="2"/>
      <c r="D1327" s="2"/>
      <c r="F1327" s="22"/>
    </row>
    <row r="1328">
      <c r="B1328" s="2"/>
      <c r="D1328" s="2"/>
      <c r="F1328" s="22"/>
    </row>
    <row r="1329">
      <c r="B1329" s="2"/>
      <c r="D1329" s="2"/>
      <c r="F1329" s="22"/>
    </row>
    <row r="1330">
      <c r="B1330" s="2"/>
      <c r="D1330" s="2"/>
      <c r="F1330" s="22"/>
    </row>
    <row r="1331">
      <c r="B1331" s="2"/>
      <c r="D1331" s="2"/>
      <c r="F1331" s="22"/>
    </row>
    <row r="1332">
      <c r="B1332" s="2"/>
      <c r="D1332" s="2"/>
      <c r="F1332" s="22"/>
    </row>
    <row r="1333">
      <c r="B1333" s="2"/>
      <c r="D1333" s="2"/>
      <c r="F1333" s="22"/>
    </row>
    <row r="1334">
      <c r="B1334" s="2"/>
      <c r="D1334" s="2"/>
      <c r="F1334" s="22"/>
    </row>
    <row r="1335">
      <c r="B1335" s="2"/>
      <c r="D1335" s="2"/>
      <c r="F1335" s="22"/>
    </row>
    <row r="1336">
      <c r="B1336" s="2"/>
      <c r="D1336" s="2"/>
      <c r="F1336" s="22"/>
    </row>
    <row r="1337">
      <c r="B1337" s="2"/>
      <c r="D1337" s="2"/>
      <c r="F1337" s="22"/>
    </row>
    <row r="1338">
      <c r="B1338" s="2"/>
      <c r="D1338" s="2"/>
      <c r="F1338" s="22"/>
    </row>
    <row r="1339">
      <c r="B1339" s="2"/>
      <c r="D1339" s="2"/>
      <c r="F1339" s="22"/>
    </row>
    <row r="1340">
      <c r="B1340" s="2"/>
      <c r="D1340" s="2"/>
      <c r="F1340" s="22"/>
    </row>
    <row r="1341">
      <c r="B1341" s="2"/>
      <c r="D1341" s="2"/>
      <c r="F1341" s="22"/>
    </row>
    <row r="1342">
      <c r="B1342" s="2"/>
      <c r="D1342" s="2"/>
      <c r="F1342" s="22"/>
    </row>
    <row r="1343">
      <c r="B1343" s="2"/>
      <c r="D1343" s="2"/>
      <c r="F1343" s="22"/>
    </row>
    <row r="1344">
      <c r="B1344" s="2"/>
      <c r="D1344" s="2"/>
      <c r="F1344" s="22"/>
    </row>
    <row r="1345">
      <c r="B1345" s="2"/>
      <c r="D1345" s="2"/>
      <c r="F1345" s="22"/>
    </row>
    <row r="1346">
      <c r="B1346" s="2"/>
      <c r="D1346" s="2"/>
      <c r="F1346" s="22"/>
    </row>
    <row r="1347">
      <c r="B1347" s="2"/>
      <c r="D1347" s="2"/>
      <c r="F1347" s="22"/>
    </row>
    <row r="1348">
      <c r="B1348" s="2"/>
      <c r="D1348" s="2"/>
      <c r="F1348" s="22"/>
    </row>
    <row r="1349">
      <c r="B1349" s="2"/>
      <c r="D1349" s="2"/>
      <c r="F1349" s="22"/>
    </row>
    <row r="1350">
      <c r="B1350" s="2"/>
      <c r="D1350" s="2"/>
      <c r="F1350" s="22"/>
    </row>
    <row r="1351">
      <c r="B1351" s="2"/>
      <c r="D1351" s="2"/>
      <c r="F1351" s="22"/>
    </row>
    <row r="1352">
      <c r="B1352" s="2"/>
      <c r="D1352" s="2"/>
      <c r="F1352" s="22"/>
    </row>
    <row r="1353">
      <c r="B1353" s="2"/>
      <c r="D1353" s="2"/>
      <c r="F1353" s="22"/>
    </row>
    <row r="1354">
      <c r="B1354" s="2"/>
      <c r="D1354" s="2"/>
      <c r="F1354" s="22"/>
    </row>
    <row r="1355">
      <c r="B1355" s="2"/>
      <c r="D1355" s="2"/>
      <c r="F1355" s="22"/>
    </row>
    <row r="1356">
      <c r="B1356" s="2"/>
      <c r="D1356" s="2"/>
      <c r="F1356" s="22"/>
    </row>
    <row r="1357">
      <c r="B1357" s="2"/>
      <c r="D1357" s="2"/>
      <c r="F1357" s="22"/>
    </row>
    <row r="1358">
      <c r="B1358" s="2"/>
      <c r="D1358" s="2"/>
      <c r="F1358" s="22"/>
    </row>
    <row r="1359">
      <c r="B1359" s="2"/>
      <c r="D1359" s="2"/>
      <c r="F1359" s="22"/>
    </row>
    <row r="1360">
      <c r="B1360" s="2"/>
      <c r="D1360" s="2"/>
      <c r="F1360" s="22"/>
    </row>
    <row r="1361">
      <c r="B1361" s="2"/>
      <c r="D1361" s="2"/>
      <c r="F1361" s="22"/>
    </row>
    <row r="1362">
      <c r="B1362" s="2"/>
      <c r="D1362" s="2"/>
      <c r="F1362" s="22"/>
    </row>
    <row r="1363">
      <c r="B1363" s="2"/>
      <c r="D1363" s="2"/>
      <c r="F1363" s="22"/>
    </row>
    <row r="1364">
      <c r="B1364" s="2"/>
      <c r="D1364" s="2"/>
      <c r="F1364" s="22"/>
    </row>
    <row r="1365">
      <c r="B1365" s="2"/>
      <c r="D1365" s="2"/>
      <c r="F1365" s="22"/>
    </row>
    <row r="1366">
      <c r="B1366" s="2"/>
      <c r="D1366" s="2"/>
      <c r="F1366" s="22"/>
    </row>
    <row r="1367">
      <c r="B1367" s="2"/>
      <c r="D1367" s="2"/>
      <c r="F1367" s="22"/>
    </row>
    <row r="1368">
      <c r="B1368" s="2"/>
      <c r="D1368" s="2"/>
      <c r="F1368" s="22"/>
    </row>
    <row r="1369">
      <c r="B1369" s="2"/>
      <c r="D1369" s="2"/>
      <c r="F1369" s="22"/>
    </row>
    <row r="1370">
      <c r="B1370" s="2"/>
      <c r="D1370" s="2"/>
      <c r="F1370" s="22"/>
    </row>
    <row r="1371">
      <c r="B1371" s="2"/>
      <c r="D1371" s="2"/>
      <c r="F1371" s="22"/>
    </row>
    <row r="1372">
      <c r="B1372" s="2"/>
      <c r="D1372" s="2"/>
      <c r="F1372" s="22"/>
    </row>
    <row r="1373">
      <c r="B1373" s="2"/>
      <c r="D1373" s="2"/>
      <c r="F1373" s="22"/>
    </row>
    <row r="1374">
      <c r="B1374" s="2"/>
      <c r="D1374" s="2"/>
      <c r="F1374" s="22"/>
    </row>
    <row r="1375">
      <c r="B1375" s="2"/>
      <c r="D1375" s="2"/>
      <c r="F1375" s="22"/>
    </row>
    <row r="1376">
      <c r="B1376" s="2"/>
      <c r="D1376" s="2"/>
      <c r="F1376" s="22"/>
    </row>
    <row r="1377">
      <c r="B1377" s="2"/>
      <c r="D1377" s="2"/>
      <c r="F1377" s="22"/>
    </row>
    <row r="1378">
      <c r="B1378" s="2"/>
      <c r="D1378" s="2"/>
      <c r="F1378" s="22"/>
    </row>
    <row r="1379">
      <c r="B1379" s="2"/>
      <c r="D1379" s="2"/>
      <c r="F1379" s="22"/>
    </row>
    <row r="1380">
      <c r="B1380" s="2"/>
      <c r="D1380" s="2"/>
      <c r="F1380" s="22"/>
    </row>
    <row r="1381">
      <c r="B1381" s="2"/>
      <c r="D1381" s="2"/>
      <c r="F1381" s="22"/>
    </row>
    <row r="1382">
      <c r="B1382" s="2"/>
      <c r="D1382" s="2"/>
      <c r="F1382" s="22"/>
    </row>
    <row r="1383">
      <c r="B1383" s="2"/>
      <c r="D1383" s="2"/>
      <c r="F1383" s="22"/>
    </row>
    <row r="1384">
      <c r="B1384" s="2"/>
      <c r="D1384" s="2"/>
      <c r="F1384" s="22"/>
    </row>
    <row r="1385">
      <c r="B1385" s="2"/>
      <c r="D1385" s="2"/>
      <c r="F1385" s="22"/>
    </row>
    <row r="1386">
      <c r="B1386" s="2"/>
      <c r="D1386" s="2"/>
      <c r="F1386" s="22"/>
    </row>
    <row r="1387">
      <c r="B1387" s="2"/>
      <c r="D1387" s="2"/>
      <c r="F1387" s="22"/>
    </row>
    <row r="1388">
      <c r="B1388" s="2"/>
      <c r="D1388" s="2"/>
      <c r="F1388" s="22"/>
    </row>
    <row r="1389">
      <c r="B1389" s="2"/>
      <c r="D1389" s="2"/>
      <c r="F1389" s="22"/>
    </row>
    <row r="1390">
      <c r="B1390" s="2"/>
      <c r="D1390" s="2"/>
      <c r="F1390" s="22"/>
    </row>
    <row r="1391">
      <c r="B1391" s="2"/>
      <c r="D1391" s="2"/>
      <c r="F1391" s="22"/>
    </row>
    <row r="1392">
      <c r="B1392" s="2"/>
      <c r="D1392" s="2"/>
      <c r="F1392" s="22"/>
    </row>
    <row r="1393">
      <c r="B1393" s="2"/>
      <c r="D1393" s="2"/>
      <c r="F1393" s="22"/>
    </row>
    <row r="1394">
      <c r="B1394" s="2"/>
      <c r="D1394" s="2"/>
      <c r="F1394" s="22"/>
    </row>
    <row r="1395">
      <c r="B1395" s="2"/>
      <c r="D1395" s="2"/>
      <c r="F1395" s="22"/>
    </row>
    <row r="1396">
      <c r="B1396" s="2"/>
      <c r="D1396" s="2"/>
      <c r="F1396" s="22"/>
    </row>
    <row r="1397">
      <c r="B1397" s="2"/>
      <c r="D1397" s="2"/>
      <c r="F1397" s="22"/>
    </row>
    <row r="1398">
      <c r="B1398" s="2"/>
      <c r="D1398" s="2"/>
      <c r="F1398" s="22"/>
    </row>
    <row r="1399">
      <c r="B1399" s="2"/>
      <c r="D1399" s="2"/>
      <c r="F1399" s="22"/>
    </row>
    <row r="1400">
      <c r="B1400" s="2"/>
      <c r="D1400" s="2"/>
      <c r="F1400" s="22"/>
    </row>
    <row r="1401">
      <c r="B1401" s="2"/>
      <c r="D1401" s="2"/>
      <c r="F1401" s="22"/>
    </row>
    <row r="1402">
      <c r="B1402" s="2"/>
      <c r="D1402" s="2"/>
      <c r="F1402" s="22"/>
    </row>
    <row r="1403">
      <c r="B1403" s="2"/>
      <c r="D1403" s="2"/>
      <c r="F1403" s="22"/>
    </row>
    <row r="1404">
      <c r="B1404" s="2"/>
      <c r="D1404" s="2"/>
      <c r="F1404" s="22"/>
    </row>
    <row r="1405">
      <c r="B1405" s="2"/>
      <c r="D1405" s="2"/>
      <c r="F1405" s="22"/>
    </row>
    <row r="1406">
      <c r="B1406" s="2"/>
      <c r="D1406" s="2"/>
      <c r="F1406" s="22"/>
    </row>
    <row r="1407">
      <c r="B1407" s="2"/>
      <c r="D1407" s="2"/>
      <c r="F1407" s="22"/>
    </row>
    <row r="1408">
      <c r="B1408" s="2"/>
      <c r="D1408" s="2"/>
      <c r="F1408" s="22"/>
    </row>
    <row r="1409">
      <c r="B1409" s="2"/>
      <c r="D1409" s="2"/>
      <c r="F1409" s="22"/>
    </row>
    <row r="1410">
      <c r="B1410" s="2"/>
      <c r="D1410" s="2"/>
      <c r="F1410" s="22"/>
    </row>
    <row r="1411">
      <c r="B1411" s="2"/>
      <c r="D1411" s="2"/>
      <c r="F1411" s="22"/>
    </row>
    <row r="1412">
      <c r="B1412" s="2"/>
      <c r="D1412" s="2"/>
      <c r="F1412" s="22"/>
    </row>
    <row r="1413">
      <c r="B1413" s="2"/>
      <c r="D1413" s="2"/>
      <c r="F1413" s="22"/>
    </row>
    <row r="1414">
      <c r="B1414" s="2"/>
      <c r="D1414" s="2"/>
      <c r="F1414" s="22"/>
    </row>
    <row r="1415">
      <c r="B1415" s="2"/>
      <c r="D1415" s="2"/>
      <c r="F1415" s="22"/>
    </row>
    <row r="1416">
      <c r="B1416" s="2"/>
      <c r="D1416" s="2"/>
      <c r="F1416" s="22"/>
    </row>
    <row r="1417">
      <c r="B1417" s="2"/>
      <c r="D1417" s="2"/>
      <c r="F1417" s="22"/>
    </row>
    <row r="1418">
      <c r="B1418" s="2"/>
      <c r="D1418" s="2"/>
      <c r="F1418" s="22"/>
    </row>
    <row r="1419">
      <c r="B1419" s="2"/>
      <c r="D1419" s="2"/>
      <c r="F1419" s="22"/>
    </row>
    <row r="1420">
      <c r="B1420" s="2"/>
      <c r="D1420" s="2"/>
      <c r="F1420" s="22"/>
    </row>
    <row r="1421">
      <c r="B1421" s="2"/>
      <c r="D1421" s="2"/>
      <c r="F1421" s="22"/>
    </row>
    <row r="1422">
      <c r="B1422" s="2"/>
      <c r="D1422" s="2"/>
      <c r="F1422" s="22"/>
    </row>
    <row r="1423">
      <c r="B1423" s="2"/>
      <c r="D1423" s="2"/>
      <c r="F1423" s="22"/>
    </row>
    <row r="1424">
      <c r="B1424" s="2"/>
      <c r="D1424" s="2"/>
      <c r="F1424" s="22"/>
    </row>
    <row r="1425">
      <c r="B1425" s="2"/>
      <c r="D1425" s="2"/>
      <c r="F1425" s="22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5">
    <cfRule type="expression" dxfId="6" priority="2">
      <formula>AND($B2&lt;&gt;"",$C2&lt;&gt;"",$D2&lt;&gt;"",COUNTIFS($B:$B,$B2,$C:$C,$C2,$D:$D,$D2)&gt;1)</formula>
    </cfRule>
  </conditionalFormatting>
  <conditionalFormatting sqref="A2:A1425 B1173:B1177 B1179:B1207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8" t="s">
        <v>689</v>
      </c>
      <c r="B1" s="8" t="s">
        <v>8</v>
      </c>
      <c r="C1" s="8" t="s">
        <v>70</v>
      </c>
      <c r="D1" s="8" t="s">
        <v>692</v>
      </c>
      <c r="E1" s="8" t="s">
        <v>695</v>
      </c>
      <c r="F1" s="14" t="s">
        <v>30</v>
      </c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22.5" customHeight="1">
      <c r="A2" s="18">
        <v>1.0</v>
      </c>
      <c r="B2" s="18">
        <v>1.0</v>
      </c>
      <c r="C2" s="18">
        <v>1.0</v>
      </c>
      <c r="D2" s="18" t="s">
        <v>699</v>
      </c>
      <c r="F2" s="14" t="s">
        <v>88</v>
      </c>
    </row>
    <row r="3" ht="22.5" customHeight="1">
      <c r="A3" s="18">
        <v>2.0</v>
      </c>
      <c r="B3" s="18">
        <v>2.0</v>
      </c>
      <c r="C3" s="18">
        <v>1.0</v>
      </c>
      <c r="D3" s="18" t="s">
        <v>699</v>
      </c>
      <c r="F3" s="14" t="s">
        <v>88</v>
      </c>
    </row>
    <row r="4" ht="22.5" customHeight="1">
      <c r="A4" s="18">
        <v>3.0</v>
      </c>
      <c r="B4" s="18">
        <v>3.0</v>
      </c>
      <c r="C4" s="18">
        <v>1.0</v>
      </c>
      <c r="D4" s="18" t="s">
        <v>699</v>
      </c>
      <c r="F4" s="14" t="s">
        <v>88</v>
      </c>
    </row>
    <row r="5" ht="22.5" customHeight="1">
      <c r="A5" s="18">
        <v>4.0</v>
      </c>
      <c r="B5" s="18">
        <v>4.0</v>
      </c>
      <c r="C5" s="18">
        <v>1.0</v>
      </c>
      <c r="D5" s="18" t="s">
        <v>699</v>
      </c>
      <c r="F5" s="14" t="s">
        <v>88</v>
      </c>
    </row>
    <row r="6" ht="22.5" customHeight="1">
      <c r="A6" s="18">
        <v>5.0</v>
      </c>
      <c r="B6" s="18">
        <v>5.0</v>
      </c>
      <c r="C6" s="18">
        <v>1.0</v>
      </c>
      <c r="D6" s="18" t="s">
        <v>699</v>
      </c>
      <c r="F6" s="14" t="s">
        <v>88</v>
      </c>
    </row>
    <row r="7" ht="22.5" customHeight="1">
      <c r="A7" s="18">
        <v>6.0</v>
      </c>
      <c r="B7" s="18">
        <v>6.0</v>
      </c>
      <c r="C7" s="18">
        <v>1.0</v>
      </c>
      <c r="D7" s="18" t="s">
        <v>699</v>
      </c>
      <c r="F7" s="14" t="s">
        <v>88</v>
      </c>
    </row>
    <row r="8" ht="22.5" customHeight="1">
      <c r="A8" s="18">
        <v>7.0</v>
      </c>
      <c r="B8" s="18">
        <v>7.0</v>
      </c>
      <c r="C8" s="18">
        <v>1.0</v>
      </c>
      <c r="D8" s="18" t="s">
        <v>699</v>
      </c>
      <c r="F8" s="14" t="s">
        <v>88</v>
      </c>
    </row>
    <row r="9" ht="22.5" customHeight="1">
      <c r="A9" s="18">
        <v>8.0</v>
      </c>
      <c r="B9" s="18">
        <v>8.0</v>
      </c>
      <c r="C9" s="18">
        <v>1.0</v>
      </c>
      <c r="D9" s="18" t="s">
        <v>699</v>
      </c>
      <c r="F9" s="14" t="s">
        <v>88</v>
      </c>
    </row>
    <row r="10" ht="22.5" customHeight="1">
      <c r="A10" s="18">
        <v>9.0</v>
      </c>
      <c r="B10" s="18">
        <v>9.0</v>
      </c>
      <c r="C10" s="18">
        <v>1.0</v>
      </c>
      <c r="D10" s="18" t="s">
        <v>699</v>
      </c>
      <c r="F10" s="14" t="s">
        <v>88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699</v>
      </c>
      <c r="F11" s="14" t="s">
        <v>88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699</v>
      </c>
      <c r="F12" s="14" t="s">
        <v>88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699</v>
      </c>
      <c r="F13" s="14" t="s">
        <v>88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699</v>
      </c>
      <c r="F14" s="14" t="s">
        <v>88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699</v>
      </c>
      <c r="F15" s="14" t="s">
        <v>88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699</v>
      </c>
      <c r="F16" s="14" t="s">
        <v>88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699</v>
      </c>
      <c r="F17" s="14" t="s">
        <v>88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699</v>
      </c>
      <c r="F18" s="14" t="s">
        <v>88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699</v>
      </c>
      <c r="F19" s="14" t="s">
        <v>88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699</v>
      </c>
      <c r="F20" s="14" t="s">
        <v>88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699</v>
      </c>
      <c r="F21" s="14" t="s">
        <v>88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699</v>
      </c>
      <c r="F22" s="14" t="s">
        <v>88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699</v>
      </c>
      <c r="F23" s="14" t="s">
        <v>88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699</v>
      </c>
      <c r="F24" s="14" t="s">
        <v>88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699</v>
      </c>
      <c r="F25" s="14" t="s">
        <v>88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699</v>
      </c>
      <c r="F26" s="14" t="s">
        <v>88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699</v>
      </c>
      <c r="F27" s="14" t="s">
        <v>88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699</v>
      </c>
      <c r="F28" s="14" t="s">
        <v>88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699</v>
      </c>
      <c r="F29" s="14" t="s">
        <v>88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699</v>
      </c>
      <c r="F30" s="14" t="s">
        <v>88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699</v>
      </c>
      <c r="F31" s="14" t="s">
        <v>88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699</v>
      </c>
      <c r="F32" s="14" t="s">
        <v>88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699</v>
      </c>
      <c r="F33" s="14" t="s">
        <v>88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699</v>
      </c>
      <c r="F34" s="14" t="s">
        <v>88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699</v>
      </c>
      <c r="F35" s="14" t="s">
        <v>88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699</v>
      </c>
      <c r="F36" s="14" t="s">
        <v>88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699</v>
      </c>
      <c r="F37" s="14" t="s">
        <v>88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699</v>
      </c>
      <c r="F38" s="14" t="s">
        <v>88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699</v>
      </c>
      <c r="F39" s="14" t="s">
        <v>88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699</v>
      </c>
      <c r="F40" s="14" t="s">
        <v>88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699</v>
      </c>
      <c r="F41" s="14" t="s">
        <v>88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699</v>
      </c>
      <c r="F42" s="14" t="s">
        <v>88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699</v>
      </c>
      <c r="F43" s="14" t="s">
        <v>88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699</v>
      </c>
      <c r="F44" s="14" t="s">
        <v>88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699</v>
      </c>
      <c r="F45" s="14" t="s">
        <v>88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699</v>
      </c>
      <c r="F46" s="14" t="s">
        <v>88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699</v>
      </c>
      <c r="F47" s="14" t="s">
        <v>88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699</v>
      </c>
      <c r="F48" s="14" t="s">
        <v>88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699</v>
      </c>
      <c r="F49" s="14" t="s">
        <v>88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789</v>
      </c>
      <c r="E50" s="18" t="s">
        <v>791</v>
      </c>
      <c r="F50" s="14" t="s">
        <v>88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699</v>
      </c>
      <c r="F51" s="14" t="s">
        <v>88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699</v>
      </c>
      <c r="F52" s="14" t="s">
        <v>88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699</v>
      </c>
      <c r="F53" s="14" t="s">
        <v>88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699</v>
      </c>
      <c r="F54" s="14" t="s">
        <v>88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789</v>
      </c>
      <c r="E55" s="18" t="s">
        <v>801</v>
      </c>
      <c r="F55" s="14" t="s">
        <v>88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699</v>
      </c>
      <c r="F56" s="14" t="s">
        <v>88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699</v>
      </c>
      <c r="F57" s="14" t="s">
        <v>88</v>
      </c>
    </row>
    <row r="58" ht="22.5" customHeight="1">
      <c r="A58" s="18">
        <v>57.0</v>
      </c>
      <c r="B58" s="18">
        <v>1.0</v>
      </c>
      <c r="C58" s="18">
        <v>2.0</v>
      </c>
      <c r="D58" s="18" t="s">
        <v>699</v>
      </c>
      <c r="F58" s="14" t="s">
        <v>46</v>
      </c>
    </row>
    <row r="59" ht="22.5" customHeight="1">
      <c r="A59" s="18">
        <v>58.0</v>
      </c>
      <c r="B59" s="18">
        <v>2.0</v>
      </c>
      <c r="C59" s="18">
        <v>2.0</v>
      </c>
      <c r="D59" s="18" t="s">
        <v>699</v>
      </c>
      <c r="F59" s="14" t="s">
        <v>46</v>
      </c>
    </row>
    <row r="60" ht="22.5" customHeight="1">
      <c r="A60" s="18">
        <v>59.0</v>
      </c>
      <c r="B60" s="18">
        <v>3.0</v>
      </c>
      <c r="C60" s="18">
        <v>2.0</v>
      </c>
      <c r="D60" s="18" t="s">
        <v>699</v>
      </c>
      <c r="F60" s="14" t="s">
        <v>46</v>
      </c>
    </row>
    <row r="61" ht="22.5" customHeight="1">
      <c r="A61" s="18">
        <v>60.0</v>
      </c>
      <c r="B61" s="18">
        <v>4.0</v>
      </c>
      <c r="C61" s="18">
        <v>2.0</v>
      </c>
      <c r="D61" s="18" t="s">
        <v>699</v>
      </c>
      <c r="F61" s="14" t="s">
        <v>46</v>
      </c>
    </row>
    <row r="62" ht="22.5" customHeight="1">
      <c r="A62" s="18">
        <v>61.0</v>
      </c>
      <c r="B62" s="18">
        <v>5.0</v>
      </c>
      <c r="C62" s="18">
        <v>2.0</v>
      </c>
      <c r="D62" s="18" t="s">
        <v>699</v>
      </c>
      <c r="F62" s="14" t="s">
        <v>46</v>
      </c>
    </row>
    <row r="63" ht="22.5" customHeight="1">
      <c r="A63" s="18">
        <v>62.0</v>
      </c>
      <c r="B63" s="18">
        <v>6.0</v>
      </c>
      <c r="C63" s="18">
        <v>2.0</v>
      </c>
      <c r="D63" s="18" t="s">
        <v>699</v>
      </c>
      <c r="F63" s="14" t="s">
        <v>46</v>
      </c>
    </row>
    <row r="64" ht="22.5" customHeight="1">
      <c r="A64" s="18">
        <v>63.0</v>
      </c>
      <c r="B64" s="18">
        <v>7.0</v>
      </c>
      <c r="C64" s="18">
        <v>2.0</v>
      </c>
      <c r="D64" s="18" t="s">
        <v>699</v>
      </c>
      <c r="F64" s="14" t="s">
        <v>46</v>
      </c>
    </row>
    <row r="65" ht="22.5" customHeight="1">
      <c r="A65" s="18">
        <v>64.0</v>
      </c>
      <c r="B65" s="18">
        <v>8.0</v>
      </c>
      <c r="C65" s="18">
        <v>2.0</v>
      </c>
      <c r="D65" s="18" t="s">
        <v>699</v>
      </c>
      <c r="F65" s="14" t="s">
        <v>46</v>
      </c>
    </row>
    <row r="66" ht="22.5" customHeight="1">
      <c r="A66" s="18">
        <v>65.0</v>
      </c>
      <c r="B66" s="18">
        <v>9.0</v>
      </c>
      <c r="C66" s="18">
        <v>2.0</v>
      </c>
      <c r="D66" s="18" t="s">
        <v>699</v>
      </c>
      <c r="F66" s="14" t="s">
        <v>46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699</v>
      </c>
      <c r="F67" s="14" t="s">
        <v>46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699</v>
      </c>
      <c r="F68" s="14" t="s">
        <v>46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699</v>
      </c>
      <c r="F69" s="14" t="s">
        <v>46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699</v>
      </c>
      <c r="F70" s="14" t="s">
        <v>46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699</v>
      </c>
      <c r="F71" s="14" t="s">
        <v>46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699</v>
      </c>
      <c r="F72" s="14" t="s">
        <v>46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699</v>
      </c>
      <c r="F73" s="14" t="s">
        <v>46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699</v>
      </c>
      <c r="F74" s="14" t="s">
        <v>46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699</v>
      </c>
      <c r="F75" s="14" t="s">
        <v>46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699</v>
      </c>
      <c r="F76" s="14" t="s">
        <v>46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699</v>
      </c>
      <c r="F77" s="14" t="s">
        <v>46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699</v>
      </c>
      <c r="F78" s="14" t="s">
        <v>46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699</v>
      </c>
      <c r="F79" s="14" t="s">
        <v>46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699</v>
      </c>
      <c r="F80" s="14" t="s">
        <v>46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699</v>
      </c>
      <c r="F81" s="14" t="s">
        <v>46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699</v>
      </c>
      <c r="F82" s="14" t="s">
        <v>46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699</v>
      </c>
      <c r="F83" s="14" t="s">
        <v>46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699</v>
      </c>
      <c r="F84" s="14" t="s">
        <v>46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699</v>
      </c>
      <c r="F85" s="14" t="s">
        <v>46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699</v>
      </c>
      <c r="F86" s="14" t="s">
        <v>46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699</v>
      </c>
      <c r="F87" s="14" t="s">
        <v>46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699</v>
      </c>
      <c r="F88" s="14" t="s">
        <v>46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699</v>
      </c>
      <c r="F89" s="14" t="s">
        <v>46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699</v>
      </c>
      <c r="F90" s="14" t="s">
        <v>46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699</v>
      </c>
      <c r="F91" s="14" t="s">
        <v>46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699</v>
      </c>
      <c r="F92" s="14" t="s">
        <v>46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699</v>
      </c>
      <c r="F93" s="14" t="s">
        <v>46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699</v>
      </c>
      <c r="F94" s="14" t="s">
        <v>46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699</v>
      </c>
      <c r="F95" s="14" t="s">
        <v>46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699</v>
      </c>
      <c r="F96" s="14" t="s">
        <v>46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699</v>
      </c>
      <c r="F97" s="14" t="s">
        <v>46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699</v>
      </c>
      <c r="F98" s="14" t="s">
        <v>46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699</v>
      </c>
      <c r="F99" s="14" t="s">
        <v>46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699</v>
      </c>
      <c r="F100" s="14" t="s">
        <v>46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699</v>
      </c>
      <c r="F101" s="14" t="s">
        <v>46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699</v>
      </c>
      <c r="F102" s="14" t="s">
        <v>46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699</v>
      </c>
      <c r="F103" s="14" t="s">
        <v>46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699</v>
      </c>
      <c r="F104" s="14" t="s">
        <v>46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699</v>
      </c>
      <c r="F105" s="14" t="s">
        <v>46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699</v>
      </c>
      <c r="F106" s="14" t="s">
        <v>46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699</v>
      </c>
      <c r="F107" s="14" t="s">
        <v>46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699</v>
      </c>
      <c r="F108" s="14" t="s">
        <v>46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699</v>
      </c>
      <c r="F109" s="14" t="s">
        <v>46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789</v>
      </c>
      <c r="E110" s="18" t="s">
        <v>886</v>
      </c>
      <c r="F110" s="14" t="s">
        <v>46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699</v>
      </c>
      <c r="F111" s="14" t="s">
        <v>46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699</v>
      </c>
      <c r="F112" s="14" t="s">
        <v>46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699</v>
      </c>
      <c r="F113" s="14" t="s">
        <v>46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699</v>
      </c>
      <c r="F114" s="14" t="s">
        <v>46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699</v>
      </c>
      <c r="F115" s="14" t="s">
        <v>46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699</v>
      </c>
      <c r="F116" s="14" t="s">
        <v>46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699</v>
      </c>
      <c r="F117" s="14" t="s">
        <v>46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699</v>
      </c>
      <c r="F118" s="14" t="s">
        <v>46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699</v>
      </c>
      <c r="F119" s="14" t="s">
        <v>46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699</v>
      </c>
      <c r="F120" s="14" t="s">
        <v>46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699</v>
      </c>
      <c r="F121" s="14" t="s">
        <v>46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699</v>
      </c>
      <c r="F122" s="14" t="s">
        <v>46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699</v>
      </c>
      <c r="F123" s="14" t="s">
        <v>46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699</v>
      </c>
      <c r="F124" s="14" t="s">
        <v>46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699</v>
      </c>
      <c r="F125" s="14" t="s">
        <v>46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699</v>
      </c>
      <c r="F126" s="14" t="s">
        <v>46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699</v>
      </c>
      <c r="F127" s="14" t="s">
        <v>46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699</v>
      </c>
      <c r="F128" s="14" t="s">
        <v>46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699</v>
      </c>
      <c r="F129" s="14" t="s">
        <v>46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699</v>
      </c>
      <c r="F130" s="14" t="s">
        <v>46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699</v>
      </c>
      <c r="F131" s="14" t="s">
        <v>46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699</v>
      </c>
      <c r="F132" s="14" t="s">
        <v>46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699</v>
      </c>
      <c r="F133" s="14" t="s">
        <v>46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699</v>
      </c>
      <c r="F134" s="14" t="s">
        <v>46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699</v>
      </c>
      <c r="F135" s="14" t="s">
        <v>46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699</v>
      </c>
      <c r="F136" s="14" t="s">
        <v>46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699</v>
      </c>
      <c r="F137" s="14" t="s">
        <v>46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699</v>
      </c>
      <c r="F138" s="14" t="s">
        <v>46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699</v>
      </c>
      <c r="F139" s="14" t="s">
        <v>46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699</v>
      </c>
      <c r="F140" s="14" t="s">
        <v>46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699</v>
      </c>
      <c r="F141" s="14" t="s">
        <v>46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699</v>
      </c>
      <c r="F142" s="14" t="s">
        <v>46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699</v>
      </c>
      <c r="F143" s="14" t="s">
        <v>46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699</v>
      </c>
      <c r="F144" s="14" t="s">
        <v>46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699</v>
      </c>
      <c r="F145" s="14" t="s">
        <v>46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699</v>
      </c>
      <c r="F146" s="14" t="s">
        <v>46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699</v>
      </c>
      <c r="F147" s="14" t="s">
        <v>46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699</v>
      </c>
      <c r="F148" s="14" t="s">
        <v>46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699</v>
      </c>
      <c r="F149" s="14" t="s">
        <v>46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699</v>
      </c>
      <c r="F150" s="14" t="s">
        <v>46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699</v>
      </c>
      <c r="F151" s="14" t="s">
        <v>46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699</v>
      </c>
      <c r="F152" s="14" t="s">
        <v>46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699</v>
      </c>
      <c r="F153" s="14" t="s">
        <v>46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699</v>
      </c>
      <c r="F154" s="14" t="s">
        <v>46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699</v>
      </c>
      <c r="F155" s="14" t="s">
        <v>46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699</v>
      </c>
      <c r="F156" s="14" t="s">
        <v>46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699</v>
      </c>
      <c r="F157" s="14" t="s">
        <v>46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699</v>
      </c>
      <c r="F158" s="14" t="s">
        <v>46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699</v>
      </c>
      <c r="F159" s="14" t="s">
        <v>46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699</v>
      </c>
      <c r="F160" s="14" t="s">
        <v>46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699</v>
      </c>
      <c r="F161" s="14" t="s">
        <v>46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699</v>
      </c>
      <c r="F162" s="14" t="s">
        <v>46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699</v>
      </c>
      <c r="F163" s="14" t="s">
        <v>46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789</v>
      </c>
      <c r="E164" s="18" t="s">
        <v>986</v>
      </c>
      <c r="F164" s="14" t="s">
        <v>46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699</v>
      </c>
      <c r="F165" s="14" t="s">
        <v>46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699</v>
      </c>
      <c r="F166" s="14" t="s">
        <v>46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699</v>
      </c>
      <c r="F167" s="14" t="s">
        <v>46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699</v>
      </c>
      <c r="F168" s="14" t="s">
        <v>46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699</v>
      </c>
      <c r="F169" s="14" t="s">
        <v>46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699</v>
      </c>
      <c r="F170" s="14" t="s">
        <v>46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699</v>
      </c>
      <c r="F171" s="14" t="s">
        <v>46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699</v>
      </c>
      <c r="F172" s="14" t="s">
        <v>46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699</v>
      </c>
      <c r="F173" s="14" t="s">
        <v>46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699</v>
      </c>
      <c r="F174" s="14" t="s">
        <v>46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699</v>
      </c>
      <c r="F175" s="14" t="s">
        <v>46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699</v>
      </c>
      <c r="F176" s="14" t="s">
        <v>46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699</v>
      </c>
      <c r="F177" s="14" t="s">
        <v>46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699</v>
      </c>
      <c r="F178" s="14" t="s">
        <v>46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699</v>
      </c>
      <c r="F179" s="14" t="s">
        <v>46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699</v>
      </c>
      <c r="F180" s="14" t="s">
        <v>46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699</v>
      </c>
      <c r="F181" s="14" t="s">
        <v>46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699</v>
      </c>
      <c r="F182" s="14" t="s">
        <v>46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699</v>
      </c>
      <c r="F183" s="14" t="s">
        <v>46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699</v>
      </c>
      <c r="F184" s="14" t="s">
        <v>46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699</v>
      </c>
      <c r="F185" s="14" t="s">
        <v>46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699</v>
      </c>
      <c r="F186" s="14" t="s">
        <v>46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699</v>
      </c>
      <c r="F187" s="14" t="s">
        <v>46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699</v>
      </c>
      <c r="F188" s="14" t="s">
        <v>46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699</v>
      </c>
      <c r="F189" s="14" t="s">
        <v>46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699</v>
      </c>
      <c r="F190" s="14" t="s">
        <v>46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699</v>
      </c>
      <c r="F191" s="14" t="s">
        <v>46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699</v>
      </c>
      <c r="F192" s="14" t="s">
        <v>46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699</v>
      </c>
      <c r="F193" s="14" t="s">
        <v>46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699</v>
      </c>
      <c r="F194" s="14" t="s">
        <v>46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699</v>
      </c>
      <c r="F195" s="14" t="s">
        <v>46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699</v>
      </c>
      <c r="F196" s="14" t="s">
        <v>46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699</v>
      </c>
      <c r="F197" s="14" t="s">
        <v>46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699</v>
      </c>
      <c r="F198" s="14" t="s">
        <v>46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699</v>
      </c>
      <c r="F199" s="14" t="s">
        <v>46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699</v>
      </c>
      <c r="F200" s="14" t="s">
        <v>46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699</v>
      </c>
      <c r="F201" s="14" t="s">
        <v>46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699</v>
      </c>
      <c r="F202" s="14" t="s">
        <v>46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699</v>
      </c>
      <c r="F203" s="14" t="s">
        <v>46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789</v>
      </c>
      <c r="E204" s="18" t="s">
        <v>1053</v>
      </c>
      <c r="F204" s="14" t="s">
        <v>46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699</v>
      </c>
      <c r="F205" s="14" t="s">
        <v>46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699</v>
      </c>
      <c r="F206" s="14" t="s">
        <v>46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699</v>
      </c>
      <c r="F207" s="14" t="s">
        <v>46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699</v>
      </c>
      <c r="F208" s="14" t="s">
        <v>46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699</v>
      </c>
      <c r="F209" s="14" t="s">
        <v>46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699</v>
      </c>
      <c r="F210" s="14" t="s">
        <v>46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699</v>
      </c>
      <c r="F211" s="14" t="s">
        <v>46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699</v>
      </c>
      <c r="F212" s="14" t="s">
        <v>46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699</v>
      </c>
      <c r="F213" s="14" t="s">
        <v>46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699</v>
      </c>
      <c r="F214" s="14" t="s">
        <v>46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699</v>
      </c>
      <c r="F215" s="14" t="s">
        <v>46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699</v>
      </c>
      <c r="F216" s="14" t="s">
        <v>46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699</v>
      </c>
      <c r="F217" s="14" t="s">
        <v>46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699</v>
      </c>
      <c r="F218" s="14" t="s">
        <v>46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699</v>
      </c>
      <c r="F219" s="14" t="s">
        <v>46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699</v>
      </c>
      <c r="F220" s="14" t="s">
        <v>46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699</v>
      </c>
      <c r="F221" s="14" t="s">
        <v>46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699</v>
      </c>
      <c r="F222" s="14" t="s">
        <v>46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699</v>
      </c>
      <c r="F223" s="14" t="s">
        <v>46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699</v>
      </c>
      <c r="F224" s="14" t="s">
        <v>46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699</v>
      </c>
      <c r="F225" s="14" t="s">
        <v>46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699</v>
      </c>
      <c r="F226" s="14" t="s">
        <v>46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699</v>
      </c>
      <c r="F227" s="14" t="s">
        <v>46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699</v>
      </c>
      <c r="F228" s="14" t="s">
        <v>46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699</v>
      </c>
      <c r="F229" s="14" t="s">
        <v>46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699</v>
      </c>
      <c r="F230" s="14" t="s">
        <v>46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699</v>
      </c>
      <c r="F231" s="14" t="s">
        <v>46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699</v>
      </c>
      <c r="F232" s="14" t="s">
        <v>46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699</v>
      </c>
      <c r="F233" s="14" t="s">
        <v>46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699</v>
      </c>
      <c r="F234" s="14" t="s">
        <v>46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699</v>
      </c>
      <c r="F235" s="14" t="s">
        <v>46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699</v>
      </c>
      <c r="F236" s="14" t="s">
        <v>46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699</v>
      </c>
      <c r="F237" s="14" t="s">
        <v>46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699</v>
      </c>
      <c r="F238" s="14" t="s">
        <v>46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699</v>
      </c>
      <c r="F239" s="14" t="s">
        <v>46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699</v>
      </c>
      <c r="F240" s="14" t="s">
        <v>46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699</v>
      </c>
      <c r="F241" s="14" t="s">
        <v>46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699</v>
      </c>
      <c r="F242" s="14" t="s">
        <v>46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699</v>
      </c>
      <c r="F243" s="14" t="s">
        <v>46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699</v>
      </c>
      <c r="F244" s="14" t="s">
        <v>46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699</v>
      </c>
      <c r="F245" s="14" t="s">
        <v>46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699</v>
      </c>
      <c r="F246" s="14" t="s">
        <v>46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699</v>
      </c>
      <c r="F247" s="14" t="s">
        <v>46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699</v>
      </c>
      <c r="F248" s="14" t="s">
        <v>46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699</v>
      </c>
      <c r="F249" s="14" t="s">
        <v>46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699</v>
      </c>
      <c r="F250" s="14" t="s">
        <v>46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699</v>
      </c>
      <c r="F251" s="14" t="s">
        <v>46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699</v>
      </c>
      <c r="F252" s="14" t="s">
        <v>46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699</v>
      </c>
      <c r="F253" s="14" t="s">
        <v>46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699</v>
      </c>
      <c r="F254" s="14" t="s">
        <v>46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699</v>
      </c>
      <c r="F255" s="14" t="s">
        <v>46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699</v>
      </c>
      <c r="F256" s="14" t="s">
        <v>46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699</v>
      </c>
      <c r="F257" s="14" t="s">
        <v>46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699</v>
      </c>
      <c r="F258" s="14" t="s">
        <v>46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699</v>
      </c>
      <c r="F259" s="14" t="s">
        <v>46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699</v>
      </c>
      <c r="F260" s="14" t="s">
        <v>46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699</v>
      </c>
      <c r="F261" s="14" t="s">
        <v>46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699</v>
      </c>
      <c r="F262" s="14" t="s">
        <v>46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699</v>
      </c>
      <c r="F263" s="14" t="s">
        <v>46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699</v>
      </c>
      <c r="F264" s="14" t="s">
        <v>46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699</v>
      </c>
      <c r="F265" s="14" t="s">
        <v>46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699</v>
      </c>
      <c r="F266" s="14" t="s">
        <v>46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699</v>
      </c>
      <c r="F267" s="14" t="s">
        <v>46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699</v>
      </c>
      <c r="F268" s="14" t="s">
        <v>46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699</v>
      </c>
      <c r="F269" s="14" t="s">
        <v>46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699</v>
      </c>
      <c r="F270" s="14" t="s">
        <v>46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699</v>
      </c>
      <c r="F271" s="14" t="s">
        <v>46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699</v>
      </c>
      <c r="F272" s="14" t="s">
        <v>46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699</v>
      </c>
      <c r="F273" s="14" t="s">
        <v>46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699</v>
      </c>
      <c r="F274" s="14" t="s">
        <v>46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699</v>
      </c>
      <c r="F275" s="14" t="s">
        <v>46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699</v>
      </c>
      <c r="F276" s="14" t="s">
        <v>46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699</v>
      </c>
      <c r="F277" s="14" t="s">
        <v>46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699</v>
      </c>
      <c r="F278" s="14" t="s">
        <v>46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699</v>
      </c>
      <c r="F279" s="14" t="s">
        <v>46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699</v>
      </c>
      <c r="F280" s="14" t="s">
        <v>46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699</v>
      </c>
      <c r="F281" s="14" t="s">
        <v>46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699</v>
      </c>
      <c r="F282" s="14" t="s">
        <v>46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699</v>
      </c>
      <c r="F283" s="14" t="s">
        <v>46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699</v>
      </c>
      <c r="F284" s="14" t="s">
        <v>46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699</v>
      </c>
      <c r="F285" s="14" t="s">
        <v>46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699</v>
      </c>
      <c r="F286" s="14" t="s">
        <v>46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789</v>
      </c>
      <c r="E287" s="18" t="s">
        <v>1188</v>
      </c>
      <c r="F287" s="14" t="s">
        <v>46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699</v>
      </c>
      <c r="F288" s="14" t="s">
        <v>46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699</v>
      </c>
      <c r="F289" s="14" t="s">
        <v>46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699</v>
      </c>
      <c r="F290" s="14" t="s">
        <v>46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699</v>
      </c>
      <c r="F291" s="14" t="s">
        <v>46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699</v>
      </c>
      <c r="F292" s="14" t="s">
        <v>46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699</v>
      </c>
      <c r="F293" s="14" t="s">
        <v>46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699</v>
      </c>
      <c r="F294" s="14" t="s">
        <v>46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699</v>
      </c>
      <c r="F295" s="14" t="s">
        <v>46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699</v>
      </c>
      <c r="F296" s="14" t="s">
        <v>46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699</v>
      </c>
      <c r="F297" s="14" t="s">
        <v>46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699</v>
      </c>
      <c r="F298" s="14" t="s">
        <v>46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699</v>
      </c>
      <c r="F299" s="14" t="s">
        <v>46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699</v>
      </c>
      <c r="F300" s="14" t="s">
        <v>46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699</v>
      </c>
      <c r="F301" s="14" t="s">
        <v>46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699</v>
      </c>
      <c r="F302" s="14" t="s">
        <v>46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699</v>
      </c>
      <c r="F303" s="14" t="s">
        <v>46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699</v>
      </c>
      <c r="F304" s="14" t="s">
        <v>46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699</v>
      </c>
      <c r="F305" s="14" t="s">
        <v>46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699</v>
      </c>
      <c r="F306" s="14" t="s">
        <v>46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699</v>
      </c>
      <c r="F307" s="14" t="s">
        <v>46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699</v>
      </c>
      <c r="F308" s="14" t="s">
        <v>46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699</v>
      </c>
      <c r="F309" s="14" t="s">
        <v>46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699</v>
      </c>
      <c r="F310" s="14" t="s">
        <v>46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699</v>
      </c>
      <c r="F311" s="14" t="s">
        <v>46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699</v>
      </c>
      <c r="F312" s="14" t="s">
        <v>46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699</v>
      </c>
      <c r="F313" s="14" t="s">
        <v>46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699</v>
      </c>
      <c r="F314" s="14" t="s">
        <v>46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699</v>
      </c>
      <c r="F315" s="14" t="s">
        <v>46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699</v>
      </c>
      <c r="F316" s="14" t="s">
        <v>46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699</v>
      </c>
      <c r="F317" s="14" t="s">
        <v>46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699</v>
      </c>
      <c r="F318" s="14" t="s">
        <v>46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699</v>
      </c>
      <c r="F319" s="14" t="s">
        <v>46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699</v>
      </c>
      <c r="F320" s="14" t="s">
        <v>46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699</v>
      </c>
      <c r="F321" s="14" t="s">
        <v>46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699</v>
      </c>
      <c r="F322" s="14" t="s">
        <v>46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699</v>
      </c>
      <c r="F323" s="14" t="s">
        <v>46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699</v>
      </c>
      <c r="F324" s="14" t="s">
        <v>46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699</v>
      </c>
      <c r="F325" s="14" t="s">
        <v>46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699</v>
      </c>
      <c r="F326" s="14" t="s">
        <v>46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699</v>
      </c>
      <c r="F327" s="14" t="s">
        <v>46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699</v>
      </c>
      <c r="F328" s="14" t="s">
        <v>46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699</v>
      </c>
      <c r="F329" s="14" t="s">
        <v>46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699</v>
      </c>
      <c r="F330" s="14" t="s">
        <v>46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699</v>
      </c>
      <c r="F331" s="14" t="s">
        <v>46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699</v>
      </c>
      <c r="F332" s="14" t="s">
        <v>46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699</v>
      </c>
      <c r="F333" s="14" t="s">
        <v>46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699</v>
      </c>
      <c r="F334" s="14" t="s">
        <v>46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699</v>
      </c>
      <c r="F335" s="14" t="s">
        <v>46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699</v>
      </c>
      <c r="F336" s="14" t="s">
        <v>46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699</v>
      </c>
      <c r="F337" s="14" t="s">
        <v>46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699</v>
      </c>
      <c r="F338" s="14" t="s">
        <v>46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699</v>
      </c>
      <c r="F339" s="14" t="s">
        <v>46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699</v>
      </c>
      <c r="F340" s="14" t="s">
        <v>46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699</v>
      </c>
      <c r="F341" s="14" t="s">
        <v>46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699</v>
      </c>
      <c r="F342" s="14" t="s">
        <v>46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699</v>
      </c>
      <c r="F343" s="14" t="s">
        <v>46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699</v>
      </c>
      <c r="F344" s="14" t="s">
        <v>46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699</v>
      </c>
      <c r="F345" s="14" t="s">
        <v>46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699</v>
      </c>
      <c r="F346" s="14" t="s">
        <v>46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699</v>
      </c>
      <c r="F347" s="14" t="s">
        <v>46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699</v>
      </c>
      <c r="F348" s="14" t="s">
        <v>46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699</v>
      </c>
      <c r="F349" s="14" t="s">
        <v>46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699</v>
      </c>
      <c r="F350" s="14" t="s">
        <v>46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699</v>
      </c>
      <c r="F351" s="14" t="s">
        <v>46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699</v>
      </c>
      <c r="F352" s="14" t="s">
        <v>46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699</v>
      </c>
      <c r="F353" s="14" t="s">
        <v>46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789</v>
      </c>
      <c r="E354" s="18" t="s">
        <v>986</v>
      </c>
      <c r="F354" s="14" t="s">
        <v>46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699</v>
      </c>
      <c r="F355" s="14" t="s">
        <v>46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699</v>
      </c>
      <c r="F356" s="14" t="s">
        <v>46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699</v>
      </c>
      <c r="F357" s="14" t="s">
        <v>46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699</v>
      </c>
      <c r="F358" s="14" t="s">
        <v>46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699</v>
      </c>
      <c r="F359" s="14" t="s">
        <v>46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699</v>
      </c>
      <c r="F360" s="14" t="s">
        <v>46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699</v>
      </c>
      <c r="F361" s="14" t="s">
        <v>46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699</v>
      </c>
      <c r="F362" s="14" t="s">
        <v>46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699</v>
      </c>
      <c r="F363" s="14" t="s">
        <v>46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699</v>
      </c>
      <c r="F364" s="14" t="s">
        <v>46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699</v>
      </c>
      <c r="F365" s="14" t="s">
        <v>46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699</v>
      </c>
      <c r="F366" s="14" t="s">
        <v>46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699</v>
      </c>
      <c r="F367" s="14" t="s">
        <v>46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699</v>
      </c>
      <c r="F368" s="14" t="s">
        <v>46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699</v>
      </c>
      <c r="F369" s="14" t="s">
        <v>46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699</v>
      </c>
      <c r="F370" s="14" t="s">
        <v>46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699</v>
      </c>
      <c r="F371" s="14" t="s">
        <v>46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699</v>
      </c>
      <c r="F372" s="14" t="s">
        <v>46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699</v>
      </c>
      <c r="F373" s="14" t="s">
        <v>46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699</v>
      </c>
      <c r="F374" s="14" t="s">
        <v>46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699</v>
      </c>
      <c r="F375" s="14" t="s">
        <v>46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699</v>
      </c>
      <c r="F376" s="14" t="s">
        <v>46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699</v>
      </c>
      <c r="F377" s="14" t="s">
        <v>46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699</v>
      </c>
      <c r="F378" s="14" t="s">
        <v>46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699</v>
      </c>
      <c r="F379" s="14" t="s">
        <v>46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699</v>
      </c>
      <c r="F380" s="14" t="s">
        <v>46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699</v>
      </c>
      <c r="F381" s="14" t="s">
        <v>46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699</v>
      </c>
      <c r="F382" s="14" t="s">
        <v>46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699</v>
      </c>
      <c r="F383" s="14" t="s">
        <v>46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699</v>
      </c>
      <c r="F384" s="14" t="s">
        <v>46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699</v>
      </c>
      <c r="F385" s="14" t="s">
        <v>46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699</v>
      </c>
      <c r="F386" s="14" t="s">
        <v>46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699</v>
      </c>
      <c r="F387" s="14" t="s">
        <v>46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699</v>
      </c>
      <c r="F388" s="14" t="s">
        <v>46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699</v>
      </c>
      <c r="F389" s="14" t="s">
        <v>46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699</v>
      </c>
      <c r="F390" s="14" t="s">
        <v>46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699</v>
      </c>
      <c r="F391" s="14" t="s">
        <v>46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699</v>
      </c>
      <c r="F392" s="14" t="s">
        <v>46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699</v>
      </c>
      <c r="F393" s="14" t="s">
        <v>46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699</v>
      </c>
      <c r="F394" s="14" t="s">
        <v>46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699</v>
      </c>
      <c r="F395" s="14" t="s">
        <v>46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699</v>
      </c>
      <c r="F396" s="14" t="s">
        <v>46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699</v>
      </c>
      <c r="F397" s="14" t="s">
        <v>46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699</v>
      </c>
      <c r="F398" s="14" t="s">
        <v>46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699</v>
      </c>
      <c r="F399" s="14" t="s">
        <v>46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699</v>
      </c>
      <c r="F400" s="14" t="s">
        <v>46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699</v>
      </c>
      <c r="F401" s="14" t="s">
        <v>46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699</v>
      </c>
      <c r="F402" s="14" t="s">
        <v>46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699</v>
      </c>
      <c r="F403" s="14" t="s">
        <v>46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699</v>
      </c>
      <c r="F404" s="14" t="s">
        <v>46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699</v>
      </c>
      <c r="F405" s="14" t="s">
        <v>46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699</v>
      </c>
      <c r="F406" s="14" t="s">
        <v>46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699</v>
      </c>
      <c r="F407" s="14" t="s">
        <v>46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699</v>
      </c>
      <c r="F408" s="14" t="s">
        <v>46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699</v>
      </c>
      <c r="F409" s="14" t="s">
        <v>46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699</v>
      </c>
      <c r="F410" s="14" t="s">
        <v>46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699</v>
      </c>
      <c r="F411" s="14" t="s">
        <v>46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699</v>
      </c>
      <c r="F412" s="14" t="s">
        <v>46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699</v>
      </c>
      <c r="F413" s="14" t="s">
        <v>46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699</v>
      </c>
      <c r="F414" s="14" t="s">
        <v>46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699</v>
      </c>
      <c r="F415" s="14" t="s">
        <v>46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699</v>
      </c>
      <c r="F416" s="14" t="s">
        <v>46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699</v>
      </c>
      <c r="F417" s="14" t="s">
        <v>46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699</v>
      </c>
      <c r="F418" s="14" t="s">
        <v>46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699</v>
      </c>
      <c r="F419" s="14" t="s">
        <v>46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699</v>
      </c>
      <c r="F420" s="14" t="s">
        <v>46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699</v>
      </c>
      <c r="F421" s="14" t="s">
        <v>46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699</v>
      </c>
      <c r="F422" s="14" t="s">
        <v>46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699</v>
      </c>
      <c r="F423" s="14" t="s">
        <v>46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699</v>
      </c>
      <c r="F424" s="14" t="s">
        <v>46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699</v>
      </c>
      <c r="F425" s="14" t="s">
        <v>46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699</v>
      </c>
      <c r="F426" s="14" t="s">
        <v>46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699</v>
      </c>
      <c r="F427" s="14" t="s">
        <v>46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699</v>
      </c>
      <c r="F428" s="14" t="s">
        <v>46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699</v>
      </c>
      <c r="F429" s="14" t="s">
        <v>46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699</v>
      </c>
      <c r="F430" s="14" t="s">
        <v>46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699</v>
      </c>
      <c r="F431" s="14" t="s">
        <v>46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699</v>
      </c>
      <c r="F432" s="14" t="s">
        <v>46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699</v>
      </c>
      <c r="F433" s="14" t="s">
        <v>46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699</v>
      </c>
      <c r="F434" s="14" t="s">
        <v>46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699</v>
      </c>
      <c r="F435" s="14" t="s">
        <v>46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699</v>
      </c>
      <c r="F436" s="14" t="s">
        <v>46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699</v>
      </c>
      <c r="F437" s="14" t="s">
        <v>46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699</v>
      </c>
      <c r="F438" s="14" t="s">
        <v>46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699</v>
      </c>
      <c r="F439" s="14" t="s">
        <v>46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699</v>
      </c>
      <c r="F440" s="14" t="s">
        <v>46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699</v>
      </c>
      <c r="F441" s="14" t="s">
        <v>46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699</v>
      </c>
      <c r="F442" s="14" t="s">
        <v>46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699</v>
      </c>
      <c r="F443" s="14" t="s">
        <v>46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699</v>
      </c>
      <c r="F444" s="14" t="s">
        <v>46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699</v>
      </c>
      <c r="F445" s="14" t="s">
        <v>46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699</v>
      </c>
      <c r="F446" s="14" t="s">
        <v>46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699</v>
      </c>
      <c r="F447" s="14" t="s">
        <v>46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699</v>
      </c>
      <c r="F448" s="14" t="s">
        <v>46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699</v>
      </c>
      <c r="F449" s="14" t="s">
        <v>46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699</v>
      </c>
      <c r="F450" s="14" t="s">
        <v>46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699</v>
      </c>
      <c r="F451" s="14" t="s">
        <v>46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699</v>
      </c>
      <c r="F452" s="14" t="s">
        <v>46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699</v>
      </c>
      <c r="F453" s="14" t="s">
        <v>46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699</v>
      </c>
      <c r="F454" s="14" t="s">
        <v>46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699</v>
      </c>
      <c r="F455" s="14" t="s">
        <v>46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699</v>
      </c>
      <c r="F456" s="14" t="s">
        <v>46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699</v>
      </c>
      <c r="F457" s="14" t="s">
        <v>46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699</v>
      </c>
      <c r="F458" s="14" t="s">
        <v>46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699</v>
      </c>
      <c r="F459" s="14" t="s">
        <v>46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699</v>
      </c>
      <c r="F460" s="14" t="s">
        <v>46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699</v>
      </c>
      <c r="F461" s="14" t="s">
        <v>46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699</v>
      </c>
      <c r="F462" s="14" t="s">
        <v>46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699</v>
      </c>
      <c r="F463" s="14" t="s">
        <v>46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699</v>
      </c>
      <c r="F464" s="14" t="s">
        <v>46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699</v>
      </c>
      <c r="F465" s="14" t="s">
        <v>46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699</v>
      </c>
      <c r="F466" s="14" t="s">
        <v>46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699</v>
      </c>
      <c r="F467" s="14" t="s">
        <v>46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699</v>
      </c>
      <c r="F468" s="14" t="s">
        <v>46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699</v>
      </c>
      <c r="F469" s="14" t="s">
        <v>46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699</v>
      </c>
      <c r="F470" s="14" t="s">
        <v>46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699</v>
      </c>
      <c r="F471" s="14" t="s">
        <v>46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699</v>
      </c>
      <c r="F472" s="14" t="s">
        <v>46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699</v>
      </c>
      <c r="F473" s="14" t="s">
        <v>46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699</v>
      </c>
      <c r="F474" s="14" t="s">
        <v>46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789</v>
      </c>
      <c r="E475" s="18" t="s">
        <v>1471</v>
      </c>
      <c r="F475" s="14" t="s">
        <v>46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699</v>
      </c>
      <c r="F476" s="14" t="s">
        <v>46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789</v>
      </c>
      <c r="E477" s="18" t="s">
        <v>1471</v>
      </c>
      <c r="F477" s="14" t="s">
        <v>46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789</v>
      </c>
      <c r="E478" s="18" t="s">
        <v>1478</v>
      </c>
      <c r="F478" s="14" t="s">
        <v>46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699</v>
      </c>
      <c r="F479" s="14" t="s">
        <v>46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699</v>
      </c>
      <c r="F480" s="14" t="s">
        <v>46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699</v>
      </c>
      <c r="F481" s="14" t="s">
        <v>46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699</v>
      </c>
      <c r="F482" s="14" t="s">
        <v>46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699</v>
      </c>
      <c r="F483" s="14" t="s">
        <v>46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699</v>
      </c>
      <c r="F484" s="14" t="s">
        <v>46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699</v>
      </c>
      <c r="F485" s="14" t="s">
        <v>46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699</v>
      </c>
      <c r="F486" s="14" t="s">
        <v>46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699</v>
      </c>
      <c r="F487" s="14" t="s">
        <v>46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699</v>
      </c>
      <c r="F488" s="14" t="s">
        <v>46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699</v>
      </c>
      <c r="F489" s="14" t="s">
        <v>46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789</v>
      </c>
      <c r="E490" s="18" t="s">
        <v>1486</v>
      </c>
      <c r="F490" s="14" t="s">
        <v>46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699</v>
      </c>
      <c r="F491" s="14" t="s">
        <v>46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699</v>
      </c>
      <c r="F492" s="14" t="s">
        <v>46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699</v>
      </c>
      <c r="F493" s="14" t="s">
        <v>46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699</v>
      </c>
      <c r="F494" s="14" t="s">
        <v>46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699</v>
      </c>
      <c r="F495" s="14" t="s">
        <v>46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699</v>
      </c>
      <c r="F496" s="14" t="s">
        <v>46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699</v>
      </c>
      <c r="F497" s="14" t="s">
        <v>46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699</v>
      </c>
      <c r="F498" s="14" t="s">
        <v>46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699</v>
      </c>
      <c r="F499" s="14" t="s">
        <v>46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699</v>
      </c>
      <c r="F500" s="14" t="s">
        <v>46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699</v>
      </c>
      <c r="F501" s="14" t="s">
        <v>88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699</v>
      </c>
      <c r="F502" s="14" t="s">
        <v>46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699</v>
      </c>
      <c r="F503" s="14" t="s">
        <v>46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699</v>
      </c>
      <c r="F504" s="14" t="s">
        <v>46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699</v>
      </c>
      <c r="F505" s="14" t="s">
        <v>46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699</v>
      </c>
      <c r="F506" s="14" t="s">
        <v>46</v>
      </c>
    </row>
    <row r="507" ht="22.5" customHeight="1">
      <c r="A507" s="18">
        <v>506.0</v>
      </c>
      <c r="B507" s="27">
        <v>1.0</v>
      </c>
      <c r="C507" s="18">
        <v>7.0</v>
      </c>
      <c r="D507" s="18" t="s">
        <v>699</v>
      </c>
      <c r="F507" s="14" t="s">
        <v>46</v>
      </c>
    </row>
    <row r="508" ht="22.5" customHeight="1">
      <c r="A508" s="18">
        <v>507.0</v>
      </c>
      <c r="B508" s="27">
        <v>2.0</v>
      </c>
      <c r="C508" s="18">
        <v>7.0</v>
      </c>
      <c r="D508" s="18" t="s">
        <v>699</v>
      </c>
      <c r="F508" s="14" t="s">
        <v>46</v>
      </c>
    </row>
    <row r="509" ht="22.5" customHeight="1">
      <c r="A509" s="18">
        <v>508.0</v>
      </c>
      <c r="B509" s="27">
        <v>3.0</v>
      </c>
      <c r="C509" s="18">
        <v>7.0</v>
      </c>
      <c r="D509" s="18" t="s">
        <v>699</v>
      </c>
      <c r="F509" s="14" t="s">
        <v>46</v>
      </c>
    </row>
    <row r="510" ht="22.5" customHeight="1">
      <c r="A510" s="18">
        <v>509.0</v>
      </c>
      <c r="B510" s="27">
        <v>4.0</v>
      </c>
      <c r="C510" s="18">
        <v>7.0</v>
      </c>
      <c r="D510" s="18" t="s">
        <v>699</v>
      </c>
      <c r="F510" s="14" t="s">
        <v>46</v>
      </c>
    </row>
    <row r="511" ht="22.5" customHeight="1">
      <c r="A511" s="18">
        <v>510.0</v>
      </c>
      <c r="B511" s="27">
        <v>5.0</v>
      </c>
      <c r="C511" s="18">
        <v>7.0</v>
      </c>
      <c r="D511" s="18" t="s">
        <v>699</v>
      </c>
      <c r="F511" s="14" t="s">
        <v>46</v>
      </c>
    </row>
    <row r="512" ht="22.5" customHeight="1">
      <c r="A512" s="18">
        <v>511.0</v>
      </c>
      <c r="B512" s="27">
        <v>6.0</v>
      </c>
      <c r="C512" s="18">
        <v>7.0</v>
      </c>
      <c r="D512" s="18" t="s">
        <v>699</v>
      </c>
      <c r="F512" s="14" t="s">
        <v>46</v>
      </c>
    </row>
    <row r="513" ht="22.5" customHeight="1">
      <c r="A513" s="18">
        <v>512.0</v>
      </c>
      <c r="B513" s="27">
        <v>7.0</v>
      </c>
      <c r="C513" s="18">
        <v>7.0</v>
      </c>
      <c r="D513" s="18" t="s">
        <v>699</v>
      </c>
      <c r="F513" s="14" t="s">
        <v>46</v>
      </c>
    </row>
    <row r="514" ht="22.5" customHeight="1">
      <c r="A514" s="18">
        <v>513.0</v>
      </c>
      <c r="B514" s="27">
        <v>8.0</v>
      </c>
      <c r="C514" s="18">
        <v>7.0</v>
      </c>
      <c r="D514" s="18" t="s">
        <v>699</v>
      </c>
      <c r="F514" s="14" t="s">
        <v>46</v>
      </c>
    </row>
    <row r="515" ht="22.5" customHeight="1">
      <c r="A515" s="18">
        <v>514.0</v>
      </c>
      <c r="B515" s="27">
        <v>9.0</v>
      </c>
      <c r="C515" s="18">
        <v>7.0</v>
      </c>
      <c r="D515" s="18" t="s">
        <v>699</v>
      </c>
      <c r="F515" s="14" t="s">
        <v>46</v>
      </c>
    </row>
    <row r="516" ht="22.5" customHeight="1">
      <c r="A516" s="18">
        <v>515.0</v>
      </c>
      <c r="B516" s="27">
        <v>10.0</v>
      </c>
      <c r="C516" s="18">
        <v>7.0</v>
      </c>
      <c r="D516" s="18" t="s">
        <v>699</v>
      </c>
      <c r="F516" s="14" t="s">
        <v>46</v>
      </c>
    </row>
    <row r="517" ht="22.5" customHeight="1">
      <c r="A517" s="18">
        <v>516.0</v>
      </c>
      <c r="B517" s="27">
        <v>11.0</v>
      </c>
      <c r="C517" s="18">
        <v>7.0</v>
      </c>
      <c r="D517" s="18" t="s">
        <v>699</v>
      </c>
      <c r="F517" s="14" t="s">
        <v>46</v>
      </c>
    </row>
    <row r="518" ht="22.5" customHeight="1">
      <c r="A518" s="18">
        <v>517.0</v>
      </c>
      <c r="B518" s="27">
        <v>12.0</v>
      </c>
      <c r="C518" s="18">
        <v>7.0</v>
      </c>
      <c r="D518" s="18" t="s">
        <v>699</v>
      </c>
      <c r="F518" s="14" t="s">
        <v>46</v>
      </c>
    </row>
    <row r="519" ht="22.5" customHeight="1">
      <c r="A519" s="18">
        <v>518.0</v>
      </c>
      <c r="B519" s="27">
        <v>13.0</v>
      </c>
      <c r="C519" s="18">
        <v>7.0</v>
      </c>
      <c r="D519" s="18" t="s">
        <v>699</v>
      </c>
      <c r="F519" s="14" t="s">
        <v>46</v>
      </c>
    </row>
    <row r="520" ht="22.5" customHeight="1">
      <c r="A520" s="18">
        <v>519.0</v>
      </c>
      <c r="B520" s="27">
        <v>14.0</v>
      </c>
      <c r="C520" s="18">
        <v>7.0</v>
      </c>
      <c r="D520" s="18" t="s">
        <v>699</v>
      </c>
      <c r="F520" s="14" t="s">
        <v>46</v>
      </c>
    </row>
    <row r="521" ht="22.5" customHeight="1">
      <c r="A521" s="18">
        <v>520.0</v>
      </c>
      <c r="B521" s="27">
        <v>15.0</v>
      </c>
      <c r="C521" s="18">
        <v>7.0</v>
      </c>
      <c r="D521" s="18" t="s">
        <v>699</v>
      </c>
      <c r="F521" s="14" t="s">
        <v>46</v>
      </c>
    </row>
    <row r="522" ht="22.5" customHeight="1">
      <c r="A522" s="18">
        <v>521.0</v>
      </c>
      <c r="B522" s="27">
        <v>16.0</v>
      </c>
      <c r="C522" s="18">
        <v>7.0</v>
      </c>
      <c r="D522" s="18" t="s">
        <v>699</v>
      </c>
      <c r="F522" s="14" t="s">
        <v>46</v>
      </c>
    </row>
    <row r="523" ht="22.5" customHeight="1">
      <c r="A523" s="18">
        <v>522.0</v>
      </c>
      <c r="B523" s="27">
        <v>17.0</v>
      </c>
      <c r="C523" s="18">
        <v>7.0</v>
      </c>
      <c r="D523" s="18" t="s">
        <v>699</v>
      </c>
      <c r="F523" s="14" t="s">
        <v>46</v>
      </c>
    </row>
    <row r="524" ht="22.5" customHeight="1">
      <c r="A524" s="18">
        <v>523.0</v>
      </c>
      <c r="B524" s="27">
        <v>18.0</v>
      </c>
      <c r="C524" s="18">
        <v>7.0</v>
      </c>
      <c r="D524" s="18" t="s">
        <v>699</v>
      </c>
      <c r="F524" s="14" t="s">
        <v>46</v>
      </c>
    </row>
    <row r="525" ht="22.5" customHeight="1">
      <c r="A525" s="18">
        <v>524.0</v>
      </c>
      <c r="B525" s="27">
        <v>19.0</v>
      </c>
      <c r="C525" s="18">
        <v>7.0</v>
      </c>
      <c r="D525" s="18" t="s">
        <v>699</v>
      </c>
      <c r="F525" s="14" t="s">
        <v>46</v>
      </c>
    </row>
    <row r="526" ht="22.5" customHeight="1">
      <c r="A526" s="18">
        <v>525.0</v>
      </c>
      <c r="B526" s="27">
        <v>20.0</v>
      </c>
      <c r="C526" s="18">
        <v>7.0</v>
      </c>
      <c r="D526" s="18" t="s">
        <v>699</v>
      </c>
      <c r="F526" s="14" t="s">
        <v>46</v>
      </c>
    </row>
    <row r="527" ht="22.5" customHeight="1">
      <c r="A527" s="18">
        <v>526.0</v>
      </c>
      <c r="B527" s="27">
        <v>21.0</v>
      </c>
      <c r="C527" s="18">
        <v>7.0</v>
      </c>
      <c r="D527" s="18" t="s">
        <v>699</v>
      </c>
      <c r="F527" s="14" t="s">
        <v>46</v>
      </c>
    </row>
    <row r="528" ht="22.5" customHeight="1">
      <c r="A528" s="18">
        <v>527.0</v>
      </c>
      <c r="B528" s="27">
        <v>22.0</v>
      </c>
      <c r="C528" s="18">
        <v>7.0</v>
      </c>
      <c r="D528" s="18" t="s">
        <v>699</v>
      </c>
      <c r="F528" s="14" t="s">
        <v>46</v>
      </c>
    </row>
    <row r="529" ht="22.5" customHeight="1">
      <c r="A529" s="18">
        <v>528.0</v>
      </c>
      <c r="B529" s="27">
        <v>23.0</v>
      </c>
      <c r="C529" s="18">
        <v>7.0</v>
      </c>
      <c r="D529" s="18" t="s">
        <v>699</v>
      </c>
      <c r="F529" s="14" t="s">
        <v>46</v>
      </c>
    </row>
    <row r="530" ht="22.5" customHeight="1">
      <c r="A530" s="18">
        <v>529.0</v>
      </c>
      <c r="B530" s="27">
        <v>24.0</v>
      </c>
      <c r="C530" s="18">
        <v>7.0</v>
      </c>
      <c r="D530" s="18" t="s">
        <v>699</v>
      </c>
      <c r="F530" s="14" t="s">
        <v>46</v>
      </c>
    </row>
    <row r="531" ht="22.5" customHeight="1">
      <c r="A531" s="18">
        <v>530.0</v>
      </c>
      <c r="B531" s="27">
        <v>25.0</v>
      </c>
      <c r="C531" s="18">
        <v>7.0</v>
      </c>
      <c r="D531" s="18" t="s">
        <v>699</v>
      </c>
      <c r="F531" s="14" t="s">
        <v>46</v>
      </c>
    </row>
    <row r="532" ht="22.5" customHeight="1">
      <c r="A532" s="18">
        <v>531.0</v>
      </c>
      <c r="B532" s="27">
        <v>26.0</v>
      </c>
      <c r="C532" s="18">
        <v>7.0</v>
      </c>
      <c r="D532" s="18" t="s">
        <v>699</v>
      </c>
      <c r="F532" s="14" t="s">
        <v>46</v>
      </c>
    </row>
    <row r="533" ht="22.5" customHeight="1">
      <c r="A533" s="18">
        <v>532.0</v>
      </c>
      <c r="B533" s="27">
        <v>27.0</v>
      </c>
      <c r="C533" s="18">
        <v>7.0</v>
      </c>
      <c r="D533" s="18" t="s">
        <v>699</v>
      </c>
      <c r="F533" s="14" t="s">
        <v>46</v>
      </c>
    </row>
    <row r="534" ht="22.5" customHeight="1">
      <c r="A534" s="18">
        <v>533.0</v>
      </c>
      <c r="B534" s="27">
        <v>28.0</v>
      </c>
      <c r="C534" s="18">
        <v>7.0</v>
      </c>
      <c r="D534" s="18" t="s">
        <v>699</v>
      </c>
      <c r="F534" s="14" t="s">
        <v>46</v>
      </c>
    </row>
    <row r="535" ht="22.5" customHeight="1">
      <c r="A535" s="18">
        <v>534.0</v>
      </c>
      <c r="B535" s="27">
        <v>29.0</v>
      </c>
      <c r="C535" s="18">
        <v>7.0</v>
      </c>
      <c r="D535" s="18" t="s">
        <v>699</v>
      </c>
      <c r="F535" s="14" t="s">
        <v>46</v>
      </c>
    </row>
    <row r="536" ht="22.5" customHeight="1">
      <c r="A536" s="18">
        <v>535.0</v>
      </c>
      <c r="B536" s="27">
        <v>30.0</v>
      </c>
      <c r="C536" s="18">
        <v>7.0</v>
      </c>
      <c r="D536" s="18" t="s">
        <v>699</v>
      </c>
      <c r="F536" s="14" t="s">
        <v>46</v>
      </c>
    </row>
    <row r="537" ht="22.5" customHeight="1">
      <c r="A537" s="18">
        <v>536.0</v>
      </c>
      <c r="B537" s="27">
        <v>31.0</v>
      </c>
      <c r="C537" s="18">
        <v>7.0</v>
      </c>
      <c r="D537" s="18" t="s">
        <v>699</v>
      </c>
      <c r="F537" s="14" t="s">
        <v>46</v>
      </c>
    </row>
    <row r="538" ht="22.5" customHeight="1">
      <c r="A538" s="18">
        <v>537.0</v>
      </c>
      <c r="B538" s="27">
        <v>32.0</v>
      </c>
      <c r="C538" s="18">
        <v>7.0</v>
      </c>
      <c r="D538" s="18" t="s">
        <v>699</v>
      </c>
      <c r="F538" s="14" t="s">
        <v>46</v>
      </c>
    </row>
    <row r="539" ht="22.5" customHeight="1">
      <c r="A539" s="18">
        <v>538.0</v>
      </c>
      <c r="B539" s="28">
        <v>33.0</v>
      </c>
      <c r="C539" s="18">
        <v>7.0</v>
      </c>
      <c r="D539" s="18" t="s">
        <v>699</v>
      </c>
      <c r="F539" s="14" t="s">
        <v>46</v>
      </c>
    </row>
    <row r="540" ht="22.5" customHeight="1">
      <c r="A540" s="18">
        <v>539.0</v>
      </c>
      <c r="B540" s="28">
        <v>63.0</v>
      </c>
      <c r="C540" s="18">
        <v>7.0</v>
      </c>
      <c r="D540" s="18" t="s">
        <v>699</v>
      </c>
      <c r="F540" s="14" t="s">
        <v>46</v>
      </c>
    </row>
    <row r="541" ht="22.5" customHeight="1">
      <c r="A541" s="18">
        <v>540.0</v>
      </c>
      <c r="B541" s="28">
        <v>64.0</v>
      </c>
      <c r="C541" s="18">
        <v>7.0</v>
      </c>
      <c r="D541" s="18" t="s">
        <v>699</v>
      </c>
      <c r="F541" s="14" t="s">
        <v>46</v>
      </c>
    </row>
    <row r="542" ht="22.5" customHeight="1">
      <c r="A542" s="18">
        <v>541.0</v>
      </c>
      <c r="B542" s="28">
        <v>66.0</v>
      </c>
      <c r="C542" s="18">
        <v>7.0</v>
      </c>
      <c r="D542" s="18" t="s">
        <v>699</v>
      </c>
      <c r="F542" s="14" t="s">
        <v>46</v>
      </c>
    </row>
    <row r="543" ht="22.5" customHeight="1">
      <c r="A543" s="18">
        <v>542.0</v>
      </c>
      <c r="B543" s="28">
        <v>67.0</v>
      </c>
      <c r="C543" s="18">
        <v>7.0</v>
      </c>
      <c r="D543" s="18" t="s">
        <v>699</v>
      </c>
      <c r="F543" s="14" t="s">
        <v>46</v>
      </c>
    </row>
    <row r="544" ht="22.5" customHeight="1">
      <c r="A544" s="18">
        <v>543.0</v>
      </c>
      <c r="B544" s="28">
        <v>111.0</v>
      </c>
      <c r="C544" s="18">
        <v>7.0</v>
      </c>
      <c r="D544" s="18" t="s">
        <v>699</v>
      </c>
      <c r="F544" s="14" t="s">
        <v>46</v>
      </c>
    </row>
    <row r="545" ht="22.5" customHeight="1">
      <c r="A545" s="18">
        <v>544.0</v>
      </c>
      <c r="B545" s="28">
        <v>82.0</v>
      </c>
      <c r="C545" s="18">
        <v>7.0</v>
      </c>
      <c r="D545" s="18" t="s">
        <v>699</v>
      </c>
      <c r="F545" s="14" t="s">
        <v>46</v>
      </c>
    </row>
    <row r="546" ht="22.5" customHeight="1">
      <c r="A546" s="18">
        <v>545.0</v>
      </c>
      <c r="B546" s="28">
        <v>76.0</v>
      </c>
      <c r="C546" s="18">
        <v>7.0</v>
      </c>
      <c r="D546" s="18" t="s">
        <v>699</v>
      </c>
      <c r="F546" s="14" t="s">
        <v>46</v>
      </c>
    </row>
    <row r="547" ht="22.5" customHeight="1">
      <c r="A547" s="18">
        <v>546.0</v>
      </c>
      <c r="B547" s="28">
        <v>78.0</v>
      </c>
      <c r="C547" s="18">
        <v>7.0</v>
      </c>
      <c r="D547" s="18" t="s">
        <v>699</v>
      </c>
      <c r="F547" s="14" t="s">
        <v>46</v>
      </c>
    </row>
    <row r="548" ht="22.5" customHeight="1">
      <c r="A548" s="18">
        <v>547.0</v>
      </c>
      <c r="B548" s="28">
        <v>93.0</v>
      </c>
      <c r="C548" s="18">
        <v>7.0</v>
      </c>
      <c r="D548" s="18" t="s">
        <v>699</v>
      </c>
      <c r="F548" s="14" t="s">
        <v>46</v>
      </c>
    </row>
    <row r="549" ht="22.5" customHeight="1">
      <c r="A549" s="18">
        <v>548.0</v>
      </c>
      <c r="B549" s="28">
        <v>94.0</v>
      </c>
      <c r="C549" s="18">
        <v>7.0</v>
      </c>
      <c r="D549" s="18" t="s">
        <v>699</v>
      </c>
      <c r="F549" s="14" t="s">
        <v>46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699</v>
      </c>
      <c r="F550" s="14" t="s">
        <v>46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699</v>
      </c>
      <c r="F551" s="14" t="s">
        <v>46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699</v>
      </c>
      <c r="F552" s="14" t="s">
        <v>46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699</v>
      </c>
      <c r="F553" s="14" t="s">
        <v>46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699</v>
      </c>
      <c r="F554" s="14" t="s">
        <v>46</v>
      </c>
    </row>
    <row r="555" ht="22.5" customHeight="1">
      <c r="A555" s="18">
        <v>554.0</v>
      </c>
      <c r="B555" s="27">
        <v>1.0</v>
      </c>
      <c r="C555" s="18">
        <v>8.0</v>
      </c>
      <c r="D555" s="18" t="s">
        <v>699</v>
      </c>
      <c r="F555" s="14" t="s">
        <v>46</v>
      </c>
    </row>
    <row r="556" ht="22.5" customHeight="1">
      <c r="A556" s="18">
        <v>555.0</v>
      </c>
      <c r="B556" s="27">
        <v>2.0</v>
      </c>
      <c r="C556" s="18">
        <v>8.0</v>
      </c>
      <c r="D556" s="18" t="s">
        <v>699</v>
      </c>
      <c r="F556" s="14" t="s">
        <v>46</v>
      </c>
    </row>
    <row r="557" ht="22.5" customHeight="1">
      <c r="A557" s="18">
        <v>556.0</v>
      </c>
      <c r="B557" s="27">
        <v>3.0</v>
      </c>
      <c r="C557" s="18">
        <v>8.0</v>
      </c>
      <c r="D557" s="18" t="s">
        <v>699</v>
      </c>
      <c r="F557" s="14" t="s">
        <v>46</v>
      </c>
    </row>
    <row r="558" ht="22.5" customHeight="1">
      <c r="A558" s="18">
        <v>557.0</v>
      </c>
      <c r="B558" s="27">
        <v>4.0</v>
      </c>
      <c r="C558" s="18">
        <v>8.0</v>
      </c>
      <c r="D558" s="18" t="s">
        <v>699</v>
      </c>
      <c r="F558" s="14" t="s">
        <v>46</v>
      </c>
    </row>
    <row r="559" ht="22.5" customHeight="1">
      <c r="A559" s="18">
        <v>558.0</v>
      </c>
      <c r="B559" s="27">
        <v>5.0</v>
      </c>
      <c r="C559" s="18">
        <v>8.0</v>
      </c>
      <c r="D559" s="18" t="s">
        <v>699</v>
      </c>
      <c r="F559" s="14" t="s">
        <v>46</v>
      </c>
    </row>
    <row r="560" ht="22.5" customHeight="1">
      <c r="A560" s="18">
        <v>559.0</v>
      </c>
      <c r="B560" s="27">
        <v>6.0</v>
      </c>
      <c r="C560" s="18">
        <v>8.0</v>
      </c>
      <c r="D560" s="18" t="s">
        <v>699</v>
      </c>
      <c r="F560" s="14" t="s">
        <v>46</v>
      </c>
    </row>
    <row r="561" ht="22.5" customHeight="1">
      <c r="A561" s="18">
        <v>560.0</v>
      </c>
      <c r="B561" s="27">
        <v>7.0</v>
      </c>
      <c r="C561" s="18">
        <v>8.0</v>
      </c>
      <c r="D561" s="18" t="s">
        <v>699</v>
      </c>
      <c r="F561" s="14" t="s">
        <v>46</v>
      </c>
    </row>
    <row r="562" ht="22.5" customHeight="1">
      <c r="A562" s="18">
        <v>561.0</v>
      </c>
      <c r="B562" s="27">
        <v>8.0</v>
      </c>
      <c r="C562" s="18">
        <v>8.0</v>
      </c>
      <c r="D562" s="18" t="s">
        <v>699</v>
      </c>
      <c r="F562" s="14" t="s">
        <v>46</v>
      </c>
    </row>
    <row r="563" ht="22.5" customHeight="1">
      <c r="A563" s="18">
        <v>562.0</v>
      </c>
      <c r="B563" s="27">
        <v>9.0</v>
      </c>
      <c r="C563" s="18">
        <v>8.0</v>
      </c>
      <c r="D563" s="18" t="s">
        <v>699</v>
      </c>
      <c r="F563" s="14" t="s">
        <v>46</v>
      </c>
    </row>
    <row r="564" ht="22.5" customHeight="1">
      <c r="A564" s="18">
        <v>563.0</v>
      </c>
      <c r="B564" s="27">
        <v>10.0</v>
      </c>
      <c r="C564" s="18">
        <v>8.0</v>
      </c>
      <c r="D564" s="18" t="s">
        <v>699</v>
      </c>
      <c r="F564" s="14" t="s">
        <v>46</v>
      </c>
    </row>
    <row r="565" ht="22.5" customHeight="1">
      <c r="A565" s="18">
        <v>564.0</v>
      </c>
      <c r="B565" s="27">
        <v>11.0</v>
      </c>
      <c r="C565" s="18">
        <v>8.0</v>
      </c>
      <c r="D565" s="18" t="s">
        <v>699</v>
      </c>
      <c r="F565" s="14" t="s">
        <v>46</v>
      </c>
    </row>
    <row r="566" ht="22.5" customHeight="1">
      <c r="A566" s="18">
        <v>565.0</v>
      </c>
      <c r="B566" s="27">
        <v>12.0</v>
      </c>
      <c r="C566" s="18">
        <v>8.0</v>
      </c>
      <c r="D566" s="18" t="s">
        <v>699</v>
      </c>
      <c r="F566" s="14" t="s">
        <v>46</v>
      </c>
    </row>
    <row r="567" ht="22.5" customHeight="1">
      <c r="A567" s="18">
        <v>566.0</v>
      </c>
      <c r="B567" s="27">
        <v>13.0</v>
      </c>
      <c r="C567" s="18">
        <v>8.0</v>
      </c>
      <c r="D567" s="18" t="s">
        <v>699</v>
      </c>
      <c r="F567" s="14" t="s">
        <v>46</v>
      </c>
    </row>
    <row r="568" ht="22.5" customHeight="1">
      <c r="A568" s="18">
        <v>567.0</v>
      </c>
      <c r="B568" s="27">
        <v>14.0</v>
      </c>
      <c r="C568" s="18">
        <v>8.0</v>
      </c>
      <c r="D568" s="18" t="s">
        <v>699</v>
      </c>
      <c r="F568" s="14" t="s">
        <v>46</v>
      </c>
    </row>
    <row r="569" ht="22.5" customHeight="1">
      <c r="A569" s="18">
        <v>568.0</v>
      </c>
      <c r="B569" s="27">
        <v>15.0</v>
      </c>
      <c r="C569" s="18">
        <v>8.0</v>
      </c>
      <c r="D569" s="18" t="s">
        <v>699</v>
      </c>
      <c r="F569" s="14" t="s">
        <v>46</v>
      </c>
    </row>
    <row r="570" ht="22.5" customHeight="1">
      <c r="A570" s="18">
        <v>569.0</v>
      </c>
      <c r="B570" s="27">
        <v>16.0</v>
      </c>
      <c r="C570" s="18">
        <v>8.0</v>
      </c>
      <c r="D570" s="18" t="s">
        <v>699</v>
      </c>
      <c r="F570" s="14" t="s">
        <v>46</v>
      </c>
    </row>
    <row r="571" ht="22.5" customHeight="1">
      <c r="A571" s="18">
        <v>570.0</v>
      </c>
      <c r="B571" s="27">
        <v>17.0</v>
      </c>
      <c r="C571" s="18">
        <v>8.0</v>
      </c>
      <c r="D571" s="18" t="s">
        <v>699</v>
      </c>
      <c r="F571" s="14" t="s">
        <v>46</v>
      </c>
    </row>
    <row r="572" ht="22.5" customHeight="1">
      <c r="A572" s="18">
        <v>571.0</v>
      </c>
      <c r="B572" s="27">
        <v>18.0</v>
      </c>
      <c r="C572" s="18">
        <v>8.0</v>
      </c>
      <c r="D572" s="18" t="s">
        <v>699</v>
      </c>
      <c r="F572" s="14" t="s">
        <v>46</v>
      </c>
    </row>
    <row r="573" ht="22.5" customHeight="1">
      <c r="A573" s="18">
        <v>572.0</v>
      </c>
      <c r="B573" s="27">
        <v>19.0</v>
      </c>
      <c r="C573" s="18">
        <v>8.0</v>
      </c>
      <c r="D573" s="18" t="s">
        <v>699</v>
      </c>
      <c r="F573" s="14" t="s">
        <v>46</v>
      </c>
    </row>
    <row r="574" ht="22.5" customHeight="1">
      <c r="A574" s="18">
        <v>573.0</v>
      </c>
      <c r="B574" s="27">
        <v>20.0</v>
      </c>
      <c r="C574" s="18">
        <v>8.0</v>
      </c>
      <c r="D574" s="18" t="s">
        <v>699</v>
      </c>
      <c r="F574" s="14" t="s">
        <v>46</v>
      </c>
    </row>
    <row r="575" ht="22.5" customHeight="1">
      <c r="A575" s="18">
        <v>574.0</v>
      </c>
      <c r="B575" s="27">
        <v>21.0</v>
      </c>
      <c r="C575" s="18">
        <v>8.0</v>
      </c>
      <c r="D575" s="18" t="s">
        <v>699</v>
      </c>
      <c r="F575" s="14" t="s">
        <v>46</v>
      </c>
    </row>
    <row r="576" ht="22.5" customHeight="1">
      <c r="A576" s="18">
        <v>575.0</v>
      </c>
      <c r="B576" s="27">
        <v>22.0</v>
      </c>
      <c r="C576" s="18">
        <v>8.0</v>
      </c>
      <c r="D576" s="18" t="s">
        <v>699</v>
      </c>
      <c r="F576" s="14" t="s">
        <v>46</v>
      </c>
    </row>
    <row r="577" ht="22.5" customHeight="1">
      <c r="A577" s="18">
        <v>576.0</v>
      </c>
      <c r="B577" s="27">
        <v>23.0</v>
      </c>
      <c r="C577" s="18">
        <v>8.0</v>
      </c>
      <c r="D577" s="18" t="s">
        <v>699</v>
      </c>
      <c r="F577" s="14" t="s">
        <v>46</v>
      </c>
    </row>
    <row r="578" ht="22.5" customHeight="1">
      <c r="A578" s="18">
        <v>577.0</v>
      </c>
      <c r="B578" s="27">
        <v>24.0</v>
      </c>
      <c r="C578" s="18">
        <v>8.0</v>
      </c>
      <c r="D578" s="18" t="s">
        <v>699</v>
      </c>
      <c r="F578" s="14" t="s">
        <v>46</v>
      </c>
    </row>
    <row r="579" ht="22.5" customHeight="1">
      <c r="A579" s="18">
        <v>578.0</v>
      </c>
      <c r="B579" s="27">
        <v>25.0</v>
      </c>
      <c r="C579" s="18">
        <v>8.0</v>
      </c>
      <c r="D579" s="18" t="s">
        <v>699</v>
      </c>
      <c r="F579" s="14" t="s">
        <v>46</v>
      </c>
    </row>
    <row r="580" ht="22.5" customHeight="1">
      <c r="A580" s="18">
        <v>579.0</v>
      </c>
      <c r="B580" s="27">
        <v>26.0</v>
      </c>
      <c r="C580" s="18">
        <v>8.0</v>
      </c>
      <c r="D580" s="18" t="s">
        <v>699</v>
      </c>
      <c r="F580" s="14" t="s">
        <v>46</v>
      </c>
    </row>
    <row r="581" ht="22.5" customHeight="1">
      <c r="A581" s="18">
        <v>580.0</v>
      </c>
      <c r="B581" s="27">
        <v>27.0</v>
      </c>
      <c r="C581" s="18">
        <v>8.0</v>
      </c>
      <c r="D581" s="18" t="s">
        <v>699</v>
      </c>
      <c r="F581" s="14" t="s">
        <v>46</v>
      </c>
    </row>
    <row r="582" ht="22.5" customHeight="1">
      <c r="A582" s="18">
        <v>581.0</v>
      </c>
      <c r="B582" s="27">
        <v>28.0</v>
      </c>
      <c r="C582" s="18">
        <v>8.0</v>
      </c>
      <c r="D582" s="18" t="s">
        <v>699</v>
      </c>
      <c r="F582" s="14" t="s">
        <v>46</v>
      </c>
    </row>
    <row r="583" ht="22.5" customHeight="1">
      <c r="A583" s="18">
        <v>582.0</v>
      </c>
      <c r="B583" s="27">
        <v>29.0</v>
      </c>
      <c r="C583" s="18">
        <v>8.0</v>
      </c>
      <c r="D583" s="18" t="s">
        <v>699</v>
      </c>
      <c r="F583" s="14" t="s">
        <v>46</v>
      </c>
    </row>
    <row r="584" ht="22.5" customHeight="1">
      <c r="A584" s="18">
        <v>583.0</v>
      </c>
      <c r="B584" s="27">
        <v>30.0</v>
      </c>
      <c r="C584" s="18">
        <v>8.0</v>
      </c>
      <c r="D584" s="18" t="s">
        <v>699</v>
      </c>
      <c r="F584" s="14" t="s">
        <v>46</v>
      </c>
    </row>
    <row r="585" ht="22.5" customHeight="1">
      <c r="A585" s="18">
        <v>584.0</v>
      </c>
      <c r="B585" s="27">
        <v>31.0</v>
      </c>
      <c r="C585" s="18">
        <v>8.0</v>
      </c>
      <c r="D585" s="18" t="s">
        <v>699</v>
      </c>
      <c r="F585" s="14" t="s">
        <v>46</v>
      </c>
    </row>
    <row r="586" ht="22.5" customHeight="1">
      <c r="A586" s="18">
        <v>585.0</v>
      </c>
      <c r="B586" s="27">
        <v>32.0</v>
      </c>
      <c r="C586" s="18">
        <v>8.0</v>
      </c>
      <c r="D586" s="18" t="s">
        <v>699</v>
      </c>
      <c r="F586" s="14" t="s">
        <v>46</v>
      </c>
    </row>
    <row r="587" ht="22.5" customHeight="1">
      <c r="A587" s="18">
        <v>586.0</v>
      </c>
      <c r="B587" s="27">
        <v>33.0</v>
      </c>
      <c r="C587" s="18">
        <v>8.0</v>
      </c>
      <c r="D587" s="18" t="s">
        <v>699</v>
      </c>
      <c r="F587" s="14" t="s">
        <v>46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699</v>
      </c>
      <c r="F588" s="14" t="s">
        <v>46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699</v>
      </c>
      <c r="F589" s="14" t="s">
        <v>46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699</v>
      </c>
      <c r="F590" s="14" t="s">
        <v>46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699</v>
      </c>
      <c r="F591" s="14" t="s">
        <v>46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699</v>
      </c>
      <c r="F592" s="14" t="s">
        <v>46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699</v>
      </c>
      <c r="F593" s="14" t="s">
        <v>46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699</v>
      </c>
      <c r="F594" s="14" t="s">
        <v>46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699</v>
      </c>
      <c r="F595" s="14" t="s">
        <v>46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699</v>
      </c>
      <c r="F596" s="14" t="s">
        <v>46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699</v>
      </c>
      <c r="F597" s="14" t="s">
        <v>46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699</v>
      </c>
      <c r="F598" s="14" t="s">
        <v>46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699</v>
      </c>
      <c r="F599" s="14" t="s">
        <v>46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699</v>
      </c>
      <c r="F600" s="14" t="s">
        <v>46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699</v>
      </c>
      <c r="F601" s="14" t="s">
        <v>46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699</v>
      </c>
      <c r="F602" s="14" t="s">
        <v>46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699</v>
      </c>
      <c r="F603" s="14" t="s">
        <v>46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699</v>
      </c>
      <c r="F604" s="14" t="s">
        <v>46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699</v>
      </c>
      <c r="F605" s="14" t="s">
        <v>46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699</v>
      </c>
      <c r="F606" s="14" t="s">
        <v>46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699</v>
      </c>
      <c r="F607" s="14" t="s">
        <v>46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699</v>
      </c>
      <c r="F608" s="14" t="s">
        <v>46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699</v>
      </c>
      <c r="F609" s="14" t="s">
        <v>46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699</v>
      </c>
      <c r="F610" s="14" t="s">
        <v>46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699</v>
      </c>
      <c r="F611" s="14" t="s">
        <v>46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699</v>
      </c>
      <c r="F612" s="14" t="s">
        <v>46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699</v>
      </c>
      <c r="F613" s="14" t="s">
        <v>46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789</v>
      </c>
      <c r="E614" s="18" t="s">
        <v>1471</v>
      </c>
      <c r="F614" s="14" t="s">
        <v>46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789</v>
      </c>
      <c r="E615" s="18" t="s">
        <v>1471</v>
      </c>
      <c r="F615" s="14" t="s">
        <v>46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699</v>
      </c>
      <c r="F616" s="14" t="s">
        <v>46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699</v>
      </c>
      <c r="F617" s="14" t="s">
        <v>46</v>
      </c>
    </row>
    <row r="618" ht="22.5" customHeight="1">
      <c r="A618" s="18">
        <v>618.0</v>
      </c>
      <c r="B618" s="27">
        <v>1.0</v>
      </c>
      <c r="C618" s="18">
        <v>10.0</v>
      </c>
      <c r="D618" s="18" t="s">
        <v>699</v>
      </c>
      <c r="F618" s="14" t="s">
        <v>46</v>
      </c>
    </row>
    <row r="619" ht="22.5" customHeight="1">
      <c r="A619" s="18">
        <v>619.0</v>
      </c>
      <c r="B619" s="27">
        <v>2.0</v>
      </c>
      <c r="C619" s="18">
        <v>10.0</v>
      </c>
      <c r="D619" s="18" t="s">
        <v>699</v>
      </c>
      <c r="F619" s="14" t="s">
        <v>46</v>
      </c>
    </row>
    <row r="620" ht="22.5" customHeight="1">
      <c r="A620" s="18">
        <v>620.0</v>
      </c>
      <c r="B620" s="27">
        <v>3.0</v>
      </c>
      <c r="C620" s="18">
        <v>10.0</v>
      </c>
      <c r="D620" s="18" t="s">
        <v>699</v>
      </c>
      <c r="F620" s="14" t="s">
        <v>46</v>
      </c>
    </row>
    <row r="621" ht="22.5" customHeight="1">
      <c r="A621" s="18">
        <v>621.0</v>
      </c>
      <c r="B621" s="27">
        <v>4.0</v>
      </c>
      <c r="C621" s="18">
        <v>10.0</v>
      </c>
      <c r="D621" s="18" t="s">
        <v>699</v>
      </c>
      <c r="F621" s="14" t="s">
        <v>46</v>
      </c>
    </row>
    <row r="622" ht="22.5" customHeight="1">
      <c r="A622" s="18">
        <v>622.0</v>
      </c>
      <c r="B622" s="27">
        <v>5.0</v>
      </c>
      <c r="C622" s="18">
        <v>10.0</v>
      </c>
      <c r="D622" s="18" t="s">
        <v>699</v>
      </c>
      <c r="F622" s="14" t="s">
        <v>46</v>
      </c>
    </row>
    <row r="623" ht="22.5" customHeight="1">
      <c r="A623" s="18">
        <v>623.0</v>
      </c>
      <c r="B623" s="27">
        <v>6.0</v>
      </c>
      <c r="C623" s="18">
        <v>10.0</v>
      </c>
      <c r="D623" s="18" t="s">
        <v>699</v>
      </c>
      <c r="F623" s="14" t="s">
        <v>46</v>
      </c>
    </row>
    <row r="624" ht="22.5" customHeight="1">
      <c r="A624" s="18">
        <v>624.0</v>
      </c>
      <c r="B624" s="27">
        <v>7.0</v>
      </c>
      <c r="C624" s="18">
        <v>10.0</v>
      </c>
      <c r="D624" s="18" t="s">
        <v>699</v>
      </c>
      <c r="F624" s="14" t="s">
        <v>46</v>
      </c>
    </row>
    <row r="625" ht="22.5" customHeight="1">
      <c r="A625" s="18">
        <v>625.0</v>
      </c>
      <c r="B625" s="27">
        <v>8.0</v>
      </c>
      <c r="C625" s="18">
        <v>10.0</v>
      </c>
      <c r="D625" s="18" t="s">
        <v>699</v>
      </c>
      <c r="F625" s="14" t="s">
        <v>46</v>
      </c>
    </row>
    <row r="626" ht="22.5" customHeight="1">
      <c r="A626" s="18">
        <v>626.0</v>
      </c>
      <c r="B626" s="27">
        <v>9.0</v>
      </c>
      <c r="C626" s="18">
        <v>10.0</v>
      </c>
      <c r="D626" s="18" t="s">
        <v>699</v>
      </c>
      <c r="F626" s="14" t="s">
        <v>46</v>
      </c>
    </row>
    <row r="627" ht="22.5" customHeight="1">
      <c r="A627" s="18">
        <v>627.0</v>
      </c>
      <c r="B627" s="27">
        <v>10.0</v>
      </c>
      <c r="C627" s="18">
        <v>10.0</v>
      </c>
      <c r="D627" s="18" t="s">
        <v>699</v>
      </c>
      <c r="F627" s="14" t="s">
        <v>46</v>
      </c>
    </row>
    <row r="628" ht="22.5" customHeight="1">
      <c r="A628" s="18">
        <v>628.0</v>
      </c>
      <c r="B628" s="27">
        <v>11.0</v>
      </c>
      <c r="C628" s="18">
        <v>10.0</v>
      </c>
      <c r="D628" s="18" t="s">
        <v>699</v>
      </c>
      <c r="F628" s="14" t="s">
        <v>46</v>
      </c>
    </row>
    <row r="629" ht="22.5" customHeight="1">
      <c r="A629" s="18">
        <v>629.0</v>
      </c>
      <c r="B629" s="27">
        <v>12.0</v>
      </c>
      <c r="C629" s="18">
        <v>10.0</v>
      </c>
      <c r="D629" s="18" t="s">
        <v>699</v>
      </c>
      <c r="F629" s="14" t="s">
        <v>46</v>
      </c>
    </row>
    <row r="630" ht="22.5" customHeight="1">
      <c r="A630" s="18">
        <v>630.0</v>
      </c>
      <c r="B630" s="27">
        <v>13.0</v>
      </c>
      <c r="C630" s="18">
        <v>10.0</v>
      </c>
      <c r="D630" s="18" t="s">
        <v>699</v>
      </c>
      <c r="F630" s="14" t="s">
        <v>46</v>
      </c>
    </row>
    <row r="631" ht="22.5" customHeight="1">
      <c r="A631" s="18">
        <v>631.0</v>
      </c>
      <c r="B631" s="27">
        <v>14.0</v>
      </c>
      <c r="C631" s="18">
        <v>10.0</v>
      </c>
      <c r="D631" s="18" t="s">
        <v>699</v>
      </c>
      <c r="F631" s="14" t="s">
        <v>46</v>
      </c>
    </row>
    <row r="632" ht="22.5" customHeight="1">
      <c r="A632" s="18">
        <v>632.0</v>
      </c>
      <c r="B632" s="27">
        <v>15.0</v>
      </c>
      <c r="C632" s="18">
        <v>10.0</v>
      </c>
      <c r="D632" s="18" t="s">
        <v>699</v>
      </c>
      <c r="F632" s="14" t="s">
        <v>46</v>
      </c>
    </row>
    <row r="633" ht="22.5" customHeight="1">
      <c r="A633" s="18">
        <v>633.0</v>
      </c>
      <c r="B633" s="27">
        <v>16.0</v>
      </c>
      <c r="C633" s="18">
        <v>10.0</v>
      </c>
      <c r="D633" s="18" t="s">
        <v>699</v>
      </c>
      <c r="F633" s="14" t="s">
        <v>46</v>
      </c>
    </row>
    <row r="634" ht="22.5" customHeight="1">
      <c r="A634" s="18">
        <v>634.0</v>
      </c>
      <c r="B634" s="27">
        <v>17.0</v>
      </c>
      <c r="C634" s="18">
        <v>10.0</v>
      </c>
      <c r="D634" s="18" t="s">
        <v>699</v>
      </c>
      <c r="F634" s="14" t="s">
        <v>46</v>
      </c>
    </row>
    <row r="635" ht="22.5" customHeight="1">
      <c r="A635" s="18">
        <v>635.0</v>
      </c>
      <c r="B635" s="27">
        <v>18.0</v>
      </c>
      <c r="C635" s="18">
        <v>10.0</v>
      </c>
      <c r="D635" s="18" t="s">
        <v>699</v>
      </c>
      <c r="F635" s="14" t="s">
        <v>46</v>
      </c>
    </row>
    <row r="636" ht="22.5" customHeight="1">
      <c r="A636" s="18">
        <v>636.0</v>
      </c>
      <c r="B636" s="27">
        <v>19.0</v>
      </c>
      <c r="C636" s="18">
        <v>10.0</v>
      </c>
      <c r="D636" s="18" t="s">
        <v>699</v>
      </c>
      <c r="F636" s="14" t="s">
        <v>46</v>
      </c>
    </row>
    <row r="637" ht="22.5" customHeight="1">
      <c r="A637" s="18">
        <v>637.0</v>
      </c>
      <c r="B637" s="27">
        <v>20.0</v>
      </c>
      <c r="C637" s="18">
        <v>10.0</v>
      </c>
      <c r="D637" s="18" t="s">
        <v>699</v>
      </c>
      <c r="F637" s="14" t="s">
        <v>46</v>
      </c>
    </row>
    <row r="638" ht="22.5" customHeight="1">
      <c r="A638" s="18">
        <v>638.0</v>
      </c>
      <c r="B638" s="27">
        <v>21.0</v>
      </c>
      <c r="C638" s="18">
        <v>10.0</v>
      </c>
      <c r="D638" s="18" t="s">
        <v>699</v>
      </c>
      <c r="F638" s="14" t="s">
        <v>46</v>
      </c>
    </row>
    <row r="639" ht="22.5" customHeight="1">
      <c r="A639" s="18">
        <v>639.0</v>
      </c>
      <c r="B639" s="27">
        <v>22.0</v>
      </c>
      <c r="C639" s="18">
        <v>10.0</v>
      </c>
      <c r="D639" s="18" t="s">
        <v>699</v>
      </c>
      <c r="F639" s="14" t="s">
        <v>46</v>
      </c>
    </row>
    <row r="640" ht="22.5" customHeight="1">
      <c r="A640" s="18">
        <v>640.0</v>
      </c>
      <c r="B640" s="27">
        <v>23.0</v>
      </c>
      <c r="C640" s="18">
        <v>10.0</v>
      </c>
      <c r="D640" s="18" t="s">
        <v>699</v>
      </c>
      <c r="F640" s="14" t="s">
        <v>46</v>
      </c>
    </row>
    <row r="641" ht="22.5" customHeight="1">
      <c r="A641" s="18">
        <v>641.0</v>
      </c>
      <c r="B641" s="27">
        <v>24.0</v>
      </c>
      <c r="C641" s="18">
        <v>10.0</v>
      </c>
      <c r="D641" s="18" t="s">
        <v>699</v>
      </c>
      <c r="F641" s="14" t="s">
        <v>46</v>
      </c>
    </row>
    <row r="642" ht="22.5" customHeight="1">
      <c r="A642" s="18">
        <v>642.0</v>
      </c>
      <c r="B642" s="27">
        <v>25.0</v>
      </c>
      <c r="C642" s="18">
        <v>10.0</v>
      </c>
      <c r="D642" s="18" t="s">
        <v>699</v>
      </c>
      <c r="F642" s="14" t="s">
        <v>46</v>
      </c>
    </row>
    <row r="643" ht="22.5" customHeight="1">
      <c r="A643" s="18">
        <v>643.0</v>
      </c>
      <c r="B643" s="27">
        <v>26.0</v>
      </c>
      <c r="C643" s="18">
        <v>10.0</v>
      </c>
      <c r="D643" s="18" t="s">
        <v>699</v>
      </c>
      <c r="F643" s="14" t="s">
        <v>46</v>
      </c>
    </row>
    <row r="644" ht="22.5" customHeight="1">
      <c r="A644" s="18">
        <v>644.0</v>
      </c>
      <c r="B644" s="27">
        <v>27.0</v>
      </c>
      <c r="C644" s="18">
        <v>10.0</v>
      </c>
      <c r="D644" s="18" t="s">
        <v>699</v>
      </c>
      <c r="F644" s="14" t="s">
        <v>46</v>
      </c>
    </row>
    <row r="645" ht="22.5" customHeight="1">
      <c r="A645" s="18">
        <v>645.0</v>
      </c>
      <c r="B645" s="27">
        <v>28.0</v>
      </c>
      <c r="C645" s="18">
        <v>10.0</v>
      </c>
      <c r="D645" s="18" t="s">
        <v>699</v>
      </c>
      <c r="F645" s="14" t="s">
        <v>46</v>
      </c>
    </row>
    <row r="646" ht="22.5" customHeight="1">
      <c r="A646" s="18">
        <v>646.0</v>
      </c>
      <c r="B646" s="27">
        <v>29.0</v>
      </c>
      <c r="C646" s="18">
        <v>10.0</v>
      </c>
      <c r="D646" s="18" t="s">
        <v>699</v>
      </c>
      <c r="F646" s="14" t="s">
        <v>46</v>
      </c>
    </row>
    <row r="647" ht="22.5" customHeight="1">
      <c r="A647" s="18">
        <v>647.0</v>
      </c>
      <c r="B647" s="27">
        <v>30.0</v>
      </c>
      <c r="C647" s="18">
        <v>10.0</v>
      </c>
      <c r="D647" s="18" t="s">
        <v>699</v>
      </c>
      <c r="F647" s="14" t="s">
        <v>46</v>
      </c>
    </row>
    <row r="648" ht="22.5" customHeight="1">
      <c r="A648" s="18">
        <v>648.0</v>
      </c>
      <c r="B648" s="27">
        <v>31.0</v>
      </c>
      <c r="C648" s="18">
        <v>10.0</v>
      </c>
      <c r="D648" s="18" t="s">
        <v>699</v>
      </c>
      <c r="F648" s="14" t="s">
        <v>46</v>
      </c>
    </row>
    <row r="649" ht="22.5" customHeight="1">
      <c r="A649" s="18">
        <v>649.0</v>
      </c>
      <c r="B649" s="27">
        <v>32.0</v>
      </c>
      <c r="C649" s="18">
        <v>10.0</v>
      </c>
      <c r="D649" s="18" t="s">
        <v>699</v>
      </c>
      <c r="F649" s="14" t="s">
        <v>46</v>
      </c>
    </row>
    <row r="650" ht="22.5" customHeight="1">
      <c r="A650" s="18">
        <v>650.0</v>
      </c>
      <c r="B650" s="27">
        <v>33.0</v>
      </c>
      <c r="C650" s="18">
        <v>10.0</v>
      </c>
      <c r="D650" s="18" t="s">
        <v>699</v>
      </c>
      <c r="F650" s="14" t="s">
        <v>46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699</v>
      </c>
      <c r="F651" s="14" t="s">
        <v>46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699</v>
      </c>
      <c r="F652" s="14" t="s">
        <v>46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699</v>
      </c>
      <c r="F653" s="14" t="s">
        <v>46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699</v>
      </c>
      <c r="F654" s="14" t="s">
        <v>46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699</v>
      </c>
      <c r="F655" s="14" t="s">
        <v>46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699</v>
      </c>
      <c r="F656" s="14" t="s">
        <v>46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699</v>
      </c>
      <c r="F657" s="14" t="s">
        <v>46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699</v>
      </c>
      <c r="F658" s="14" t="s">
        <v>46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699</v>
      </c>
      <c r="F659" s="14" t="s">
        <v>46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699</v>
      </c>
      <c r="F660" s="14" t="s">
        <v>46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699</v>
      </c>
      <c r="F661" s="14" t="s">
        <v>46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789</v>
      </c>
      <c r="E662" s="18" t="s">
        <v>1490</v>
      </c>
      <c r="F662" s="14" t="s">
        <v>46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699</v>
      </c>
      <c r="F663" s="14" t="s">
        <v>46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699</v>
      </c>
      <c r="F664" s="14" t="s">
        <v>46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699</v>
      </c>
      <c r="F665" s="14" t="s">
        <v>46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699</v>
      </c>
      <c r="F666" s="14" t="s">
        <v>46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699</v>
      </c>
      <c r="F667" s="14" t="s">
        <v>46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699</v>
      </c>
      <c r="F668" s="14" t="s">
        <v>46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699</v>
      </c>
      <c r="F669" s="14" t="s">
        <v>46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699</v>
      </c>
      <c r="F670" s="14" t="s">
        <v>46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699</v>
      </c>
      <c r="F671" s="14" t="s">
        <v>46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699</v>
      </c>
      <c r="F672" s="14" t="s">
        <v>46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699</v>
      </c>
      <c r="F673" s="14" t="s">
        <v>46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699</v>
      </c>
      <c r="F674" s="14" t="s">
        <v>46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699</v>
      </c>
      <c r="F675" s="14" t="s">
        <v>46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699</v>
      </c>
      <c r="F676" s="14" t="s">
        <v>46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699</v>
      </c>
      <c r="F677" s="14" t="s">
        <v>46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789</v>
      </c>
      <c r="E678" s="18" t="s">
        <v>1491</v>
      </c>
      <c r="F678" s="14" t="s">
        <v>46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699</v>
      </c>
      <c r="F679" s="14" t="s">
        <v>46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699</v>
      </c>
      <c r="F680" s="14" t="s">
        <v>46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699</v>
      </c>
      <c r="F681" s="14" t="s">
        <v>46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699</v>
      </c>
      <c r="F682" s="14" t="s">
        <v>46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699</v>
      </c>
      <c r="F683" s="14" t="s">
        <v>46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699</v>
      </c>
      <c r="F684" s="14" t="s">
        <v>46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699</v>
      </c>
      <c r="F685" s="14" t="s">
        <v>46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699</v>
      </c>
      <c r="F686" s="14" t="s">
        <v>46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699</v>
      </c>
      <c r="F687" s="14" t="s">
        <v>46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699</v>
      </c>
      <c r="F688" s="14" t="s">
        <v>46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699</v>
      </c>
      <c r="F689" s="14" t="s">
        <v>46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699</v>
      </c>
      <c r="F690" s="14" t="s">
        <v>46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699</v>
      </c>
      <c r="F691" s="14" t="s">
        <v>46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699</v>
      </c>
      <c r="F692" s="14" t="s">
        <v>46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699</v>
      </c>
      <c r="F693" s="14" t="s">
        <v>46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699</v>
      </c>
      <c r="F694" s="14" t="s">
        <v>46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699</v>
      </c>
      <c r="F695" s="14" t="s">
        <v>46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699</v>
      </c>
      <c r="F696" s="14" t="s">
        <v>46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699</v>
      </c>
      <c r="F697" s="14" t="s">
        <v>46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699</v>
      </c>
      <c r="F698" s="14" t="s">
        <v>46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699</v>
      </c>
      <c r="F699" s="14" t="s">
        <v>46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699</v>
      </c>
      <c r="F700" s="14" t="s">
        <v>46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699</v>
      </c>
      <c r="F701" s="14" t="s">
        <v>46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699</v>
      </c>
      <c r="F702" s="14" t="s">
        <v>46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699</v>
      </c>
      <c r="F703" s="14" t="s">
        <v>46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699</v>
      </c>
      <c r="F704" s="14" t="s">
        <v>46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699</v>
      </c>
      <c r="F705" s="14" t="s">
        <v>46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699</v>
      </c>
      <c r="F706" s="14" t="s">
        <v>46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699</v>
      </c>
      <c r="F707" s="14" t="s">
        <v>46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699</v>
      </c>
      <c r="F708" s="14" t="s">
        <v>46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699</v>
      </c>
      <c r="F709" s="14" t="s">
        <v>46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699</v>
      </c>
      <c r="F710" s="14" t="s">
        <v>46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699</v>
      </c>
      <c r="F711" s="14" t="s">
        <v>46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699</v>
      </c>
      <c r="F712" s="14" t="s">
        <v>46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699</v>
      </c>
      <c r="F713" s="14" t="s">
        <v>46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699</v>
      </c>
      <c r="F714" s="14" t="s">
        <v>46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699</v>
      </c>
      <c r="F715" s="14" t="s">
        <v>46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699</v>
      </c>
      <c r="F716" s="14" t="s">
        <v>46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699</v>
      </c>
      <c r="F717" s="14" t="s">
        <v>46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699</v>
      </c>
      <c r="F718" s="14" t="s">
        <v>46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699</v>
      </c>
      <c r="F719" s="14" t="s">
        <v>46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699</v>
      </c>
      <c r="F720" s="14" t="s">
        <v>46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699</v>
      </c>
      <c r="F721" s="14" t="s">
        <v>46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699</v>
      </c>
      <c r="F722" s="14" t="s">
        <v>46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699</v>
      </c>
      <c r="F723" s="14" t="s">
        <v>46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699</v>
      </c>
      <c r="F724" s="14" t="s">
        <v>46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699</v>
      </c>
      <c r="F725" s="14" t="s">
        <v>46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699</v>
      </c>
      <c r="F726" s="14" t="s">
        <v>46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699</v>
      </c>
      <c r="F727" s="14" t="s">
        <v>46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699</v>
      </c>
      <c r="F728" s="14" t="s">
        <v>46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699</v>
      </c>
      <c r="F729" s="14" t="s">
        <v>46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699</v>
      </c>
      <c r="F730" s="14" t="s">
        <v>46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699</v>
      </c>
      <c r="F731" s="14" t="s">
        <v>46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699</v>
      </c>
      <c r="F732" s="14" t="s">
        <v>46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699</v>
      </c>
      <c r="F733" s="14" t="s">
        <v>46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699</v>
      </c>
      <c r="F734" s="14" t="s">
        <v>46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699</v>
      </c>
      <c r="F735" s="14" t="s">
        <v>46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699</v>
      </c>
      <c r="F736" s="14" t="s">
        <v>46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699</v>
      </c>
      <c r="F737" s="14" t="s">
        <v>46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699</v>
      </c>
      <c r="F738" s="14" t="s">
        <v>46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699</v>
      </c>
      <c r="F739" s="14" t="s">
        <v>46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699</v>
      </c>
      <c r="F740" s="14" t="s">
        <v>46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699</v>
      </c>
      <c r="F741" s="14" t="s">
        <v>46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699</v>
      </c>
      <c r="F742" s="14" t="s">
        <v>46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699</v>
      </c>
      <c r="F743" s="14" t="s">
        <v>46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699</v>
      </c>
      <c r="F744" s="14" t="s">
        <v>46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699</v>
      </c>
      <c r="F745" s="14" t="s">
        <v>46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699</v>
      </c>
      <c r="F746" s="14" t="s">
        <v>46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699</v>
      </c>
      <c r="F747" s="14" t="s">
        <v>46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699</v>
      </c>
      <c r="F748" s="14" t="s">
        <v>46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699</v>
      </c>
      <c r="F749" s="14" t="s">
        <v>46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699</v>
      </c>
      <c r="F750" s="14" t="s">
        <v>46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699</v>
      </c>
      <c r="F751" s="14" t="s">
        <v>46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699</v>
      </c>
      <c r="F752" s="14" t="s">
        <v>46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699</v>
      </c>
      <c r="F753" s="14" t="s">
        <v>46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699</v>
      </c>
      <c r="F754" s="14" t="s">
        <v>46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699</v>
      </c>
      <c r="F755" s="14" t="s">
        <v>46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699</v>
      </c>
      <c r="F756" s="14" t="s">
        <v>46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699</v>
      </c>
      <c r="F757" s="14" t="s">
        <v>46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699</v>
      </c>
      <c r="F758" s="14" t="s">
        <v>46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699</v>
      </c>
      <c r="F759" s="14" t="s">
        <v>46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699</v>
      </c>
      <c r="F760" s="14" t="s">
        <v>46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699</v>
      </c>
      <c r="F761" s="14" t="s">
        <v>46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699</v>
      </c>
      <c r="F762" s="14" t="s">
        <v>46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699</v>
      </c>
      <c r="F763" s="14" t="s">
        <v>46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699</v>
      </c>
      <c r="F764" s="14" t="s">
        <v>46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699</v>
      </c>
      <c r="F765" s="14" t="s">
        <v>46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699</v>
      </c>
      <c r="F766" s="14" t="s">
        <v>46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699</v>
      </c>
      <c r="F767" s="14" t="s">
        <v>46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699</v>
      </c>
      <c r="F768" s="14" t="s">
        <v>46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699</v>
      </c>
      <c r="F769" s="14" t="s">
        <v>46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699</v>
      </c>
      <c r="F770" s="14" t="s">
        <v>46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699</v>
      </c>
      <c r="F771" s="14" t="s">
        <v>46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699</v>
      </c>
      <c r="F772" s="14" t="s">
        <v>46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699</v>
      </c>
      <c r="F773" s="14" t="s">
        <v>46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699</v>
      </c>
      <c r="F774" s="14" t="s">
        <v>46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699</v>
      </c>
      <c r="F775" s="14" t="s">
        <v>46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699</v>
      </c>
      <c r="F776" s="14" t="s">
        <v>46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699</v>
      </c>
      <c r="F777" s="14" t="s">
        <v>46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699</v>
      </c>
      <c r="F778" s="14" t="s">
        <v>46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699</v>
      </c>
      <c r="F779" s="14" t="s">
        <v>46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699</v>
      </c>
      <c r="F780" s="14" t="s">
        <v>46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699</v>
      </c>
      <c r="F781" s="14" t="s">
        <v>46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699</v>
      </c>
      <c r="F782" s="14" t="s">
        <v>46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699</v>
      </c>
      <c r="F783" s="14" t="s">
        <v>46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699</v>
      </c>
      <c r="F784" s="14" t="s">
        <v>46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699</v>
      </c>
      <c r="F785" s="14" t="s">
        <v>46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699</v>
      </c>
      <c r="F786" s="14" t="s">
        <v>46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699</v>
      </c>
      <c r="F787" s="14" t="s">
        <v>46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699</v>
      </c>
      <c r="F788" s="14" t="s">
        <v>46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699</v>
      </c>
      <c r="F789" s="14" t="s">
        <v>46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699</v>
      </c>
      <c r="F790" s="14" t="s">
        <v>46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699</v>
      </c>
      <c r="F791" s="14" t="s">
        <v>46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699</v>
      </c>
      <c r="F792" s="14" t="s">
        <v>46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699</v>
      </c>
      <c r="F793" s="14" t="s">
        <v>46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699</v>
      </c>
      <c r="F794" s="14" t="s">
        <v>46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699</v>
      </c>
      <c r="F795" s="14" t="s">
        <v>46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699</v>
      </c>
      <c r="F796" s="14" t="s">
        <v>46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699</v>
      </c>
      <c r="F797" s="14" t="s">
        <v>46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699</v>
      </c>
      <c r="F798" s="14" t="s">
        <v>46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699</v>
      </c>
      <c r="F799" s="14" t="s">
        <v>46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699</v>
      </c>
      <c r="F800" s="14" t="s">
        <v>46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699</v>
      </c>
      <c r="F801" s="14" t="s">
        <v>46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699</v>
      </c>
      <c r="F802" s="14" t="s">
        <v>46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699</v>
      </c>
      <c r="F803" s="14" t="s">
        <v>46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699</v>
      </c>
      <c r="F804" s="14" t="s">
        <v>46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699</v>
      </c>
      <c r="F805" s="14" t="s">
        <v>46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699</v>
      </c>
      <c r="F806" s="14" t="s">
        <v>46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699</v>
      </c>
      <c r="F807" s="14" t="s">
        <v>46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699</v>
      </c>
      <c r="F808" s="14" t="s">
        <v>46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699</v>
      </c>
      <c r="F809" s="14" t="s">
        <v>46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699</v>
      </c>
      <c r="F810" s="14" t="s">
        <v>46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699</v>
      </c>
      <c r="F811" s="14" t="s">
        <v>46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699</v>
      </c>
      <c r="F812" s="14" t="s">
        <v>46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699</v>
      </c>
      <c r="F813" s="14" t="s">
        <v>46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699</v>
      </c>
      <c r="F814" s="14" t="s">
        <v>46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699</v>
      </c>
      <c r="F815" s="14" t="s">
        <v>46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699</v>
      </c>
      <c r="F816" s="14" t="s">
        <v>46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699</v>
      </c>
      <c r="F817" s="14" t="s">
        <v>46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699</v>
      </c>
      <c r="F818" s="14" t="s">
        <v>46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699</v>
      </c>
      <c r="F819" s="14" t="s">
        <v>46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699</v>
      </c>
      <c r="F820" s="14" t="s">
        <v>46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699</v>
      </c>
      <c r="F821" s="14" t="s">
        <v>46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699</v>
      </c>
      <c r="F822" s="14" t="s">
        <v>46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699</v>
      </c>
      <c r="F823" s="14" t="s">
        <v>46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699</v>
      </c>
      <c r="F824" s="14" t="s">
        <v>46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699</v>
      </c>
      <c r="F825" s="14" t="s">
        <v>46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699</v>
      </c>
      <c r="F826" s="14" t="s">
        <v>46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699</v>
      </c>
      <c r="F827" s="14" t="s">
        <v>46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699</v>
      </c>
      <c r="F828" s="14" t="s">
        <v>46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699</v>
      </c>
      <c r="F829" s="14" t="s">
        <v>46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699</v>
      </c>
      <c r="F830" s="14" t="s">
        <v>46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699</v>
      </c>
      <c r="F831" s="14" t="s">
        <v>46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699</v>
      </c>
      <c r="F832" s="14" t="s">
        <v>46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699</v>
      </c>
      <c r="F833" s="14" t="s">
        <v>46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699</v>
      </c>
      <c r="F834" s="14" t="s">
        <v>46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699</v>
      </c>
      <c r="F835" s="14" t="s">
        <v>46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699</v>
      </c>
      <c r="F836" s="14" t="s">
        <v>46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699</v>
      </c>
      <c r="F837" s="14" t="s">
        <v>46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699</v>
      </c>
      <c r="F838" s="14" t="s">
        <v>46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699</v>
      </c>
      <c r="F839" s="14" t="s">
        <v>46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699</v>
      </c>
      <c r="F840" s="14" t="s">
        <v>46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699</v>
      </c>
      <c r="F841" s="14" t="s">
        <v>46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699</v>
      </c>
      <c r="F842" s="14" t="s">
        <v>46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699</v>
      </c>
      <c r="F843" s="14" t="s">
        <v>46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699</v>
      </c>
      <c r="F844" s="14" t="s">
        <v>46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699</v>
      </c>
      <c r="F845" s="14" t="s">
        <v>46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699</v>
      </c>
      <c r="F846" s="14" t="s">
        <v>46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699</v>
      </c>
      <c r="F847" s="14" t="s">
        <v>46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699</v>
      </c>
      <c r="F848" s="14" t="s">
        <v>46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699</v>
      </c>
      <c r="F849" s="14" t="s">
        <v>46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699</v>
      </c>
      <c r="F850" s="14" t="s">
        <v>46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699</v>
      </c>
      <c r="F851" s="14" t="s">
        <v>46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699</v>
      </c>
      <c r="F852" s="14" t="s">
        <v>46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699</v>
      </c>
      <c r="F853" s="14" t="s">
        <v>46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699</v>
      </c>
      <c r="F854" s="14" t="s">
        <v>46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699</v>
      </c>
      <c r="F855" s="14" t="s">
        <v>46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699</v>
      </c>
      <c r="F856" s="14" t="s">
        <v>46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699</v>
      </c>
      <c r="F857" s="14" t="s">
        <v>46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699</v>
      </c>
      <c r="F858" s="14" t="s">
        <v>46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699</v>
      </c>
      <c r="F859" s="14" t="s">
        <v>46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699</v>
      </c>
      <c r="F860" s="14" t="s">
        <v>46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699</v>
      </c>
      <c r="F861" s="14" t="s">
        <v>46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699</v>
      </c>
      <c r="F862" s="14" t="s">
        <v>46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699</v>
      </c>
      <c r="F863" s="14" t="s">
        <v>46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699</v>
      </c>
      <c r="F864" s="14" t="s">
        <v>46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699</v>
      </c>
      <c r="F865" s="14" t="s">
        <v>46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699</v>
      </c>
      <c r="F866" s="14" t="s">
        <v>46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699</v>
      </c>
      <c r="F867" s="14" t="s">
        <v>46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699</v>
      </c>
      <c r="F868" s="14" t="s">
        <v>46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699</v>
      </c>
      <c r="F869" s="14" t="s">
        <v>46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699</v>
      </c>
      <c r="F870" s="14" t="s">
        <v>46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699</v>
      </c>
      <c r="F871" s="14" t="s">
        <v>46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699</v>
      </c>
      <c r="F872" s="14" t="s">
        <v>46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699</v>
      </c>
      <c r="F873" s="14" t="s">
        <v>46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699</v>
      </c>
      <c r="F874" s="14" t="s">
        <v>46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699</v>
      </c>
      <c r="F875" s="14" t="s">
        <v>46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699</v>
      </c>
      <c r="F876" s="14" t="s">
        <v>46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699</v>
      </c>
      <c r="F877" s="14" t="s">
        <v>46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699</v>
      </c>
      <c r="F878" s="14" t="s">
        <v>46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699</v>
      </c>
      <c r="F879" s="14" t="s">
        <v>46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699</v>
      </c>
      <c r="F880" s="14" t="s">
        <v>46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699</v>
      </c>
      <c r="F881" s="14" t="s">
        <v>46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699</v>
      </c>
      <c r="F882" s="14" t="s">
        <v>46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699</v>
      </c>
      <c r="F883" s="14" t="s">
        <v>46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699</v>
      </c>
      <c r="F884" s="14" t="s">
        <v>46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699</v>
      </c>
      <c r="F885" s="14" t="s">
        <v>46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699</v>
      </c>
      <c r="F886" s="14" t="s">
        <v>46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699</v>
      </c>
      <c r="F887" s="14" t="s">
        <v>46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699</v>
      </c>
      <c r="F888" s="14" t="s">
        <v>46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699</v>
      </c>
      <c r="F889" s="14" t="s">
        <v>46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699</v>
      </c>
      <c r="F890" s="14" t="s">
        <v>46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699</v>
      </c>
      <c r="F891" s="14" t="s">
        <v>46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699</v>
      </c>
      <c r="F892" s="14" t="s">
        <v>46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699</v>
      </c>
      <c r="F893" s="14" t="s">
        <v>46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699</v>
      </c>
      <c r="F894" s="14" t="s">
        <v>46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699</v>
      </c>
      <c r="F895" s="14" t="s">
        <v>46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699</v>
      </c>
      <c r="F896" s="14" t="s">
        <v>46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699</v>
      </c>
      <c r="F897" s="14" t="s">
        <v>46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699</v>
      </c>
      <c r="F898" s="14" t="s">
        <v>46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699</v>
      </c>
      <c r="F899" s="14" t="s">
        <v>46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699</v>
      </c>
      <c r="F900" s="14" t="s">
        <v>46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699</v>
      </c>
      <c r="F901" s="14" t="s">
        <v>46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699</v>
      </c>
      <c r="F902" s="14" t="s">
        <v>46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699</v>
      </c>
      <c r="F903" s="14" t="s">
        <v>46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699</v>
      </c>
      <c r="F904" s="14" t="s">
        <v>46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699</v>
      </c>
      <c r="F905" s="14" t="s">
        <v>46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699</v>
      </c>
      <c r="F906" s="14" t="s">
        <v>46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699</v>
      </c>
      <c r="F907" s="14" t="s">
        <v>46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699</v>
      </c>
      <c r="F908" s="14" t="s">
        <v>46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699</v>
      </c>
      <c r="F909" s="14" t="s">
        <v>46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699</v>
      </c>
      <c r="F910" s="14" t="s">
        <v>46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699</v>
      </c>
      <c r="F911" s="14" t="s">
        <v>46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699</v>
      </c>
      <c r="F912" s="14" t="s">
        <v>46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699</v>
      </c>
      <c r="F913" s="14" t="s">
        <v>46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699</v>
      </c>
      <c r="F914" s="14" t="s">
        <v>46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699</v>
      </c>
      <c r="F915" s="14" t="s">
        <v>46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699</v>
      </c>
      <c r="F916" s="14" t="s">
        <v>46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699</v>
      </c>
      <c r="F917" s="14" t="s">
        <v>46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699</v>
      </c>
      <c r="F918" s="14" t="s">
        <v>46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699</v>
      </c>
      <c r="F919" s="14" t="s">
        <v>46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699</v>
      </c>
      <c r="F920" s="14" t="s">
        <v>46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699</v>
      </c>
      <c r="F921" s="14" t="s">
        <v>46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699</v>
      </c>
      <c r="F922" s="14" t="s">
        <v>46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699</v>
      </c>
      <c r="F923" s="14" t="s">
        <v>46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699</v>
      </c>
      <c r="F924" s="14" t="s">
        <v>46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699</v>
      </c>
      <c r="F925" s="14" t="s">
        <v>46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699</v>
      </c>
      <c r="F926" s="14" t="s">
        <v>46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699</v>
      </c>
      <c r="F927" s="14" t="s">
        <v>46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699</v>
      </c>
      <c r="F928" s="14" t="s">
        <v>46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699</v>
      </c>
      <c r="F929" s="14" t="s">
        <v>46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699</v>
      </c>
      <c r="F930" s="14" t="s">
        <v>46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699</v>
      </c>
      <c r="F931" s="14" t="s">
        <v>46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699</v>
      </c>
      <c r="F932" s="14" t="s">
        <v>46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699</v>
      </c>
      <c r="F933" s="14" t="s">
        <v>46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699</v>
      </c>
      <c r="F934" s="14" t="s">
        <v>46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699</v>
      </c>
      <c r="F935" s="14" t="s">
        <v>46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699</v>
      </c>
      <c r="F936" s="14" t="s">
        <v>46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699</v>
      </c>
      <c r="F937" s="14" t="s">
        <v>46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699</v>
      </c>
      <c r="F938" s="14" t="s">
        <v>46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699</v>
      </c>
      <c r="F939" s="14" t="s">
        <v>46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699</v>
      </c>
      <c r="F940" s="14" t="s">
        <v>46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699</v>
      </c>
      <c r="F941" s="14" t="s">
        <v>46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699</v>
      </c>
      <c r="F942" s="14" t="s">
        <v>46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699</v>
      </c>
      <c r="F943" s="14" t="s">
        <v>46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699</v>
      </c>
      <c r="F944" s="14" t="s">
        <v>46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699</v>
      </c>
      <c r="F945" s="14" t="s">
        <v>46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699</v>
      </c>
      <c r="F946" s="14" t="s">
        <v>46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699</v>
      </c>
      <c r="F947" s="14" t="s">
        <v>46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699</v>
      </c>
      <c r="F948" s="14" t="s">
        <v>46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699</v>
      </c>
      <c r="F949" s="14" t="s">
        <v>46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699</v>
      </c>
      <c r="F950" s="14" t="s">
        <v>46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699</v>
      </c>
      <c r="F951" s="14" t="s">
        <v>46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699</v>
      </c>
      <c r="F952" s="14" t="s">
        <v>46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699</v>
      </c>
      <c r="F953" s="14" t="s">
        <v>46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699</v>
      </c>
      <c r="F954" s="14" t="s">
        <v>46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699</v>
      </c>
      <c r="F955" s="14" t="s">
        <v>46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699</v>
      </c>
      <c r="F956" s="14" t="s">
        <v>46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699</v>
      </c>
      <c r="F957" s="14" t="s">
        <v>46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699</v>
      </c>
      <c r="F958" s="14" t="s">
        <v>46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699</v>
      </c>
      <c r="F959" s="14" t="s">
        <v>46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699</v>
      </c>
      <c r="F960" s="14" t="s">
        <v>46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699</v>
      </c>
      <c r="F961" s="14" t="s">
        <v>46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699</v>
      </c>
      <c r="F962" s="14" t="s">
        <v>46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699</v>
      </c>
      <c r="F963" s="14" t="s">
        <v>46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699</v>
      </c>
      <c r="F964" s="14" t="s">
        <v>46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699</v>
      </c>
      <c r="F965" s="14" t="s">
        <v>46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699</v>
      </c>
      <c r="F966" s="14" t="s">
        <v>46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699</v>
      </c>
      <c r="F967" s="14" t="s">
        <v>46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699</v>
      </c>
      <c r="F968" s="14" t="s">
        <v>46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699</v>
      </c>
      <c r="F969" s="14" t="s">
        <v>46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789</v>
      </c>
      <c r="E970" s="18" t="s">
        <v>1493</v>
      </c>
      <c r="F970" s="14" t="s">
        <v>46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699</v>
      </c>
      <c r="F971" s="14" t="s">
        <v>46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699</v>
      </c>
      <c r="F972" s="14" t="s">
        <v>46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699</v>
      </c>
      <c r="F973" s="14" t="s">
        <v>46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699</v>
      </c>
      <c r="F974" s="14" t="s">
        <v>46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699</v>
      </c>
      <c r="F975" s="14" t="s">
        <v>46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699</v>
      </c>
      <c r="F976" s="14" t="s">
        <v>46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699</v>
      </c>
      <c r="F977" s="14" t="s">
        <v>46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699</v>
      </c>
      <c r="F978" s="14" t="s">
        <v>46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699</v>
      </c>
      <c r="F979" s="14" t="s">
        <v>46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699</v>
      </c>
      <c r="F980" s="14" t="s">
        <v>46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699</v>
      </c>
      <c r="F981" s="14" t="s">
        <v>46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699</v>
      </c>
      <c r="F982" s="14" t="s">
        <v>46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699</v>
      </c>
      <c r="F983" s="14" t="s">
        <v>46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699</v>
      </c>
      <c r="F984" s="14" t="s">
        <v>46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699</v>
      </c>
      <c r="F985" s="14" t="s">
        <v>46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699</v>
      </c>
      <c r="F986" s="14" t="s">
        <v>46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699</v>
      </c>
      <c r="F987" s="14" t="s">
        <v>46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699</v>
      </c>
      <c r="F988" s="14" t="s">
        <v>46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699</v>
      </c>
      <c r="F989" s="14" t="s">
        <v>46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699</v>
      </c>
      <c r="F990" s="14" t="s">
        <v>46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699</v>
      </c>
      <c r="F991" s="14" t="s">
        <v>46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699</v>
      </c>
      <c r="F992" s="14" t="s">
        <v>46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699</v>
      </c>
      <c r="F993" s="14" t="s">
        <v>46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699</v>
      </c>
      <c r="F994" s="14" t="s">
        <v>46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699</v>
      </c>
      <c r="F995" s="14" t="s">
        <v>46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789</v>
      </c>
      <c r="E996" s="18" t="s">
        <v>1494</v>
      </c>
      <c r="F996" s="14" t="s">
        <v>46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699</v>
      </c>
      <c r="F997" s="14" t="s">
        <v>46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699</v>
      </c>
      <c r="F998" s="14" t="s">
        <v>46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699</v>
      </c>
      <c r="F999" s="14" t="s">
        <v>46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699</v>
      </c>
      <c r="F1000" s="14" t="s">
        <v>46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699</v>
      </c>
      <c r="F1001" s="14" t="s">
        <v>46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699</v>
      </c>
      <c r="F1002" s="14" t="s">
        <v>46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699</v>
      </c>
      <c r="F1003" s="14" t="s">
        <v>46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699</v>
      </c>
      <c r="F1004" s="14" t="s">
        <v>46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699</v>
      </c>
      <c r="F1005" s="14" t="s">
        <v>46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699</v>
      </c>
      <c r="F1006" s="14" t="s">
        <v>46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699</v>
      </c>
      <c r="F1007" s="14" t="s">
        <v>46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699</v>
      </c>
      <c r="F1008" s="14" t="s">
        <v>46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699</v>
      </c>
      <c r="F1009" s="14" t="s">
        <v>46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699</v>
      </c>
      <c r="F1010" s="14" t="s">
        <v>46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699</v>
      </c>
      <c r="F1011" s="14" t="s">
        <v>46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699</v>
      </c>
      <c r="F1012" s="14" t="s">
        <v>46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699</v>
      </c>
      <c r="F1013" s="14" t="s">
        <v>46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699</v>
      </c>
      <c r="F1014" s="14" t="s">
        <v>46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699</v>
      </c>
      <c r="F1015" s="14" t="s">
        <v>46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699</v>
      </c>
      <c r="F1016" s="14" t="s">
        <v>46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699</v>
      </c>
      <c r="F1017" s="14" t="s">
        <v>46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699</v>
      </c>
      <c r="F1018" s="14" t="s">
        <v>46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699</v>
      </c>
      <c r="F1019" s="14" t="s">
        <v>46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699</v>
      </c>
      <c r="F1020" s="14" t="s">
        <v>46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699</v>
      </c>
      <c r="F1021" s="14" t="s">
        <v>46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699</v>
      </c>
      <c r="F1022" s="14" t="s">
        <v>46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699</v>
      </c>
      <c r="F1023" s="14" t="s">
        <v>46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699</v>
      </c>
      <c r="F1024" s="14" t="s">
        <v>46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699</v>
      </c>
      <c r="F1025" s="14" t="s">
        <v>46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699</v>
      </c>
      <c r="F1026" s="14" t="s">
        <v>46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699</v>
      </c>
      <c r="F1027" s="14" t="s">
        <v>46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699</v>
      </c>
      <c r="F1028" s="14" t="s">
        <v>46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699</v>
      </c>
      <c r="F1029" s="14" t="s">
        <v>46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699</v>
      </c>
      <c r="F1030" s="14" t="s">
        <v>46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699</v>
      </c>
      <c r="F1031" s="14" t="s">
        <v>46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699</v>
      </c>
      <c r="F1032" s="14" t="s">
        <v>46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699</v>
      </c>
      <c r="F1033" s="14" t="s">
        <v>46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699</v>
      </c>
      <c r="F1034" s="14" t="s">
        <v>46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699</v>
      </c>
      <c r="F1035" s="14" t="s">
        <v>46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699</v>
      </c>
      <c r="F1036" s="14" t="s">
        <v>46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699</v>
      </c>
      <c r="F1037" s="14" t="s">
        <v>46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699</v>
      </c>
      <c r="F1038" s="14" t="s">
        <v>46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699</v>
      </c>
      <c r="F1039" s="14" t="s">
        <v>46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699</v>
      </c>
      <c r="F1040" s="14" t="s">
        <v>46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699</v>
      </c>
      <c r="F1041" s="14" t="s">
        <v>46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699</v>
      </c>
      <c r="F1042" s="14" t="s">
        <v>46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699</v>
      </c>
      <c r="F1043" s="14" t="s">
        <v>46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699</v>
      </c>
      <c r="F1044" s="14" t="s">
        <v>46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699</v>
      </c>
      <c r="F1045" s="14" t="s">
        <v>46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699</v>
      </c>
      <c r="F1046" s="14" t="s">
        <v>46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699</v>
      </c>
      <c r="F1047" s="14" t="s">
        <v>46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699</v>
      </c>
      <c r="F1048" s="14" t="s">
        <v>46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699</v>
      </c>
      <c r="F1049" s="14" t="s">
        <v>46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699</v>
      </c>
      <c r="F1050" s="14" t="s">
        <v>46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699</v>
      </c>
      <c r="F1051" s="14" t="s">
        <v>46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699</v>
      </c>
      <c r="F1052" s="14" t="s">
        <v>46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699</v>
      </c>
      <c r="F1053" s="14" t="s">
        <v>46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699</v>
      </c>
      <c r="F1054" s="14" t="s">
        <v>46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699</v>
      </c>
      <c r="F1055" s="14" t="s">
        <v>46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699</v>
      </c>
      <c r="F1056" s="14" t="s">
        <v>46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699</v>
      </c>
      <c r="F1057" s="14" t="s">
        <v>46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699</v>
      </c>
      <c r="F1058" s="14" t="s">
        <v>46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699</v>
      </c>
      <c r="F1059" s="14" t="s">
        <v>46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699</v>
      </c>
      <c r="F1060" s="14" t="s">
        <v>46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699</v>
      </c>
      <c r="F1061" s="14" t="s">
        <v>46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699</v>
      </c>
      <c r="F1062" s="14" t="s">
        <v>46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699</v>
      </c>
      <c r="F1063" s="14" t="s">
        <v>46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699</v>
      </c>
      <c r="F1064" s="14" t="s">
        <v>46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699</v>
      </c>
      <c r="F1065" s="14" t="s">
        <v>46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699</v>
      </c>
      <c r="F1066" s="14" t="s">
        <v>46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699</v>
      </c>
      <c r="F1067" s="14" t="s">
        <v>46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699</v>
      </c>
      <c r="F1068" s="14" t="s">
        <v>46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699</v>
      </c>
      <c r="F1069" s="14" t="s">
        <v>46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699</v>
      </c>
      <c r="F1070" s="14" t="s">
        <v>46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699</v>
      </c>
      <c r="F1071" s="14" t="s">
        <v>46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699</v>
      </c>
      <c r="F1072" s="14" t="s">
        <v>46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699</v>
      </c>
      <c r="F1073" s="14" t="s">
        <v>46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699</v>
      </c>
      <c r="F1074" s="14" t="s">
        <v>46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699</v>
      </c>
      <c r="F1075" s="14" t="s">
        <v>46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699</v>
      </c>
      <c r="F1076" s="14" t="s">
        <v>46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699</v>
      </c>
      <c r="F1077" s="14" t="s">
        <v>46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699</v>
      </c>
      <c r="F1078" s="14" t="s">
        <v>46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699</v>
      </c>
      <c r="F1079" s="14" t="s">
        <v>46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699</v>
      </c>
      <c r="F1080" s="14" t="s">
        <v>46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699</v>
      </c>
      <c r="F1081" s="14" t="s">
        <v>46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699</v>
      </c>
      <c r="F1082" s="14" t="s">
        <v>46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699</v>
      </c>
      <c r="F1083" s="14" t="s">
        <v>46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699</v>
      </c>
      <c r="F1084" s="14" t="s">
        <v>46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699</v>
      </c>
      <c r="F1085" s="14" t="s">
        <v>46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699</v>
      </c>
      <c r="F1086" s="14" t="s">
        <v>46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699</v>
      </c>
      <c r="F1087" s="14" t="s">
        <v>46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699</v>
      </c>
      <c r="F1088" s="14" t="s">
        <v>46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699</v>
      </c>
      <c r="F1089" s="14" t="s">
        <v>46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699</v>
      </c>
      <c r="F1090" s="14" t="s">
        <v>46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699</v>
      </c>
      <c r="F1091" s="14" t="s">
        <v>46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699</v>
      </c>
      <c r="F1092" s="14" t="s">
        <v>46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699</v>
      </c>
      <c r="F1093" s="14" t="s">
        <v>46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699</v>
      </c>
      <c r="F1094" s="14" t="s">
        <v>46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699</v>
      </c>
      <c r="F1095" s="14" t="s">
        <v>46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699</v>
      </c>
      <c r="F1096" s="14" t="s">
        <v>46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699</v>
      </c>
      <c r="F1097" s="14" t="s">
        <v>46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699</v>
      </c>
      <c r="F1098" s="14" t="s">
        <v>46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699</v>
      </c>
      <c r="F1099" s="14" t="s">
        <v>46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699</v>
      </c>
      <c r="F1100" s="14" t="s">
        <v>46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699</v>
      </c>
      <c r="F1101" s="14" t="s">
        <v>46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699</v>
      </c>
      <c r="F1102" s="14" t="s">
        <v>46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699</v>
      </c>
      <c r="F1103" s="14" t="s">
        <v>46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699</v>
      </c>
      <c r="F1104" s="14" t="s">
        <v>46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699</v>
      </c>
      <c r="F1105" s="14" t="s">
        <v>46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699</v>
      </c>
      <c r="F1106" s="14" t="s">
        <v>46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699</v>
      </c>
      <c r="F1107" s="14" t="s">
        <v>46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699</v>
      </c>
      <c r="F1108" s="14" t="s">
        <v>46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699</v>
      </c>
      <c r="F1109" s="14" t="s">
        <v>46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699</v>
      </c>
      <c r="F1110" s="14" t="s">
        <v>46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699</v>
      </c>
      <c r="F1111" s="14" t="s">
        <v>46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699</v>
      </c>
      <c r="F1112" s="14" t="s">
        <v>46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699</v>
      </c>
      <c r="F1113" s="14" t="s">
        <v>46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699</v>
      </c>
      <c r="F1114" s="14" t="s">
        <v>46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699</v>
      </c>
      <c r="F1115" s="14" t="s">
        <v>46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699</v>
      </c>
      <c r="F1116" s="14" t="s">
        <v>46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699</v>
      </c>
      <c r="F1117" s="14" t="s">
        <v>46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699</v>
      </c>
      <c r="F1118" s="14" t="s">
        <v>46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699</v>
      </c>
      <c r="F1119" s="14" t="s">
        <v>46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699</v>
      </c>
      <c r="F1120" s="14" t="s">
        <v>46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699</v>
      </c>
      <c r="F1121" s="14" t="s">
        <v>46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699</v>
      </c>
      <c r="F1122" s="14" t="s">
        <v>46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699</v>
      </c>
      <c r="F1123" s="14" t="s">
        <v>46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699</v>
      </c>
      <c r="F1124" s="14" t="s">
        <v>46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699</v>
      </c>
      <c r="F1125" s="14" t="s">
        <v>46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699</v>
      </c>
      <c r="F1126" s="14" t="s">
        <v>46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699</v>
      </c>
      <c r="F1127" s="14" t="s">
        <v>46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699</v>
      </c>
      <c r="F1128" s="14" t="s">
        <v>46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699</v>
      </c>
      <c r="F1129" s="14" t="s">
        <v>46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699</v>
      </c>
      <c r="F1130" s="14" t="s">
        <v>46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699</v>
      </c>
      <c r="F1131" s="14" t="s">
        <v>46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699</v>
      </c>
      <c r="F1132" s="14" t="s">
        <v>46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699</v>
      </c>
      <c r="F1133" s="14" t="s">
        <v>46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699</v>
      </c>
      <c r="F1134" s="14" t="s">
        <v>46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699</v>
      </c>
      <c r="F1135" s="14" t="s">
        <v>46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699</v>
      </c>
      <c r="F1136" s="14" t="s">
        <v>46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699</v>
      </c>
      <c r="F1137" s="14" t="s">
        <v>46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699</v>
      </c>
      <c r="F1138" s="14" t="s">
        <v>46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699</v>
      </c>
      <c r="F1139" s="14" t="s">
        <v>46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699</v>
      </c>
      <c r="F1140" s="14" t="s">
        <v>46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699</v>
      </c>
      <c r="F1141" s="14" t="s">
        <v>46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699</v>
      </c>
      <c r="F1142" s="14" t="s">
        <v>46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699</v>
      </c>
      <c r="F1143" s="14" t="s">
        <v>46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699</v>
      </c>
      <c r="F1144" s="14" t="s">
        <v>46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699</v>
      </c>
      <c r="F1145" s="14" t="s">
        <v>46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699</v>
      </c>
      <c r="F1146" s="14" t="s">
        <v>46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699</v>
      </c>
      <c r="F1147" s="14" t="s">
        <v>46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699</v>
      </c>
      <c r="F1148" s="14" t="s">
        <v>46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699</v>
      </c>
      <c r="F1149" s="14" t="s">
        <v>46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699</v>
      </c>
      <c r="F1150" s="14" t="s">
        <v>46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699</v>
      </c>
      <c r="F1151" s="14" t="s">
        <v>46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699</v>
      </c>
      <c r="F1152" s="14" t="s">
        <v>46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699</v>
      </c>
      <c r="F1153" s="14" t="s">
        <v>46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699</v>
      </c>
      <c r="F1154" s="14" t="s">
        <v>46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699</v>
      </c>
      <c r="F1155" s="14" t="s">
        <v>46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699</v>
      </c>
      <c r="F1156" s="14" t="s">
        <v>46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699</v>
      </c>
      <c r="F1157" s="14" t="s">
        <v>46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699</v>
      </c>
      <c r="F1158" s="14" t="s">
        <v>46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699</v>
      </c>
      <c r="F1159" s="14" t="s">
        <v>46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699</v>
      </c>
      <c r="F1160" s="14" t="s">
        <v>46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699</v>
      </c>
      <c r="F1161" s="14" t="s">
        <v>46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699</v>
      </c>
      <c r="F1162" s="14" t="s">
        <v>46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699</v>
      </c>
      <c r="F1163" s="14" t="s">
        <v>46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699</v>
      </c>
      <c r="F1164" s="14" t="s">
        <v>46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699</v>
      </c>
      <c r="F1165" s="14" t="s">
        <v>46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699</v>
      </c>
      <c r="F1166" s="14" t="s">
        <v>46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699</v>
      </c>
      <c r="F1167" s="14" t="s">
        <v>46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699</v>
      </c>
      <c r="F1168" s="14" t="s">
        <v>46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699</v>
      </c>
      <c r="F1169" s="14" t="s">
        <v>46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699</v>
      </c>
      <c r="F1170" s="14" t="s">
        <v>46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699</v>
      </c>
      <c r="F1171" s="14" t="s">
        <v>46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699</v>
      </c>
      <c r="F1172" s="14" t="s">
        <v>46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699</v>
      </c>
      <c r="F1173" s="14" t="s">
        <v>46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699</v>
      </c>
      <c r="F1174" s="14" t="s">
        <v>46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699</v>
      </c>
      <c r="F1175" s="14" t="s">
        <v>46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699</v>
      </c>
      <c r="F1176" s="14" t="s">
        <v>46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699</v>
      </c>
      <c r="F1177" s="14" t="s">
        <v>46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699</v>
      </c>
      <c r="F1178" s="14" t="s">
        <v>46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699</v>
      </c>
      <c r="F1179" s="14" t="s">
        <v>46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699</v>
      </c>
      <c r="F1180" s="14" t="s">
        <v>46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699</v>
      </c>
      <c r="F1181" s="14" t="s">
        <v>46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699</v>
      </c>
      <c r="F1182" s="14" t="s">
        <v>46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699</v>
      </c>
      <c r="F1183" s="14" t="s">
        <v>46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699</v>
      </c>
      <c r="F1184" s="14" t="s">
        <v>46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699</v>
      </c>
      <c r="F1185" s="14" t="s">
        <v>46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699</v>
      </c>
      <c r="F1186" s="14" t="s">
        <v>46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699</v>
      </c>
      <c r="F1187" s="14" t="s">
        <v>46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699</v>
      </c>
      <c r="F1188" s="14" t="s">
        <v>46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699</v>
      </c>
      <c r="F1189" s="14" t="s">
        <v>46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699</v>
      </c>
      <c r="F1190" s="14" t="s">
        <v>46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699</v>
      </c>
      <c r="F1191" s="14" t="s">
        <v>88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699</v>
      </c>
      <c r="F1192" s="14" t="s">
        <v>88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699</v>
      </c>
      <c r="F1193" s="14" t="s">
        <v>88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699</v>
      </c>
      <c r="F1194" s="14" t="s">
        <v>88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699</v>
      </c>
      <c r="F1195" s="14" t="s">
        <v>88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699</v>
      </c>
      <c r="F1196" s="14" t="s">
        <v>88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699</v>
      </c>
      <c r="F1197" s="14" t="s">
        <v>88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699</v>
      </c>
      <c r="F1198" s="14" t="s">
        <v>88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699</v>
      </c>
      <c r="F1199" s="14" t="s">
        <v>88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699</v>
      </c>
      <c r="F1200" s="14" t="s">
        <v>88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699</v>
      </c>
      <c r="F1201" s="14" t="s">
        <v>88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699</v>
      </c>
      <c r="F1202" s="14" t="s">
        <v>88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699</v>
      </c>
      <c r="F1203" s="14" t="s">
        <v>88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699</v>
      </c>
      <c r="F1204" s="14" t="s">
        <v>88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699</v>
      </c>
      <c r="F1205" s="14" t="s">
        <v>88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699</v>
      </c>
      <c r="F1206" s="14" t="s">
        <v>88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699</v>
      </c>
      <c r="F1207" s="14" t="s">
        <v>88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699</v>
      </c>
      <c r="F1208" s="14" t="s">
        <v>88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699</v>
      </c>
      <c r="F1209" s="14" t="s">
        <v>88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699</v>
      </c>
      <c r="F1210" s="14" t="s">
        <v>88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699</v>
      </c>
      <c r="F1211" s="14" t="s">
        <v>88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699</v>
      </c>
      <c r="F1212" s="14" t="s">
        <v>88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699</v>
      </c>
      <c r="F1213" s="14" t="s">
        <v>88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699</v>
      </c>
      <c r="F1214" s="14" t="s">
        <v>88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699</v>
      </c>
      <c r="F1215" s="14" t="s">
        <v>88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699</v>
      </c>
      <c r="F1216" s="14" t="s">
        <v>88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699</v>
      </c>
      <c r="F1217" s="14" t="s">
        <v>88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699</v>
      </c>
      <c r="F1218" s="14" t="s">
        <v>88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699</v>
      </c>
      <c r="F1219" s="14" t="s">
        <v>88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699</v>
      </c>
      <c r="F1220" s="14" t="s">
        <v>88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699</v>
      </c>
      <c r="F1221" s="14" t="s">
        <v>88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699</v>
      </c>
      <c r="F1222" s="14" t="s">
        <v>88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699</v>
      </c>
      <c r="F1223" s="14" t="s">
        <v>88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699</v>
      </c>
      <c r="F1224" s="14" t="s">
        <v>88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699</v>
      </c>
      <c r="F1225" s="14" t="s">
        <v>88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699</v>
      </c>
      <c r="F1226" s="14" t="s">
        <v>88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699</v>
      </c>
      <c r="F1227" s="14" t="s">
        <v>88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699</v>
      </c>
      <c r="F1228" s="14" t="s">
        <v>88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699</v>
      </c>
      <c r="F1229" s="14" t="s">
        <v>88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699</v>
      </c>
      <c r="F1230" s="14" t="s">
        <v>88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699</v>
      </c>
      <c r="F1231" s="14" t="s">
        <v>88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699</v>
      </c>
      <c r="F1232" s="14" t="s">
        <v>88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699</v>
      </c>
      <c r="F1233" s="14" t="s">
        <v>88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699</v>
      </c>
      <c r="F1234" s="14" t="s">
        <v>88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699</v>
      </c>
      <c r="F1235" s="14" t="s">
        <v>88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699</v>
      </c>
      <c r="F1236" s="14" t="s">
        <v>88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699</v>
      </c>
      <c r="F1237" s="14" t="s">
        <v>88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699</v>
      </c>
      <c r="F1238" s="14" t="s">
        <v>88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699</v>
      </c>
      <c r="F1239" s="14" t="s">
        <v>88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699</v>
      </c>
      <c r="F1240" s="14" t="s">
        <v>88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699</v>
      </c>
      <c r="F1241" s="14" t="s">
        <v>46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699</v>
      </c>
      <c r="F1242" s="14" t="s">
        <v>46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699</v>
      </c>
      <c r="F1243" s="14" t="s">
        <v>46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699</v>
      </c>
      <c r="F1244" s="14" t="s">
        <v>46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699</v>
      </c>
      <c r="F1245" s="14" t="s">
        <v>46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699</v>
      </c>
      <c r="F1246" s="14" t="s">
        <v>46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699</v>
      </c>
      <c r="F1247" s="14" t="s">
        <v>46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699</v>
      </c>
      <c r="F1248" s="14" t="s">
        <v>46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699</v>
      </c>
      <c r="F1249" s="14" t="s">
        <v>46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699</v>
      </c>
      <c r="F1250" s="14" t="s">
        <v>46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699</v>
      </c>
      <c r="F1251" s="14" t="s">
        <v>46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699</v>
      </c>
      <c r="F1252" s="14" t="s">
        <v>46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699</v>
      </c>
      <c r="F1253" s="14" t="s">
        <v>46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699</v>
      </c>
      <c r="F1254" s="14" t="s">
        <v>46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699</v>
      </c>
      <c r="F1255" s="14" t="s">
        <v>46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699</v>
      </c>
      <c r="F1256" s="14" t="s">
        <v>46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699</v>
      </c>
      <c r="F1257" s="14" t="s">
        <v>46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699</v>
      </c>
      <c r="F1258" s="14" t="s">
        <v>46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699</v>
      </c>
      <c r="F1259" s="14" t="s">
        <v>46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699</v>
      </c>
      <c r="F1260" s="14" t="s">
        <v>46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699</v>
      </c>
      <c r="F1261" s="14" t="s">
        <v>46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699</v>
      </c>
      <c r="F1262" s="14" t="s">
        <v>46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699</v>
      </c>
      <c r="F1263" s="14" t="s">
        <v>46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699</v>
      </c>
      <c r="F1264" s="14" t="s">
        <v>46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699</v>
      </c>
      <c r="F1265" s="14" t="s">
        <v>46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699</v>
      </c>
      <c r="F1266" s="14" t="s">
        <v>46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699</v>
      </c>
      <c r="F1267" s="14" t="s">
        <v>46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699</v>
      </c>
      <c r="F1268" s="14" t="s">
        <v>46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699</v>
      </c>
      <c r="F1269" s="14" t="s">
        <v>46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699</v>
      </c>
      <c r="F1270" s="14" t="s">
        <v>46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699</v>
      </c>
      <c r="F1271" s="14" t="s">
        <v>46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699</v>
      </c>
      <c r="F1272" s="14" t="s">
        <v>46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699</v>
      </c>
      <c r="F1273" s="14" t="s">
        <v>46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699</v>
      </c>
      <c r="F1274" s="14" t="s">
        <v>46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699</v>
      </c>
      <c r="F1275" s="14" t="s">
        <v>46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699</v>
      </c>
      <c r="F1276" s="14" t="s">
        <v>46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699</v>
      </c>
      <c r="F1277" s="14" t="s">
        <v>46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699</v>
      </c>
      <c r="F1278" s="14" t="s">
        <v>46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699</v>
      </c>
      <c r="F1279" s="14" t="s">
        <v>46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699</v>
      </c>
      <c r="F1280" s="14" t="s">
        <v>46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699</v>
      </c>
      <c r="F1281" s="14" t="s">
        <v>46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699</v>
      </c>
      <c r="F1282" s="14" t="s">
        <v>46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699</v>
      </c>
      <c r="F1283" s="14" t="s">
        <v>46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699</v>
      </c>
      <c r="F1284" s="14" t="s">
        <v>46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699</v>
      </c>
      <c r="F1285" s="14" t="s">
        <v>46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699</v>
      </c>
      <c r="F1286" s="14" t="s">
        <v>46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699</v>
      </c>
      <c r="F1287" s="14" t="s">
        <v>46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699</v>
      </c>
      <c r="F1288" s="14" t="s">
        <v>46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699</v>
      </c>
      <c r="F1289" s="14" t="s">
        <v>46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699</v>
      </c>
      <c r="F1290" s="14" t="s">
        <v>46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699</v>
      </c>
      <c r="F1291" s="14" t="s">
        <v>46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699</v>
      </c>
      <c r="F1292" s="14" t="s">
        <v>46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699</v>
      </c>
      <c r="F1293" s="14" t="s">
        <v>46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699</v>
      </c>
      <c r="F1294" s="14" t="s">
        <v>46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699</v>
      </c>
      <c r="F1295" s="14" t="s">
        <v>46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699</v>
      </c>
      <c r="F1296" s="14" t="s">
        <v>46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699</v>
      </c>
      <c r="F1297" s="14" t="s">
        <v>46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699</v>
      </c>
      <c r="F1298" s="14" t="s">
        <v>46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699</v>
      </c>
      <c r="F1299" s="14" t="s">
        <v>46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699</v>
      </c>
      <c r="F1300" s="14" t="s">
        <v>46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699</v>
      </c>
      <c r="F1301" s="14" t="s">
        <v>46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699</v>
      </c>
      <c r="F1302" s="14" t="s">
        <v>46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699</v>
      </c>
      <c r="F1303" s="14" t="s">
        <v>46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699</v>
      </c>
      <c r="F1304" s="14" t="s">
        <v>46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699</v>
      </c>
      <c r="F1305" s="14" t="s">
        <v>46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699</v>
      </c>
      <c r="F1306" s="14" t="s">
        <v>46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699</v>
      </c>
      <c r="F1307" s="14" t="s">
        <v>46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699</v>
      </c>
      <c r="F1308" s="14" t="s">
        <v>46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699</v>
      </c>
      <c r="F1309" s="14" t="s">
        <v>46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699</v>
      </c>
      <c r="F1310" s="14" t="s">
        <v>46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699</v>
      </c>
      <c r="F1311" s="14" t="s">
        <v>46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699</v>
      </c>
      <c r="F1312" s="14" t="s">
        <v>46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789</v>
      </c>
      <c r="E1313" s="18" t="s">
        <v>1498</v>
      </c>
      <c r="F1313" s="14" t="s">
        <v>46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699</v>
      </c>
      <c r="F1314" s="14" t="s">
        <v>88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699</v>
      </c>
      <c r="F1315" s="14" t="s">
        <v>88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699</v>
      </c>
      <c r="F1316" s="14" t="s">
        <v>88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699</v>
      </c>
      <c r="F1317" s="14" t="s">
        <v>88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699</v>
      </c>
      <c r="F1318" s="14" t="s">
        <v>88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699</v>
      </c>
      <c r="F1319" s="14" t="s">
        <v>88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699</v>
      </c>
      <c r="F1320" s="14" t="s">
        <v>88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699</v>
      </c>
      <c r="F1321" s="14" t="s">
        <v>88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699</v>
      </c>
      <c r="F1322" s="14" t="s">
        <v>88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699</v>
      </c>
      <c r="F1323" s="14" t="s">
        <v>88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699</v>
      </c>
      <c r="F1324" s="14" t="s">
        <v>88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699</v>
      </c>
      <c r="F1325" s="14" t="s">
        <v>88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699</v>
      </c>
      <c r="F1326" s="14" t="s">
        <v>88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699</v>
      </c>
      <c r="F1327" s="14" t="s">
        <v>88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699</v>
      </c>
      <c r="F1328" s="14" t="s">
        <v>88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699</v>
      </c>
      <c r="F1329" s="14" t="s">
        <v>88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699</v>
      </c>
      <c r="F1330" s="14" t="s">
        <v>88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699</v>
      </c>
      <c r="F1331" s="14" t="s">
        <v>88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699</v>
      </c>
      <c r="F1332" s="14" t="s">
        <v>88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699</v>
      </c>
      <c r="F1333" s="14" t="s">
        <v>88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699</v>
      </c>
      <c r="F1334" s="14" t="s">
        <v>88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699</v>
      </c>
      <c r="F1335" s="14" t="s">
        <v>88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699</v>
      </c>
      <c r="F1336" s="14" t="s">
        <v>88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699</v>
      </c>
      <c r="F1337" s="14" t="s">
        <v>88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699</v>
      </c>
      <c r="F1338" s="14" t="s">
        <v>88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699</v>
      </c>
      <c r="F1339" s="14" t="s">
        <v>88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699</v>
      </c>
      <c r="F1340" s="14" t="s">
        <v>88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699</v>
      </c>
      <c r="F1341" s="14" t="s">
        <v>88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699</v>
      </c>
      <c r="F1342" s="14" t="s">
        <v>88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699</v>
      </c>
      <c r="F1343" s="14" t="s">
        <v>88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699</v>
      </c>
      <c r="F1344" s="14" t="s">
        <v>88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699</v>
      </c>
      <c r="F1345" s="14" t="s">
        <v>88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699</v>
      </c>
      <c r="F1346" s="14" t="s">
        <v>88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699</v>
      </c>
      <c r="F1347" s="14" t="s">
        <v>88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699</v>
      </c>
      <c r="F1348" s="14" t="s">
        <v>88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699</v>
      </c>
      <c r="F1349" s="14" t="s">
        <v>88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699</v>
      </c>
      <c r="F1350" s="14" t="s">
        <v>88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699</v>
      </c>
      <c r="F1351" s="14" t="s">
        <v>88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699</v>
      </c>
      <c r="F1352" s="14" t="s">
        <v>88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699</v>
      </c>
      <c r="F1353" s="14" t="s">
        <v>88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699</v>
      </c>
      <c r="F1354" s="14" t="s">
        <v>88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699</v>
      </c>
      <c r="F1355" s="14" t="s">
        <v>88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699</v>
      </c>
      <c r="F1356" s="14" t="s">
        <v>88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699</v>
      </c>
      <c r="F1357" s="14" t="s">
        <v>88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699</v>
      </c>
      <c r="F1358" s="14" t="s">
        <v>88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699</v>
      </c>
      <c r="F1359" s="14" t="s">
        <v>88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699</v>
      </c>
      <c r="F1360" s="14" t="s">
        <v>88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699</v>
      </c>
      <c r="F1361" s="14" t="s">
        <v>88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699</v>
      </c>
      <c r="F1362" s="14" t="s">
        <v>88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699</v>
      </c>
      <c r="F1363" s="14" t="s">
        <v>88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699</v>
      </c>
      <c r="F1364" s="14" t="s">
        <v>88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699</v>
      </c>
      <c r="F1365" s="14" t="s">
        <v>88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699</v>
      </c>
      <c r="F1366" s="14" t="s">
        <v>88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699</v>
      </c>
      <c r="F1367" s="14" t="s">
        <v>88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699</v>
      </c>
      <c r="F1368" s="14" t="s">
        <v>88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699</v>
      </c>
      <c r="F1369" s="14" t="s">
        <v>88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699</v>
      </c>
      <c r="F1370" s="14" t="s">
        <v>88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699</v>
      </c>
      <c r="F1371" s="14" t="s">
        <v>88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699</v>
      </c>
      <c r="F1372" s="14" t="s">
        <v>88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699</v>
      </c>
      <c r="F1373" s="14" t="s">
        <v>88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699</v>
      </c>
      <c r="F1374" s="14" t="s">
        <v>88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699</v>
      </c>
      <c r="F1375" s="14" t="s">
        <v>88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699</v>
      </c>
      <c r="F1376" s="14" t="s">
        <v>88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699</v>
      </c>
      <c r="F1377" s="14" t="s">
        <v>88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699</v>
      </c>
      <c r="F1378" s="14" t="s">
        <v>88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699</v>
      </c>
      <c r="F1379" s="14" t="s">
        <v>88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699</v>
      </c>
      <c r="F1380" s="14" t="s">
        <v>88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699</v>
      </c>
      <c r="F1381" s="14" t="s">
        <v>88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699</v>
      </c>
      <c r="F1382" s="14" t="s">
        <v>88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699</v>
      </c>
      <c r="F1383" s="14" t="s">
        <v>88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699</v>
      </c>
      <c r="F1384" s="14" t="s">
        <v>88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699</v>
      </c>
      <c r="F1385" s="14" t="s">
        <v>88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699</v>
      </c>
      <c r="F1386" s="14" t="s">
        <v>88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699</v>
      </c>
      <c r="F1387" s="14" t="s">
        <v>88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699</v>
      </c>
      <c r="F1388" s="14" t="s">
        <v>88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699</v>
      </c>
      <c r="F1389" s="14" t="s">
        <v>88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699</v>
      </c>
      <c r="F1390" s="14" t="s">
        <v>88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699</v>
      </c>
      <c r="F1391" s="14" t="s">
        <v>88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699</v>
      </c>
      <c r="F1392" s="14" t="s">
        <v>88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699</v>
      </c>
      <c r="F1393" s="14" t="s">
        <v>88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699</v>
      </c>
      <c r="F1394" s="14" t="s">
        <v>88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699</v>
      </c>
      <c r="F1395" s="14" t="s">
        <v>88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699</v>
      </c>
      <c r="F1396" s="14" t="s">
        <v>88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699</v>
      </c>
      <c r="F1397" s="14" t="s">
        <v>88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699</v>
      </c>
      <c r="F1398" s="14" t="s">
        <v>88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699</v>
      </c>
      <c r="F1399" s="14" t="s">
        <v>88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699</v>
      </c>
      <c r="F1400" s="14" t="s">
        <v>46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699</v>
      </c>
      <c r="F1401" s="14" t="s">
        <v>46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699</v>
      </c>
      <c r="F1402" s="14" t="s">
        <v>46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699</v>
      </c>
      <c r="F1403" s="14" t="s">
        <v>46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699</v>
      </c>
      <c r="F1404" s="14" t="s">
        <v>46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699</v>
      </c>
      <c r="F1405" s="14" t="s">
        <v>46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699</v>
      </c>
      <c r="F1406" s="14" t="s">
        <v>46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699</v>
      </c>
      <c r="F1407" s="14" t="s">
        <v>46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699</v>
      </c>
      <c r="F1408" s="14" t="s">
        <v>46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699</v>
      </c>
      <c r="F1409" s="14" t="s">
        <v>46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699</v>
      </c>
      <c r="F1410" s="14" t="s">
        <v>46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699</v>
      </c>
      <c r="F1411" s="14" t="s">
        <v>46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699</v>
      </c>
      <c r="F1412" s="14" t="s">
        <v>46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699</v>
      </c>
      <c r="F1413" s="14" t="s">
        <v>46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699</v>
      </c>
      <c r="F1414" s="14" t="s">
        <v>46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699</v>
      </c>
      <c r="F1415" s="14" t="s">
        <v>46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699</v>
      </c>
      <c r="F1416" s="14" t="s">
        <v>46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699</v>
      </c>
      <c r="F1417" s="14" t="s">
        <v>46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699</v>
      </c>
      <c r="F1418" s="14" t="s">
        <v>46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699</v>
      </c>
      <c r="F1419" s="14" t="s">
        <v>46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699</v>
      </c>
      <c r="F1420" s="14" t="s">
        <v>46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699</v>
      </c>
      <c r="F1421" s="14" t="s">
        <v>46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699</v>
      </c>
      <c r="F1422" s="14" t="s">
        <v>46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699</v>
      </c>
      <c r="F1423" s="14" t="s">
        <v>46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699</v>
      </c>
      <c r="F1424" s="14" t="s">
        <v>46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699</v>
      </c>
      <c r="F1425" s="14" t="s">
        <v>46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699</v>
      </c>
      <c r="F1426" s="14" t="s">
        <v>46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699</v>
      </c>
      <c r="F1427" s="14" t="s">
        <v>46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699</v>
      </c>
      <c r="F1428" s="14" t="s">
        <v>46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699</v>
      </c>
      <c r="F1429" s="14" t="s">
        <v>46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699</v>
      </c>
      <c r="F1430" s="14" t="s">
        <v>46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789</v>
      </c>
      <c r="E1431" s="18" t="s">
        <v>1501</v>
      </c>
      <c r="F1431" s="14" t="s">
        <v>46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699</v>
      </c>
      <c r="F1432" s="14" t="s">
        <v>46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699</v>
      </c>
      <c r="F1433" s="14" t="s">
        <v>46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699</v>
      </c>
      <c r="F1434" s="14" t="s">
        <v>46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699</v>
      </c>
      <c r="F1435" s="14" t="s">
        <v>46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699</v>
      </c>
      <c r="F1436" s="14" t="s">
        <v>46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699</v>
      </c>
      <c r="F1437" s="14" t="s">
        <v>46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699</v>
      </c>
      <c r="F1438" s="14" t="s">
        <v>46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789</v>
      </c>
      <c r="E1439" s="18" t="s">
        <v>1471</v>
      </c>
      <c r="F1439" s="14" t="s">
        <v>46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699</v>
      </c>
      <c r="F1440" s="14" t="s">
        <v>46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699</v>
      </c>
      <c r="F1441" s="14" t="s">
        <v>46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699</v>
      </c>
      <c r="F1442" s="14" t="s">
        <v>46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699</v>
      </c>
      <c r="F1443" s="14" t="s">
        <v>46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699</v>
      </c>
      <c r="F1444" s="14" t="s">
        <v>46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699</v>
      </c>
      <c r="F1445" s="14" t="s">
        <v>46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699</v>
      </c>
      <c r="F1446" s="14" t="s">
        <v>46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699</v>
      </c>
      <c r="F1447" s="14" t="s">
        <v>46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699</v>
      </c>
      <c r="F1448" s="14" t="s">
        <v>46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699</v>
      </c>
      <c r="F1449" s="14" t="s">
        <v>46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699</v>
      </c>
      <c r="F1450" s="14" t="s">
        <v>46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699</v>
      </c>
      <c r="F1451" s="14" t="s">
        <v>46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699</v>
      </c>
      <c r="F1452" s="14" t="s">
        <v>46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699</v>
      </c>
      <c r="F1453" s="14" t="s">
        <v>46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699</v>
      </c>
      <c r="F1454" s="14" t="s">
        <v>46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699</v>
      </c>
      <c r="F1455" s="14" t="s">
        <v>46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699</v>
      </c>
      <c r="F1456" s="14" t="s">
        <v>46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699</v>
      </c>
      <c r="F1457" s="14" t="s">
        <v>46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699</v>
      </c>
      <c r="F1458" s="14" t="s">
        <v>46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699</v>
      </c>
      <c r="F1459" s="14" t="s">
        <v>46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699</v>
      </c>
      <c r="F1460" s="14" t="s">
        <v>46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699</v>
      </c>
      <c r="F1461" s="14" t="s">
        <v>46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699</v>
      </c>
      <c r="F1462" s="14" t="s">
        <v>46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699</v>
      </c>
      <c r="F1463" s="14" t="s">
        <v>46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699</v>
      </c>
      <c r="F1464" s="14" t="s">
        <v>46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699</v>
      </c>
      <c r="F1465" s="14" t="s">
        <v>46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699</v>
      </c>
      <c r="F1466" s="14" t="s">
        <v>46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699</v>
      </c>
      <c r="F1467" s="14" t="s">
        <v>46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699</v>
      </c>
      <c r="F1468" s="14" t="s">
        <v>46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699</v>
      </c>
      <c r="F1469" s="14" t="s">
        <v>46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699</v>
      </c>
      <c r="F1470" s="14" t="s">
        <v>46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699</v>
      </c>
      <c r="F1471" s="14" t="s">
        <v>46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699</v>
      </c>
      <c r="F1472" s="14" t="s">
        <v>46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699</v>
      </c>
      <c r="F1473" s="14" t="s">
        <v>46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699</v>
      </c>
      <c r="F1474" s="14" t="s">
        <v>46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699</v>
      </c>
      <c r="F1475" s="14" t="s">
        <v>46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699</v>
      </c>
      <c r="F1476" s="14" t="s">
        <v>46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699</v>
      </c>
      <c r="F1477" s="14" t="s">
        <v>46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699</v>
      </c>
      <c r="F1478" s="14" t="s">
        <v>46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699</v>
      </c>
      <c r="F1479" s="14" t="s">
        <v>46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699</v>
      </c>
      <c r="F1480" s="14" t="s">
        <v>46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699</v>
      </c>
      <c r="F1481" s="14" t="s">
        <v>46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699</v>
      </c>
      <c r="F1482" s="14" t="s">
        <v>46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699</v>
      </c>
      <c r="F1483" s="14" t="s">
        <v>46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699</v>
      </c>
      <c r="F1484" s="14" t="s">
        <v>46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699</v>
      </c>
      <c r="F1485" s="14" t="s">
        <v>46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699</v>
      </c>
      <c r="F1486" s="14" t="s">
        <v>46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699</v>
      </c>
      <c r="F1487" s="14" t="s">
        <v>46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699</v>
      </c>
      <c r="F1488" s="14" t="s">
        <v>46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699</v>
      </c>
      <c r="F1489" s="14" t="s">
        <v>46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699</v>
      </c>
      <c r="F1490" s="14" t="s">
        <v>46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699</v>
      </c>
      <c r="F1491" s="14" t="s">
        <v>46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699</v>
      </c>
      <c r="F1492" s="14" t="s">
        <v>46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699</v>
      </c>
      <c r="F1493" s="14" t="s">
        <v>46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699</v>
      </c>
      <c r="F1494" s="14" t="s">
        <v>46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699</v>
      </c>
      <c r="F1495" s="14" t="s">
        <v>46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699</v>
      </c>
      <c r="F1496" s="14" t="s">
        <v>46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699</v>
      </c>
      <c r="F1497" s="14" t="s">
        <v>46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699</v>
      </c>
      <c r="F1498" s="14" t="s">
        <v>46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699</v>
      </c>
      <c r="F1499" s="14" t="s">
        <v>46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699</v>
      </c>
      <c r="F1500" s="14" t="s">
        <v>46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699</v>
      </c>
      <c r="F1501" s="14" t="s">
        <v>46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699</v>
      </c>
      <c r="F1502" s="14" t="s">
        <v>46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699</v>
      </c>
      <c r="F1503" s="14" t="s">
        <v>46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699</v>
      </c>
      <c r="F1504" s="14" t="s">
        <v>46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699</v>
      </c>
      <c r="F1505" s="14" t="s">
        <v>46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699</v>
      </c>
      <c r="F1506" s="14" t="s">
        <v>46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699</v>
      </c>
      <c r="F1507" s="14" t="s">
        <v>46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699</v>
      </c>
      <c r="F1508" s="14" t="s">
        <v>46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699</v>
      </c>
      <c r="F1509" s="14" t="s">
        <v>46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699</v>
      </c>
      <c r="F1510" s="14" t="s">
        <v>46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699</v>
      </c>
      <c r="F1511" s="14" t="s">
        <v>46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699</v>
      </c>
      <c r="F1512" s="14" t="s">
        <v>46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699</v>
      </c>
      <c r="F1513" s="14" t="s">
        <v>46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699</v>
      </c>
      <c r="F1514" s="14" t="s">
        <v>46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699</v>
      </c>
      <c r="F1515" s="14" t="s">
        <v>46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699</v>
      </c>
      <c r="F1516" s="14" t="s">
        <v>46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699</v>
      </c>
      <c r="F1517" s="14" t="s">
        <v>46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699</v>
      </c>
      <c r="F1518" s="14" t="s">
        <v>46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699</v>
      </c>
      <c r="F1519" s="14" t="s">
        <v>46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699</v>
      </c>
      <c r="F1520" s="14" t="s">
        <v>46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789</v>
      </c>
      <c r="E1521" s="18" t="s">
        <v>1471</v>
      </c>
      <c r="F1521" s="14" t="s">
        <v>46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699</v>
      </c>
      <c r="F1522" s="14" t="s">
        <v>46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699</v>
      </c>
      <c r="F1523" s="14" t="s">
        <v>46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699</v>
      </c>
      <c r="F1524" s="14" t="s">
        <v>46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699</v>
      </c>
      <c r="F1525" s="14" t="s">
        <v>46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699</v>
      </c>
      <c r="F1526" s="14" t="s">
        <v>46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699</v>
      </c>
      <c r="F1527" s="14" t="s">
        <v>46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699</v>
      </c>
      <c r="F1528" s="14" t="s">
        <v>46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699</v>
      </c>
      <c r="F1529" s="14" t="s">
        <v>46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699</v>
      </c>
      <c r="F1530" s="14" t="s">
        <v>46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699</v>
      </c>
      <c r="F1531" s="14" t="s">
        <v>46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699</v>
      </c>
      <c r="F1532" s="14" t="s">
        <v>46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699</v>
      </c>
      <c r="F1533" s="14" t="s">
        <v>46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699</v>
      </c>
      <c r="F1534" s="14" t="s">
        <v>46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699</v>
      </c>
      <c r="F1535" s="14" t="s">
        <v>46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699</v>
      </c>
      <c r="F1536" s="14" t="s">
        <v>46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699</v>
      </c>
      <c r="F1537" s="14" t="s">
        <v>46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699</v>
      </c>
      <c r="F1538" s="14" t="s">
        <v>46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699</v>
      </c>
      <c r="F1539" s="14" t="s">
        <v>46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699</v>
      </c>
      <c r="F1540" s="14" t="s">
        <v>46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699</v>
      </c>
      <c r="F1541" s="14" t="s">
        <v>46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699</v>
      </c>
      <c r="F1542" s="14" t="s">
        <v>46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699</v>
      </c>
      <c r="F1543" s="14" t="s">
        <v>46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699</v>
      </c>
      <c r="F1544" s="14" t="s">
        <v>46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699</v>
      </c>
      <c r="F1545" s="14" t="s">
        <v>46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699</v>
      </c>
      <c r="F1546" s="14" t="s">
        <v>46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699</v>
      </c>
      <c r="F1547" s="14" t="s">
        <v>46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699</v>
      </c>
      <c r="F1548" s="14" t="s">
        <v>46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699</v>
      </c>
      <c r="F1549" s="14" t="s">
        <v>46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699</v>
      </c>
      <c r="F1550" s="14" t="s">
        <v>46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699</v>
      </c>
      <c r="F1551" s="14" t="s">
        <v>46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699</v>
      </c>
      <c r="F1552" s="14" t="s">
        <v>46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699</v>
      </c>
      <c r="F1553" s="14" t="s">
        <v>46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699</v>
      </c>
      <c r="F1554" s="14" t="s">
        <v>46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699</v>
      </c>
      <c r="F1555" s="14" t="s">
        <v>46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699</v>
      </c>
      <c r="F1556" s="14" t="s">
        <v>46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699</v>
      </c>
      <c r="F1557" s="14" t="s">
        <v>46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699</v>
      </c>
      <c r="F1558" s="14" t="s">
        <v>46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699</v>
      </c>
      <c r="F1559" s="14" t="s">
        <v>46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699</v>
      </c>
      <c r="F1560" s="14" t="s">
        <v>46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699</v>
      </c>
      <c r="F1561" s="14" t="s">
        <v>46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699</v>
      </c>
      <c r="F1562" s="14" t="s">
        <v>46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699</v>
      </c>
      <c r="F1563" s="14" t="s">
        <v>46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699</v>
      </c>
      <c r="F1564" s="14" t="s">
        <v>46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699</v>
      </c>
      <c r="F1565" s="14" t="s">
        <v>46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699</v>
      </c>
      <c r="F1566" s="14" t="s">
        <v>46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699</v>
      </c>
      <c r="F1567" s="14" t="s">
        <v>46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699</v>
      </c>
      <c r="F1568" s="14" t="s">
        <v>46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699</v>
      </c>
      <c r="F1569" s="14" t="s">
        <v>46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699</v>
      </c>
      <c r="F1570" s="14" t="s">
        <v>46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699</v>
      </c>
      <c r="F1571" s="14" t="s">
        <v>46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699</v>
      </c>
      <c r="F1572" s="14" t="s">
        <v>46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699</v>
      </c>
      <c r="F1573" s="14" t="s">
        <v>46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699</v>
      </c>
      <c r="F1574" s="14" t="s">
        <v>46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699</v>
      </c>
      <c r="F1575" s="14" t="s">
        <v>46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699</v>
      </c>
      <c r="F1576" s="14" t="s">
        <v>46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699</v>
      </c>
      <c r="F1577" s="14" t="s">
        <v>46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699</v>
      </c>
      <c r="F1578" s="14" t="s">
        <v>46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699</v>
      </c>
      <c r="F1579" s="14" t="s">
        <v>46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699</v>
      </c>
      <c r="F1580" s="14" t="s">
        <v>46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699</v>
      </c>
      <c r="F1581" s="14" t="s">
        <v>46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699</v>
      </c>
      <c r="F1582" s="14" t="s">
        <v>46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699</v>
      </c>
      <c r="F1583" s="14" t="s">
        <v>46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699</v>
      </c>
      <c r="F1584" s="14" t="s">
        <v>46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699</v>
      </c>
      <c r="F1585" s="14" t="s">
        <v>46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699</v>
      </c>
      <c r="F1586" s="14" t="s">
        <v>46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699</v>
      </c>
      <c r="F1587" s="14" t="s">
        <v>46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699</v>
      </c>
      <c r="F1588" s="14" t="s">
        <v>46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699</v>
      </c>
      <c r="F1589" s="14" t="s">
        <v>46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699</v>
      </c>
      <c r="F1590" s="14" t="s">
        <v>46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699</v>
      </c>
      <c r="F1591" s="14" t="s">
        <v>46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699</v>
      </c>
      <c r="F1592" s="14" t="s">
        <v>46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699</v>
      </c>
      <c r="F1593" s="14" t="s">
        <v>46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699</v>
      </c>
      <c r="F1594" s="14" t="s">
        <v>46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699</v>
      </c>
      <c r="F1595" s="14" t="s">
        <v>46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699</v>
      </c>
      <c r="F1596" s="14" t="s">
        <v>46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699</v>
      </c>
      <c r="F1597" s="14" t="s">
        <v>46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699</v>
      </c>
      <c r="F1598" s="14" t="s">
        <v>46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699</v>
      </c>
      <c r="F1599" s="14" t="s">
        <v>46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699</v>
      </c>
      <c r="F1600" s="14" t="s">
        <v>46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699</v>
      </c>
      <c r="F1601" s="14" t="s">
        <v>46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699</v>
      </c>
      <c r="F1602" s="14" t="s">
        <v>46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699</v>
      </c>
      <c r="F1603" s="14" t="s">
        <v>46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699</v>
      </c>
      <c r="F1604" s="14" t="s">
        <v>46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699</v>
      </c>
      <c r="F1605" s="14" t="s">
        <v>46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699</v>
      </c>
      <c r="F1606" s="14" t="s">
        <v>46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699</v>
      </c>
      <c r="F1607" s="14" t="s">
        <v>46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699</v>
      </c>
      <c r="F1608" s="14" t="s">
        <v>46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699</v>
      </c>
      <c r="F1609" s="14" t="s">
        <v>46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699</v>
      </c>
      <c r="F1610" s="14" t="s">
        <v>46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699</v>
      </c>
      <c r="F1611" s="14" t="s">
        <v>46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699</v>
      </c>
      <c r="F1612" s="14" t="s">
        <v>46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699</v>
      </c>
      <c r="F1613" s="14" t="s">
        <v>46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699</v>
      </c>
      <c r="F1614" s="14" t="s">
        <v>46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699</v>
      </c>
      <c r="F1615" s="14" t="s">
        <v>46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699</v>
      </c>
      <c r="F1616" s="14" t="s">
        <v>46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699</v>
      </c>
      <c r="F1617" s="14" t="s">
        <v>46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699</v>
      </c>
      <c r="F1618" s="14" t="s">
        <v>46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699</v>
      </c>
      <c r="F1619" s="14" t="s">
        <v>46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699</v>
      </c>
      <c r="F1620" s="14" t="s">
        <v>46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699</v>
      </c>
      <c r="F1621" s="14" t="s">
        <v>46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699</v>
      </c>
      <c r="F1622" s="14" t="s">
        <v>46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699</v>
      </c>
      <c r="F1623" s="14" t="s">
        <v>46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699</v>
      </c>
      <c r="F1624" s="14" t="s">
        <v>46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699</v>
      </c>
      <c r="F1625" s="14" t="s">
        <v>46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699</v>
      </c>
      <c r="F1626" s="14" t="s">
        <v>46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699</v>
      </c>
      <c r="F1627" s="14" t="s">
        <v>46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699</v>
      </c>
      <c r="F1628" s="14" t="s">
        <v>46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699</v>
      </c>
      <c r="F1629" s="14" t="s">
        <v>46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699</v>
      </c>
      <c r="F1630" s="14" t="s">
        <v>46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699</v>
      </c>
      <c r="F1631" s="14" t="s">
        <v>46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699</v>
      </c>
      <c r="F1632" s="14" t="s">
        <v>46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699</v>
      </c>
      <c r="F1633" s="14" t="s">
        <v>46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699</v>
      </c>
      <c r="F1634" s="14" t="s">
        <v>46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699</v>
      </c>
      <c r="F1635" s="14" t="s">
        <v>46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699</v>
      </c>
      <c r="F1636" s="14" t="s">
        <v>46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699</v>
      </c>
      <c r="F1637" s="14" t="s">
        <v>46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699</v>
      </c>
      <c r="F1638" s="14" t="s">
        <v>46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699</v>
      </c>
      <c r="F1639" s="14" t="s">
        <v>46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699</v>
      </c>
      <c r="F1640" s="14" t="s">
        <v>46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699</v>
      </c>
      <c r="F1641" s="14" t="s">
        <v>46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699</v>
      </c>
      <c r="F1642" s="14" t="s">
        <v>46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699</v>
      </c>
      <c r="F1643" s="14" t="s">
        <v>46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699</v>
      </c>
      <c r="F1644" s="14" t="s">
        <v>46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699</v>
      </c>
      <c r="F1645" s="14" t="s">
        <v>46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699</v>
      </c>
      <c r="F1646" s="14" t="s">
        <v>46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699</v>
      </c>
      <c r="F1647" s="14" t="s">
        <v>46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699</v>
      </c>
      <c r="F1648" s="14" t="s">
        <v>46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699</v>
      </c>
      <c r="F1649" s="14" t="s">
        <v>46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699</v>
      </c>
      <c r="F1650" s="14" t="s">
        <v>46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699</v>
      </c>
      <c r="F1651" s="14" t="s">
        <v>46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699</v>
      </c>
      <c r="F1652" s="14" t="s">
        <v>46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699</v>
      </c>
      <c r="F1653" s="14" t="s">
        <v>46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699</v>
      </c>
      <c r="F1654" s="14" t="s">
        <v>46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699</v>
      </c>
      <c r="F1655" s="14" t="s">
        <v>46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699</v>
      </c>
      <c r="F1656" s="14" t="s">
        <v>46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699</v>
      </c>
      <c r="F1657" s="14" t="s">
        <v>46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699</v>
      </c>
      <c r="F1658" s="14" t="s">
        <v>46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699</v>
      </c>
      <c r="F1659" s="14" t="s">
        <v>46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699</v>
      </c>
      <c r="F1660" s="14" t="s">
        <v>46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699</v>
      </c>
      <c r="F1661" s="14" t="s">
        <v>46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699</v>
      </c>
      <c r="F1662" s="14" t="s">
        <v>46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699</v>
      </c>
      <c r="F1663" s="14" t="s">
        <v>46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699</v>
      </c>
      <c r="F1664" s="14" t="s">
        <v>46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699</v>
      </c>
      <c r="F1665" s="14" t="s">
        <v>46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699</v>
      </c>
      <c r="F1666" s="14" t="s">
        <v>46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699</v>
      </c>
      <c r="F1667" s="14" t="s">
        <v>46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699</v>
      </c>
      <c r="F1668" s="14" t="s">
        <v>46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699</v>
      </c>
      <c r="F1669" s="14" t="s">
        <v>46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699</v>
      </c>
      <c r="F1670" s="14" t="s">
        <v>46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699</v>
      </c>
      <c r="F1671" s="14" t="s">
        <v>46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699</v>
      </c>
      <c r="F1672" s="14" t="s">
        <v>46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699</v>
      </c>
      <c r="F1673" s="14" t="s">
        <v>46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699</v>
      </c>
      <c r="F1674" s="14" t="s">
        <v>46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699</v>
      </c>
      <c r="F1675" s="14" t="s">
        <v>46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699</v>
      </c>
      <c r="F1676" s="14" t="s">
        <v>46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699</v>
      </c>
      <c r="F1677" s="14" t="s">
        <v>46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699</v>
      </c>
      <c r="F1678" s="14" t="s">
        <v>46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699</v>
      </c>
      <c r="F1679" s="14" t="s">
        <v>46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699</v>
      </c>
      <c r="F1680" s="14" t="s">
        <v>46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699</v>
      </c>
      <c r="F1681" s="14" t="s">
        <v>46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699</v>
      </c>
      <c r="F1682" s="14" t="s">
        <v>46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699</v>
      </c>
      <c r="F1683" s="14" t="s">
        <v>46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699</v>
      </c>
      <c r="F1684" s="14" t="s">
        <v>46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699</v>
      </c>
      <c r="F1685" s="14" t="s">
        <v>46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699</v>
      </c>
      <c r="F1686" s="14" t="s">
        <v>46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699</v>
      </c>
      <c r="F1687" s="14" t="s">
        <v>46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699</v>
      </c>
      <c r="F1688" s="14" t="s">
        <v>46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699</v>
      </c>
      <c r="F1689" s="14" t="s">
        <v>46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699</v>
      </c>
      <c r="F1690" s="14" t="s">
        <v>46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699</v>
      </c>
      <c r="F1691" s="14" t="s">
        <v>46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699</v>
      </c>
      <c r="F1692" s="14" t="s">
        <v>46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699</v>
      </c>
      <c r="F1693" s="14" t="s">
        <v>46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699</v>
      </c>
      <c r="F1694" s="14" t="s">
        <v>46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699</v>
      </c>
      <c r="F1695" s="14" t="s">
        <v>46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699</v>
      </c>
      <c r="F1696" s="14" t="s">
        <v>46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699</v>
      </c>
      <c r="F1697" s="14" t="s">
        <v>46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699</v>
      </c>
      <c r="F1698" s="14" t="s">
        <v>46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699</v>
      </c>
      <c r="F1699" s="14" t="s">
        <v>46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699</v>
      </c>
      <c r="F1700" s="14" t="s">
        <v>46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699</v>
      </c>
      <c r="F1701" s="14" t="s">
        <v>46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699</v>
      </c>
      <c r="F1702" s="14" t="s">
        <v>46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699</v>
      </c>
      <c r="F1703" s="14" t="s">
        <v>46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699</v>
      </c>
      <c r="F1704" s="14" t="s">
        <v>46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699</v>
      </c>
      <c r="F1705" s="14" t="s">
        <v>46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699</v>
      </c>
      <c r="F1706" s="14" t="s">
        <v>46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699</v>
      </c>
      <c r="F1707" s="14" t="s">
        <v>46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699</v>
      </c>
      <c r="F1708" s="14" t="s">
        <v>46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699</v>
      </c>
      <c r="F1709" s="14" t="s">
        <v>46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699</v>
      </c>
      <c r="F1710" s="14" t="s">
        <v>46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699</v>
      </c>
      <c r="F1711" s="14" t="s">
        <v>46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699</v>
      </c>
      <c r="F1712" s="14" t="s">
        <v>46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699</v>
      </c>
      <c r="F1713" s="14" t="s">
        <v>46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699</v>
      </c>
      <c r="F1714" s="14" t="s">
        <v>46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699</v>
      </c>
      <c r="F1715" s="14" t="s">
        <v>46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699</v>
      </c>
      <c r="F1716" s="14" t="s">
        <v>46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699</v>
      </c>
      <c r="F1717" s="14" t="s">
        <v>46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699</v>
      </c>
      <c r="F1718" s="14" t="s">
        <v>46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699</v>
      </c>
      <c r="F1719" s="14" t="s">
        <v>46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699</v>
      </c>
      <c r="F1720" s="14" t="s">
        <v>46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699</v>
      </c>
      <c r="F1721" s="14" t="s">
        <v>46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699</v>
      </c>
      <c r="F1722" s="14" t="s">
        <v>46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699</v>
      </c>
      <c r="F1723" s="14" t="s">
        <v>46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699</v>
      </c>
      <c r="F1724" s="14" t="s">
        <v>46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699</v>
      </c>
      <c r="F1725" s="14" t="s">
        <v>46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699</v>
      </c>
      <c r="F1726" s="14" t="s">
        <v>46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699</v>
      </c>
      <c r="F1727" s="14" t="s">
        <v>46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699</v>
      </c>
      <c r="F1728" s="14" t="s">
        <v>46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699</v>
      </c>
      <c r="F1729" s="14" t="s">
        <v>46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699</v>
      </c>
      <c r="F1730" s="14" t="s">
        <v>46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699</v>
      </c>
      <c r="F1731" s="14" t="s">
        <v>46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699</v>
      </c>
      <c r="F1732" s="14" t="s">
        <v>46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699</v>
      </c>
      <c r="F1733" s="14" t="s">
        <v>46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699</v>
      </c>
      <c r="F1734" s="14" t="s">
        <v>46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699</v>
      </c>
      <c r="F1735" s="14" t="s">
        <v>46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699</v>
      </c>
      <c r="F1736" s="14" t="s">
        <v>46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699</v>
      </c>
      <c r="F1737" s="14" t="s">
        <v>46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699</v>
      </c>
      <c r="F1738" s="14" t="s">
        <v>46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699</v>
      </c>
      <c r="F1739" s="14" t="s">
        <v>46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699</v>
      </c>
      <c r="F1740" s="14" t="s">
        <v>46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699</v>
      </c>
      <c r="F1741" s="14" t="s">
        <v>46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699</v>
      </c>
      <c r="F1742" s="14" t="s">
        <v>46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699</v>
      </c>
      <c r="F1743" s="14" t="s">
        <v>46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699</v>
      </c>
      <c r="F1744" s="14" t="s">
        <v>46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699</v>
      </c>
      <c r="F1745" s="14" t="s">
        <v>46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699</v>
      </c>
      <c r="F1746" s="14" t="s">
        <v>46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699</v>
      </c>
      <c r="F1747" s="14" t="s">
        <v>46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699</v>
      </c>
      <c r="F1748" s="14" t="s">
        <v>46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699</v>
      </c>
      <c r="F1749" s="14" t="s">
        <v>46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699</v>
      </c>
      <c r="F1750" s="14" t="s">
        <v>46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699</v>
      </c>
      <c r="F1751" s="14" t="s">
        <v>46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699</v>
      </c>
      <c r="F1752" s="14" t="s">
        <v>46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699</v>
      </c>
      <c r="F1753" s="14" t="s">
        <v>46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699</v>
      </c>
      <c r="F1754" s="14" t="s">
        <v>46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699</v>
      </c>
      <c r="F1755" s="14" t="s">
        <v>46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699</v>
      </c>
      <c r="F1756" s="14" t="s">
        <v>46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699</v>
      </c>
      <c r="F1757" s="14" t="s">
        <v>46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699</v>
      </c>
      <c r="F1758" s="14" t="s">
        <v>46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699</v>
      </c>
      <c r="F1759" s="14" t="s">
        <v>46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699</v>
      </c>
      <c r="F1760" s="14" t="s">
        <v>46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699</v>
      </c>
      <c r="F1761" s="14" t="s">
        <v>46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699</v>
      </c>
      <c r="F1762" s="14" t="s">
        <v>46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699</v>
      </c>
      <c r="F1763" s="14" t="s">
        <v>46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699</v>
      </c>
      <c r="F1764" s="14" t="s">
        <v>46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699</v>
      </c>
      <c r="F1765" s="14" t="s">
        <v>46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699</v>
      </c>
      <c r="F1766" s="14" t="s">
        <v>46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699</v>
      </c>
      <c r="F1767" s="14" t="s">
        <v>46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699</v>
      </c>
      <c r="F1768" s="14" t="s">
        <v>46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699</v>
      </c>
      <c r="F1769" s="14" t="s">
        <v>46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699</v>
      </c>
      <c r="F1770" s="14" t="s">
        <v>46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699</v>
      </c>
      <c r="F1771" s="14" t="s">
        <v>46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699</v>
      </c>
      <c r="F1772" s="14" t="s">
        <v>46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699</v>
      </c>
      <c r="F1773" s="14" t="s">
        <v>46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699</v>
      </c>
      <c r="F1774" s="14" t="s">
        <v>46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699</v>
      </c>
      <c r="F1775" s="14" t="s">
        <v>46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699</v>
      </c>
      <c r="F1776" s="14" t="s">
        <v>46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699</v>
      </c>
      <c r="F1777" s="14" t="s">
        <v>46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699</v>
      </c>
      <c r="F1778" s="14" t="s">
        <v>46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699</v>
      </c>
      <c r="F1779" s="14" t="s">
        <v>46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699</v>
      </c>
      <c r="F1780" s="14" t="s">
        <v>46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699</v>
      </c>
      <c r="F1781" s="14" t="s">
        <v>46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699</v>
      </c>
      <c r="F1782" s="14" t="s">
        <v>46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699</v>
      </c>
      <c r="F1783" s="14" t="s">
        <v>46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699</v>
      </c>
      <c r="F1784" s="14" t="s">
        <v>46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699</v>
      </c>
      <c r="F1785" s="14" t="s">
        <v>46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699</v>
      </c>
      <c r="F1786" s="14" t="s">
        <v>46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699</v>
      </c>
      <c r="F1787" s="14" t="s">
        <v>46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699</v>
      </c>
      <c r="F1788" s="14" t="s">
        <v>46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699</v>
      </c>
      <c r="F1789" s="14" t="s">
        <v>46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699</v>
      </c>
      <c r="F1790" s="14" t="s">
        <v>46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699</v>
      </c>
      <c r="F1791" s="14" t="s">
        <v>46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699</v>
      </c>
      <c r="F1792" s="14" t="s">
        <v>46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699</v>
      </c>
      <c r="F1793" s="14" t="s">
        <v>46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699</v>
      </c>
      <c r="F1794" s="14" t="s">
        <v>46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699</v>
      </c>
      <c r="F1795" s="14" t="s">
        <v>46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699</v>
      </c>
      <c r="F1796" s="14" t="s">
        <v>46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699</v>
      </c>
      <c r="F1797" s="14" t="s">
        <v>46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699</v>
      </c>
      <c r="F1798" s="14" t="s">
        <v>46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699</v>
      </c>
      <c r="F1799" s="14" t="s">
        <v>46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699</v>
      </c>
      <c r="F1800" s="14" t="s">
        <v>46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699</v>
      </c>
      <c r="F1801" s="14" t="s">
        <v>46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699</v>
      </c>
      <c r="F1802" s="14" t="s">
        <v>46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699</v>
      </c>
      <c r="F1803" s="14" t="s">
        <v>46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699</v>
      </c>
      <c r="F1804" s="14" t="s">
        <v>46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699</v>
      </c>
      <c r="F1805" s="14" t="s">
        <v>46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699</v>
      </c>
      <c r="F1806" s="14" t="s">
        <v>46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699</v>
      </c>
      <c r="F1807" s="14" t="s">
        <v>46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699</v>
      </c>
      <c r="F1808" s="14" t="s">
        <v>46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699</v>
      </c>
      <c r="F1809" s="14" t="s">
        <v>46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699</v>
      </c>
      <c r="F1810" s="14" t="s">
        <v>46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699</v>
      </c>
      <c r="F1811" s="14" t="s">
        <v>46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699</v>
      </c>
      <c r="F1812" s="14" t="s">
        <v>46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699</v>
      </c>
      <c r="F1813" s="14" t="s">
        <v>46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699</v>
      </c>
      <c r="F1814" s="14" t="s">
        <v>46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699</v>
      </c>
      <c r="F1815" s="14" t="s">
        <v>46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699</v>
      </c>
      <c r="F1816" s="14" t="s">
        <v>46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699</v>
      </c>
      <c r="F1817" s="14" t="s">
        <v>46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699</v>
      </c>
      <c r="F1818" s="14" t="s">
        <v>46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699</v>
      </c>
      <c r="F1819" s="14" t="s">
        <v>46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699</v>
      </c>
      <c r="F1820" s="14" t="s">
        <v>46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699</v>
      </c>
      <c r="F1821" s="14" t="s">
        <v>46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699</v>
      </c>
      <c r="F1822" s="14" t="s">
        <v>46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699</v>
      </c>
      <c r="F1823" s="14" t="s">
        <v>46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699</v>
      </c>
      <c r="F1824" s="14" t="s">
        <v>46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699</v>
      </c>
      <c r="F1825" s="14" t="s">
        <v>46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699</v>
      </c>
      <c r="F1826" s="14" t="s">
        <v>46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699</v>
      </c>
      <c r="F1827" s="14" t="s">
        <v>46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699</v>
      </c>
      <c r="F1828" s="14" t="s">
        <v>46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699</v>
      </c>
      <c r="F1829" s="14" t="s">
        <v>46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699</v>
      </c>
      <c r="F1830" s="14" t="s">
        <v>46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699</v>
      </c>
      <c r="F1831" s="14" t="s">
        <v>46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699</v>
      </c>
      <c r="F1832" s="14" t="s">
        <v>46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699</v>
      </c>
      <c r="F1833" s="14" t="s">
        <v>46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699</v>
      </c>
      <c r="F1834" s="14" t="s">
        <v>46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699</v>
      </c>
      <c r="F1835" s="14" t="s">
        <v>46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789</v>
      </c>
      <c r="E1836" s="18" t="s">
        <v>1471</v>
      </c>
      <c r="F1836" s="14" t="s">
        <v>46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789</v>
      </c>
      <c r="E1837" s="18" t="s">
        <v>1471</v>
      </c>
      <c r="F1837" s="14" t="s">
        <v>46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699</v>
      </c>
      <c r="F1838" s="14" t="s">
        <v>46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699</v>
      </c>
      <c r="F1839" s="14" t="s">
        <v>46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699</v>
      </c>
      <c r="F1840" s="14" t="s">
        <v>46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699</v>
      </c>
      <c r="F1841" s="14" t="s">
        <v>46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699</v>
      </c>
      <c r="F1842" s="14" t="s">
        <v>46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699</v>
      </c>
      <c r="F1843" s="14" t="s">
        <v>46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699</v>
      </c>
      <c r="F1844" s="14" t="s">
        <v>46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699</v>
      </c>
      <c r="F1845" s="14" t="s">
        <v>46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699</v>
      </c>
      <c r="F1846" s="14" t="s">
        <v>46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699</v>
      </c>
      <c r="F1847" s="14" t="s">
        <v>46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699</v>
      </c>
      <c r="F1848" s="14" t="s">
        <v>46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699</v>
      </c>
      <c r="F1849" s="14" t="s">
        <v>46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699</v>
      </c>
      <c r="F1850" s="14" t="s">
        <v>46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699</v>
      </c>
      <c r="F1851" s="14" t="s">
        <v>46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699</v>
      </c>
      <c r="F1852" s="14" t="s">
        <v>46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699</v>
      </c>
      <c r="F1853" s="14" t="s">
        <v>46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699</v>
      </c>
      <c r="F1854" s="14" t="s">
        <v>46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789</v>
      </c>
      <c r="E1855" s="18" t="s">
        <v>1818</v>
      </c>
      <c r="F1855" s="14" t="s">
        <v>46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699</v>
      </c>
      <c r="F1856" s="14" t="s">
        <v>46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699</v>
      </c>
      <c r="F1857" s="14" t="s">
        <v>46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699</v>
      </c>
      <c r="F1858" s="14" t="s">
        <v>46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699</v>
      </c>
      <c r="F1859" s="14" t="s">
        <v>46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699</v>
      </c>
      <c r="F1860" s="14" t="s">
        <v>46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699</v>
      </c>
      <c r="F1861" s="14" t="s">
        <v>46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699</v>
      </c>
      <c r="F1862" s="14" t="s">
        <v>46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699</v>
      </c>
      <c r="F1863" s="14" t="s">
        <v>46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699</v>
      </c>
      <c r="F1864" s="14" t="s">
        <v>46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699</v>
      </c>
      <c r="F1865" s="14" t="s">
        <v>46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699</v>
      </c>
      <c r="F1866" s="14" t="s">
        <v>46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699</v>
      </c>
      <c r="F1867" s="14" t="s">
        <v>46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699</v>
      </c>
      <c r="F1868" s="14" t="s">
        <v>46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699</v>
      </c>
      <c r="F1869" s="14" t="s">
        <v>46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699</v>
      </c>
      <c r="F1870" s="14" t="s">
        <v>46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699</v>
      </c>
      <c r="F1871" s="14" t="s">
        <v>46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699</v>
      </c>
      <c r="F1872" s="14" t="s">
        <v>46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699</v>
      </c>
      <c r="F1873" s="14" t="s">
        <v>46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699</v>
      </c>
      <c r="F1874" s="14" t="s">
        <v>46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699</v>
      </c>
      <c r="F1875" s="14" t="s">
        <v>46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699</v>
      </c>
      <c r="F1876" s="14" t="s">
        <v>46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699</v>
      </c>
      <c r="F1877" s="14" t="s">
        <v>46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699</v>
      </c>
      <c r="F1878" s="14" t="s">
        <v>46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699</v>
      </c>
      <c r="F1879" s="14" t="s">
        <v>46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699</v>
      </c>
      <c r="F1880" s="14" t="s">
        <v>46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699</v>
      </c>
      <c r="F1881" s="14" t="s">
        <v>46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699</v>
      </c>
      <c r="F1882" s="14" t="s">
        <v>46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699</v>
      </c>
      <c r="F1883" s="14" t="s">
        <v>46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699</v>
      </c>
      <c r="F1884" s="14" t="s">
        <v>46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699</v>
      </c>
      <c r="F1885" s="14" t="s">
        <v>46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699</v>
      </c>
      <c r="F1886" s="14" t="s">
        <v>46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699</v>
      </c>
      <c r="F1887" s="14" t="s">
        <v>46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699</v>
      </c>
      <c r="F1888" s="14" t="s">
        <v>46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699</v>
      </c>
      <c r="F1889" s="14" t="s">
        <v>46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699</v>
      </c>
      <c r="F1890" s="14" t="s">
        <v>46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699</v>
      </c>
      <c r="F1891" s="14" t="s">
        <v>46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699</v>
      </c>
      <c r="F1892" s="14" t="s">
        <v>46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699</v>
      </c>
      <c r="F1893" s="14" t="s">
        <v>46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699</v>
      </c>
      <c r="F1894" s="14" t="s">
        <v>46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699</v>
      </c>
      <c r="F1895" s="14" t="s">
        <v>46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699</v>
      </c>
      <c r="F1896" s="14" t="s">
        <v>46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699</v>
      </c>
      <c r="F1897" s="14" t="s">
        <v>46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699</v>
      </c>
      <c r="F1898" s="14" t="s">
        <v>46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699</v>
      </c>
      <c r="F1899" s="14" t="s">
        <v>46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699</v>
      </c>
      <c r="F1900" s="14" t="s">
        <v>46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699</v>
      </c>
      <c r="F1901" s="14" t="s">
        <v>46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699</v>
      </c>
      <c r="F1902" s="14" t="s">
        <v>46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699</v>
      </c>
      <c r="F1903" s="14" t="s">
        <v>46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699</v>
      </c>
      <c r="F1904" s="14" t="s">
        <v>46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699</v>
      </c>
      <c r="F1905" s="14" t="s">
        <v>46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699</v>
      </c>
      <c r="F1906" s="14" t="s">
        <v>46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699</v>
      </c>
      <c r="F1907" s="14" t="s">
        <v>46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699</v>
      </c>
      <c r="F1908" s="14" t="s">
        <v>46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699</v>
      </c>
      <c r="F1909" s="14" t="s">
        <v>46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699</v>
      </c>
      <c r="F1910" s="14" t="s">
        <v>46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699</v>
      </c>
      <c r="F1911" s="14" t="s">
        <v>46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699</v>
      </c>
      <c r="F1912" s="14" t="s">
        <v>46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699</v>
      </c>
      <c r="F1913" s="14" t="s">
        <v>46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699</v>
      </c>
      <c r="F1914" s="14" t="s">
        <v>46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699</v>
      </c>
      <c r="F1915" s="14" t="s">
        <v>46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699</v>
      </c>
      <c r="F1916" s="14" t="s">
        <v>46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699</v>
      </c>
      <c r="F1917" s="14" t="s">
        <v>46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699</v>
      </c>
      <c r="F1918" s="14" t="s">
        <v>46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699</v>
      </c>
      <c r="F1919" s="14" t="s">
        <v>46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699</v>
      </c>
      <c r="F1920" s="14" t="s">
        <v>46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699</v>
      </c>
      <c r="F1921" s="14" t="s">
        <v>46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699</v>
      </c>
      <c r="F1922" s="14" t="s">
        <v>46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699</v>
      </c>
      <c r="F1923" s="14" t="s">
        <v>46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699</v>
      </c>
      <c r="F1924" s="14" t="s">
        <v>46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699</v>
      </c>
      <c r="F1925" s="14" t="s">
        <v>46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699</v>
      </c>
      <c r="F1926" s="14" t="s">
        <v>46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699</v>
      </c>
      <c r="F1927" s="14" t="s">
        <v>46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699</v>
      </c>
      <c r="F1928" s="14" t="s">
        <v>46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699</v>
      </c>
      <c r="F1929" s="14" t="s">
        <v>46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699</v>
      </c>
      <c r="F1930" s="14" t="s">
        <v>46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699</v>
      </c>
      <c r="F1931" s="14" t="s">
        <v>46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699</v>
      </c>
      <c r="F1932" s="14" t="s">
        <v>46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699</v>
      </c>
      <c r="F1933" s="14" t="s">
        <v>46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699</v>
      </c>
      <c r="F1934" s="14" t="s">
        <v>46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699</v>
      </c>
      <c r="F1935" s="14" t="s">
        <v>46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699</v>
      </c>
      <c r="F1936" s="14" t="s">
        <v>46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699</v>
      </c>
      <c r="F1937" s="14" t="s">
        <v>46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699</v>
      </c>
      <c r="F1938" s="14" t="s">
        <v>46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699</v>
      </c>
      <c r="F1939" s="14" t="s">
        <v>46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699</v>
      </c>
      <c r="F1940" s="14" t="s">
        <v>46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699</v>
      </c>
      <c r="F1941" s="14" t="s">
        <v>46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699</v>
      </c>
      <c r="F1942" s="14" t="s">
        <v>46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699</v>
      </c>
      <c r="F1943" s="14" t="s">
        <v>46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699</v>
      </c>
      <c r="F1944" s="14" t="s">
        <v>46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699</v>
      </c>
      <c r="F1945" s="14" t="s">
        <v>46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699</v>
      </c>
      <c r="F1946" s="14" t="s">
        <v>46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699</v>
      </c>
      <c r="F1947" s="14" t="s">
        <v>46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699</v>
      </c>
      <c r="F1948" s="14" t="s">
        <v>46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699</v>
      </c>
      <c r="F1949" s="14" t="s">
        <v>46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699</v>
      </c>
      <c r="F1950" s="14" t="s">
        <v>46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699</v>
      </c>
      <c r="F1951" s="14" t="s">
        <v>46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699</v>
      </c>
      <c r="F1952" s="14" t="s">
        <v>46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699</v>
      </c>
      <c r="F1953" s="14" t="s">
        <v>46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699</v>
      </c>
      <c r="F1954" s="14" t="s">
        <v>46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699</v>
      </c>
      <c r="F1955" s="14" t="s">
        <v>46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699</v>
      </c>
      <c r="F1956" s="14" t="s">
        <v>46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699</v>
      </c>
      <c r="F1957" s="14" t="s">
        <v>46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699</v>
      </c>
      <c r="F1958" s="14" t="s">
        <v>46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699</v>
      </c>
      <c r="F1959" s="14" t="s">
        <v>46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699</v>
      </c>
      <c r="F1960" s="14" t="s">
        <v>46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699</v>
      </c>
      <c r="F1961" s="14" t="s">
        <v>46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699</v>
      </c>
      <c r="F1962" s="14" t="s">
        <v>46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699</v>
      </c>
      <c r="F1963" s="14" t="s">
        <v>46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699</v>
      </c>
      <c r="F1964" s="14" t="s">
        <v>46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699</v>
      </c>
      <c r="F1965" s="14" t="s">
        <v>46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699</v>
      </c>
      <c r="F1966" s="14" t="s">
        <v>46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699</v>
      </c>
      <c r="F1967" s="14" t="s">
        <v>46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699</v>
      </c>
      <c r="F1968" s="14" t="s">
        <v>46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699</v>
      </c>
      <c r="F1969" s="14" t="s">
        <v>46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699</v>
      </c>
      <c r="F1970" s="14" t="s">
        <v>46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699</v>
      </c>
      <c r="F1971" s="14" t="s">
        <v>46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789</v>
      </c>
      <c r="E1972" s="18" t="s">
        <v>986</v>
      </c>
      <c r="F1972" s="14" t="s">
        <v>46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699</v>
      </c>
      <c r="F1973" s="14" t="s">
        <v>46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699</v>
      </c>
      <c r="F1974" s="14" t="s">
        <v>46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699</v>
      </c>
      <c r="F1975" s="14" t="s">
        <v>46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699</v>
      </c>
      <c r="F1976" s="14" t="s">
        <v>46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699</v>
      </c>
      <c r="F1977" s="14" t="s">
        <v>46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699</v>
      </c>
      <c r="F1978" s="14" t="s">
        <v>46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699</v>
      </c>
      <c r="F1979" s="14" t="s">
        <v>46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699</v>
      </c>
      <c r="F1980" s="14" t="s">
        <v>46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699</v>
      </c>
      <c r="F1981" s="14" t="s">
        <v>46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699</v>
      </c>
      <c r="F1982" s="14" t="s">
        <v>46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699</v>
      </c>
      <c r="F1983" s="14" t="s">
        <v>46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699</v>
      </c>
      <c r="F1984" s="14" t="s">
        <v>46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699</v>
      </c>
      <c r="F1985" s="14" t="s">
        <v>46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699</v>
      </c>
      <c r="F1986" s="14" t="s">
        <v>46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699</v>
      </c>
      <c r="F1987" s="14" t="s">
        <v>46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699</v>
      </c>
      <c r="F1988" s="14" t="s">
        <v>46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699</v>
      </c>
      <c r="F1989" s="14" t="s">
        <v>46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699</v>
      </c>
      <c r="F1990" s="14" t="s">
        <v>46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699</v>
      </c>
      <c r="F1991" s="14" t="s">
        <v>46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699</v>
      </c>
      <c r="F1992" s="14" t="s">
        <v>46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699</v>
      </c>
      <c r="F1993" s="14" t="s">
        <v>46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699</v>
      </c>
      <c r="F1994" s="14" t="s">
        <v>46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699</v>
      </c>
      <c r="F1995" s="14" t="s">
        <v>46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699</v>
      </c>
      <c r="F1996" s="14" t="s">
        <v>46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699</v>
      </c>
      <c r="F1997" s="14" t="s">
        <v>46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699</v>
      </c>
      <c r="F1998" s="14" t="s">
        <v>46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699</v>
      </c>
      <c r="F1999" s="14" t="s">
        <v>46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699</v>
      </c>
      <c r="F2000" s="14" t="s">
        <v>46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699</v>
      </c>
      <c r="F2001" s="14" t="s">
        <v>46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699</v>
      </c>
      <c r="F2002" s="14" t="s">
        <v>46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699</v>
      </c>
      <c r="F2003" s="14" t="s">
        <v>46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699</v>
      </c>
      <c r="F2004" s="14" t="s">
        <v>46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699</v>
      </c>
      <c r="F2005" s="14" t="s">
        <v>46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699</v>
      </c>
      <c r="F2006" s="14" t="s">
        <v>46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699</v>
      </c>
      <c r="F2007" s="14" t="s">
        <v>46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699</v>
      </c>
      <c r="F2008" s="14" t="s">
        <v>46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699</v>
      </c>
      <c r="F2009" s="14" t="s">
        <v>46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699</v>
      </c>
      <c r="F2010" s="14" t="s">
        <v>46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699</v>
      </c>
      <c r="F2011" s="14" t="s">
        <v>46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699</v>
      </c>
      <c r="F2012" s="14" t="s">
        <v>46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699</v>
      </c>
      <c r="F2013" s="14" t="s">
        <v>46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699</v>
      </c>
      <c r="F2014" s="14" t="s">
        <v>46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699</v>
      </c>
      <c r="F2015" s="14" t="s">
        <v>46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699</v>
      </c>
      <c r="F2016" s="14" t="s">
        <v>46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699</v>
      </c>
      <c r="F2017" s="14" t="s">
        <v>46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699</v>
      </c>
      <c r="F2018" s="14" t="s">
        <v>46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699</v>
      </c>
      <c r="F2019" s="14" t="s">
        <v>46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699</v>
      </c>
      <c r="F2020" s="14" t="s">
        <v>46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699</v>
      </c>
      <c r="F2021" s="14" t="s">
        <v>46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699</v>
      </c>
      <c r="F2022" s="14" t="s">
        <v>46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699</v>
      </c>
      <c r="F2023" s="14" t="s">
        <v>46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699</v>
      </c>
      <c r="F2024" s="14" t="s">
        <v>46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699</v>
      </c>
      <c r="F2025" s="14" t="s">
        <v>46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699</v>
      </c>
      <c r="F2026" s="14" t="s">
        <v>46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699</v>
      </c>
      <c r="F2027" s="14" t="s">
        <v>46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699</v>
      </c>
      <c r="F2028" s="14" t="s">
        <v>46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699</v>
      </c>
      <c r="F2029" s="14" t="s">
        <v>46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699</v>
      </c>
      <c r="F2030" s="14" t="s">
        <v>46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699</v>
      </c>
      <c r="F2031" s="14" t="s">
        <v>46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699</v>
      </c>
      <c r="F2032" s="14" t="s">
        <v>46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699</v>
      </c>
      <c r="F2033" s="14" t="s">
        <v>46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699</v>
      </c>
      <c r="F2034" s="14" t="s">
        <v>46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699</v>
      </c>
      <c r="F2035" s="14" t="s">
        <v>46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699</v>
      </c>
      <c r="F2036" s="14" t="s">
        <v>46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699</v>
      </c>
      <c r="F2037" s="14" t="s">
        <v>46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699</v>
      </c>
      <c r="F2038" s="14" t="s">
        <v>46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699</v>
      </c>
      <c r="F2039" s="14" t="s">
        <v>46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699</v>
      </c>
      <c r="F2040" s="14" t="s">
        <v>46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699</v>
      </c>
      <c r="F2041" s="14" t="s">
        <v>46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699</v>
      </c>
      <c r="F2042" s="14" t="s">
        <v>46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699</v>
      </c>
      <c r="F2043" s="14" t="s">
        <v>46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699</v>
      </c>
      <c r="F2044" s="14" t="s">
        <v>46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699</v>
      </c>
      <c r="F2045" s="14" t="s">
        <v>46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699</v>
      </c>
      <c r="F2046" s="14" t="s">
        <v>46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699</v>
      </c>
      <c r="F2047" s="14" t="s">
        <v>46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699</v>
      </c>
      <c r="F2048" s="14" t="s">
        <v>46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699</v>
      </c>
      <c r="F2049" s="14" t="s">
        <v>46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699</v>
      </c>
      <c r="F2050" s="14" t="s">
        <v>46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699</v>
      </c>
      <c r="F2051" s="14" t="s">
        <v>46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699</v>
      </c>
      <c r="F2052" s="14" t="s">
        <v>46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699</v>
      </c>
      <c r="F2053" s="14" t="s">
        <v>46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699</v>
      </c>
      <c r="F2054" s="14" t="s">
        <v>46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699</v>
      </c>
      <c r="F2055" s="14" t="s">
        <v>46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699</v>
      </c>
      <c r="F2056" s="14" t="s">
        <v>46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699</v>
      </c>
      <c r="F2057" s="14" t="s">
        <v>46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789</v>
      </c>
      <c r="E2058" s="18" t="s">
        <v>1819</v>
      </c>
      <c r="F2058" s="14" t="s">
        <v>46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699</v>
      </c>
      <c r="F2059" s="14" t="s">
        <v>46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699</v>
      </c>
      <c r="F2060" s="14" t="s">
        <v>46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699</v>
      </c>
      <c r="F2061" s="14" t="s">
        <v>46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699</v>
      </c>
      <c r="F2062" s="14" t="s">
        <v>46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699</v>
      </c>
      <c r="F2063" s="14" t="s">
        <v>46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699</v>
      </c>
      <c r="F2064" s="14" t="s">
        <v>46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699</v>
      </c>
      <c r="F2065" s="14" t="s">
        <v>46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699</v>
      </c>
      <c r="F2066" s="14" t="s">
        <v>46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699</v>
      </c>
      <c r="F2067" s="14" t="s">
        <v>46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699</v>
      </c>
      <c r="F2068" s="14" t="s">
        <v>46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699</v>
      </c>
      <c r="F2069" s="14" t="s">
        <v>46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699</v>
      </c>
      <c r="F2070" s="14" t="s">
        <v>46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699</v>
      </c>
      <c r="F2071" s="14" t="s">
        <v>46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699</v>
      </c>
      <c r="F2072" s="14" t="s">
        <v>46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699</v>
      </c>
      <c r="F2073" s="14" t="s">
        <v>46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699</v>
      </c>
      <c r="F2074" s="14" t="s">
        <v>46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699</v>
      </c>
      <c r="F2075" s="14" t="s">
        <v>46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699</v>
      </c>
      <c r="F2076" s="14" t="s">
        <v>46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699</v>
      </c>
      <c r="F2077" s="14" t="s">
        <v>46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699</v>
      </c>
      <c r="F2078" s="14" t="s">
        <v>46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699</v>
      </c>
      <c r="F2079" s="14" t="s">
        <v>46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699</v>
      </c>
      <c r="F2080" s="14" t="s">
        <v>46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699</v>
      </c>
      <c r="F2081" s="14" t="s">
        <v>46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699</v>
      </c>
      <c r="F2082" s="14" t="s">
        <v>46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699</v>
      </c>
      <c r="F2083" s="14" t="s">
        <v>46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699</v>
      </c>
      <c r="F2084" s="14" t="s">
        <v>46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699</v>
      </c>
      <c r="F2085" s="14" t="s">
        <v>46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699</v>
      </c>
      <c r="F2086" s="14" t="s">
        <v>46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699</v>
      </c>
      <c r="F2087" s="14" t="s">
        <v>46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699</v>
      </c>
      <c r="F2088" s="14" t="s">
        <v>46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699</v>
      </c>
      <c r="F2089" s="14" t="s">
        <v>46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699</v>
      </c>
      <c r="F2090" s="14" t="s">
        <v>46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699</v>
      </c>
      <c r="F2091" s="14" t="s">
        <v>46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699</v>
      </c>
      <c r="F2092" s="14" t="s">
        <v>46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699</v>
      </c>
      <c r="F2093" s="14" t="s">
        <v>46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699</v>
      </c>
      <c r="F2094" s="14" t="s">
        <v>46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699</v>
      </c>
      <c r="F2095" s="14" t="s">
        <v>46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699</v>
      </c>
      <c r="F2096" s="14" t="s">
        <v>46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699</v>
      </c>
      <c r="F2097" s="14" t="s">
        <v>46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699</v>
      </c>
      <c r="F2098" s="14" t="s">
        <v>46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699</v>
      </c>
      <c r="F2099" s="14" t="s">
        <v>46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699</v>
      </c>
      <c r="F2100" s="14" t="s">
        <v>46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699</v>
      </c>
      <c r="F2101" s="14" t="s">
        <v>46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699</v>
      </c>
      <c r="F2102" s="14" t="s">
        <v>46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699</v>
      </c>
      <c r="F2103" s="14" t="s">
        <v>46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699</v>
      </c>
      <c r="F2104" s="14" t="s">
        <v>46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699</v>
      </c>
      <c r="F2105" s="14" t="s">
        <v>46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699</v>
      </c>
      <c r="F2106" s="14" t="s">
        <v>46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699</v>
      </c>
      <c r="F2107" s="14" t="s">
        <v>46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699</v>
      </c>
      <c r="F2108" s="14" t="s">
        <v>46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699</v>
      </c>
      <c r="F2109" s="14" t="s">
        <v>46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699</v>
      </c>
      <c r="F2110" s="14" t="s">
        <v>46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699</v>
      </c>
      <c r="F2111" s="14" t="s">
        <v>46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699</v>
      </c>
      <c r="F2112" s="14" t="s">
        <v>46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699</v>
      </c>
      <c r="F2113" s="14" t="s">
        <v>46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699</v>
      </c>
      <c r="F2114" s="14" t="s">
        <v>46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699</v>
      </c>
      <c r="F2115" s="14" t="s">
        <v>46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699</v>
      </c>
      <c r="F2116" s="14" t="s">
        <v>46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699</v>
      </c>
      <c r="F2117" s="14" t="s">
        <v>46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699</v>
      </c>
      <c r="F2118" s="14" t="s">
        <v>46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699</v>
      </c>
      <c r="F2119" s="14" t="s">
        <v>46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699</v>
      </c>
      <c r="F2120" s="14" t="s">
        <v>46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699</v>
      </c>
      <c r="F2121" s="14" t="s">
        <v>46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699</v>
      </c>
      <c r="F2122" s="14" t="s">
        <v>46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699</v>
      </c>
      <c r="F2123" s="14" t="s">
        <v>46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699</v>
      </c>
      <c r="F2124" s="14" t="s">
        <v>46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699</v>
      </c>
      <c r="F2125" s="14" t="s">
        <v>46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699</v>
      </c>
      <c r="F2126" s="14" t="s">
        <v>46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699</v>
      </c>
      <c r="F2127" s="14" t="s">
        <v>46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699</v>
      </c>
      <c r="F2128" s="14" t="s">
        <v>46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699</v>
      </c>
      <c r="F2129" s="14" t="s">
        <v>46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699</v>
      </c>
      <c r="F2130" s="14" t="s">
        <v>46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699</v>
      </c>
      <c r="F2131" s="14" t="s">
        <v>46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699</v>
      </c>
      <c r="F2132" s="14" t="s">
        <v>46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699</v>
      </c>
      <c r="F2133" s="14" t="s">
        <v>46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699</v>
      </c>
      <c r="F2134" s="14" t="s">
        <v>46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699</v>
      </c>
      <c r="F2135" s="14" t="s">
        <v>46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699</v>
      </c>
      <c r="F2136" s="14" t="s">
        <v>46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699</v>
      </c>
      <c r="F2137" s="14" t="s">
        <v>46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699</v>
      </c>
      <c r="F2138" s="14" t="s">
        <v>46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699</v>
      </c>
      <c r="F2139" s="14" t="s">
        <v>46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699</v>
      </c>
      <c r="F2140" s="14" t="s">
        <v>46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699</v>
      </c>
      <c r="F2141" s="14" t="s">
        <v>46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699</v>
      </c>
      <c r="F2142" s="14" t="s">
        <v>46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699</v>
      </c>
      <c r="F2143" s="14" t="s">
        <v>46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699</v>
      </c>
      <c r="F2144" s="14" t="s">
        <v>46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699</v>
      </c>
      <c r="F2145" s="14" t="s">
        <v>46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699</v>
      </c>
      <c r="F2146" s="14" t="s">
        <v>46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699</v>
      </c>
      <c r="F2147" s="14" t="s">
        <v>46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699</v>
      </c>
      <c r="F2148" s="14" t="s">
        <v>46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699</v>
      </c>
      <c r="F2149" s="14" t="s">
        <v>46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699</v>
      </c>
      <c r="F2150" s="14" t="s">
        <v>46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789</v>
      </c>
      <c r="E2151" s="18" t="s">
        <v>1820</v>
      </c>
      <c r="F2151" s="14" t="s">
        <v>46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699</v>
      </c>
      <c r="F2152" s="14" t="s">
        <v>46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789</v>
      </c>
      <c r="E2153" s="18" t="s">
        <v>1820</v>
      </c>
      <c r="F2153" s="14" t="s">
        <v>46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789</v>
      </c>
      <c r="E2154" s="18" t="s">
        <v>1821</v>
      </c>
      <c r="F2154" s="14" t="s">
        <v>46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699</v>
      </c>
      <c r="F2155" s="14" t="s">
        <v>46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699</v>
      </c>
      <c r="F2156" s="14" t="s">
        <v>46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699</v>
      </c>
      <c r="F2157" s="14" t="s">
        <v>46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699</v>
      </c>
      <c r="F2158" s="14" t="s">
        <v>46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699</v>
      </c>
      <c r="F2159" s="14" t="s">
        <v>46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699</v>
      </c>
      <c r="F2160" s="14" t="s">
        <v>46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699</v>
      </c>
      <c r="F2161" s="14" t="s">
        <v>88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699</v>
      </c>
      <c r="F2162" s="14" t="s">
        <v>88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699</v>
      </c>
      <c r="F2163" s="14" t="s">
        <v>88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699</v>
      </c>
      <c r="F2164" s="14" t="s">
        <v>88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699</v>
      </c>
      <c r="F2165" s="14" t="s">
        <v>88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699</v>
      </c>
      <c r="F2166" s="14" t="s">
        <v>88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699</v>
      </c>
      <c r="F2167" s="14" t="s">
        <v>88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699</v>
      </c>
      <c r="F2168" s="14" t="s">
        <v>88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699</v>
      </c>
      <c r="F2169" s="14" t="s">
        <v>88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699</v>
      </c>
      <c r="F2170" s="14" t="s">
        <v>88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699</v>
      </c>
      <c r="F2171" s="14" t="s">
        <v>88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699</v>
      </c>
      <c r="F2172" s="14" t="s">
        <v>88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699</v>
      </c>
      <c r="F2173" s="14" t="s">
        <v>46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699</v>
      </c>
      <c r="F2174" s="14" t="s">
        <v>46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699</v>
      </c>
      <c r="F2175" s="14" t="s">
        <v>46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699</v>
      </c>
      <c r="F2176" s="14" t="s">
        <v>46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699</v>
      </c>
      <c r="F2177" s="14" t="s">
        <v>46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699</v>
      </c>
      <c r="F2178" s="14" t="s">
        <v>46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699</v>
      </c>
      <c r="F2179" s="14" t="s">
        <v>46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699</v>
      </c>
      <c r="F2180" s="14" t="s">
        <v>46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699</v>
      </c>
      <c r="F2181" s="14" t="s">
        <v>46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789</v>
      </c>
      <c r="E2182" s="18" t="s">
        <v>986</v>
      </c>
      <c r="F2182" s="14" t="s">
        <v>46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699</v>
      </c>
      <c r="F2183" s="14" t="s">
        <v>46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699</v>
      </c>
      <c r="F2184" s="14" t="s">
        <v>46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699</v>
      </c>
      <c r="F2185" s="14" t="s">
        <v>46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699</v>
      </c>
      <c r="F2186" s="14" t="s">
        <v>46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699</v>
      </c>
      <c r="F2187" s="14" t="s">
        <v>46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699</v>
      </c>
      <c r="F2188" s="14" t="s">
        <v>46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699</v>
      </c>
      <c r="F2189" s="14" t="s">
        <v>46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699</v>
      </c>
      <c r="F2190" s="14" t="s">
        <v>46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699</v>
      </c>
      <c r="F2191" s="14" t="s">
        <v>46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699</v>
      </c>
      <c r="F2192" s="14" t="s">
        <v>46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699</v>
      </c>
      <c r="F2193" s="14" t="s">
        <v>46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699</v>
      </c>
      <c r="F2194" s="14" t="s">
        <v>46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699</v>
      </c>
      <c r="F2195" s="14" t="s">
        <v>46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699</v>
      </c>
      <c r="F2196" s="14" t="s">
        <v>46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699</v>
      </c>
      <c r="F2197" s="14" t="s">
        <v>46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699</v>
      </c>
      <c r="F2198" s="14" t="s">
        <v>46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699</v>
      </c>
      <c r="F2199" s="14" t="s">
        <v>46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699</v>
      </c>
      <c r="F2200" s="14" t="s">
        <v>46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699</v>
      </c>
      <c r="F2201" s="14" t="s">
        <v>46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699</v>
      </c>
      <c r="F2202" s="14" t="s">
        <v>46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699</v>
      </c>
      <c r="F2203" s="14" t="s">
        <v>88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699</v>
      </c>
      <c r="F2204" s="14" t="s">
        <v>46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699</v>
      </c>
      <c r="F2205" s="14" t="s">
        <v>46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699</v>
      </c>
      <c r="F2206" s="14" t="s">
        <v>46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699</v>
      </c>
      <c r="F2207" s="14" t="s">
        <v>46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699</v>
      </c>
      <c r="F2208" s="14" t="s">
        <v>46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699</v>
      </c>
      <c r="F2209" s="14" t="s">
        <v>46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699</v>
      </c>
      <c r="F2210" s="14" t="s">
        <v>46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699</v>
      </c>
      <c r="F2211" s="14" t="s">
        <v>46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699</v>
      </c>
      <c r="F2212" s="14" t="s">
        <v>46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699</v>
      </c>
      <c r="F2213" s="14" t="s">
        <v>46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699</v>
      </c>
      <c r="F2214" s="14" t="s">
        <v>46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699</v>
      </c>
      <c r="F2215" s="14" t="s">
        <v>46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699</v>
      </c>
      <c r="F2216" s="14" t="s">
        <v>46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699</v>
      </c>
      <c r="F2217" s="14" t="s">
        <v>46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699</v>
      </c>
      <c r="F2218" s="14" t="s">
        <v>46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699</v>
      </c>
      <c r="F2219" s="14" t="s">
        <v>46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699</v>
      </c>
      <c r="F2220" s="14" t="s">
        <v>88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699</v>
      </c>
      <c r="F2221" s="14" t="s">
        <v>46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699</v>
      </c>
      <c r="F2222" s="14" t="s">
        <v>46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699</v>
      </c>
      <c r="F2223" s="14" t="s">
        <v>88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699</v>
      </c>
      <c r="F2224" s="14" t="s">
        <v>46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699</v>
      </c>
      <c r="F2225" s="14" t="s">
        <v>46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699</v>
      </c>
      <c r="F2226" s="14" t="s">
        <v>46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699</v>
      </c>
      <c r="F2227" s="14" t="s">
        <v>46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699</v>
      </c>
      <c r="F2228" s="14" t="s">
        <v>46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699</v>
      </c>
      <c r="F2229" s="14" t="s">
        <v>46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699</v>
      </c>
      <c r="F2230" s="14" t="s">
        <v>46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699</v>
      </c>
      <c r="F2231" s="14" t="s">
        <v>46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699</v>
      </c>
      <c r="F2232" s="14" t="s">
        <v>46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699</v>
      </c>
      <c r="F2233" s="14" t="s">
        <v>46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699</v>
      </c>
      <c r="F2234" s="14" t="s">
        <v>46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699</v>
      </c>
      <c r="F2235" s="14" t="s">
        <v>46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699</v>
      </c>
      <c r="F2236" s="14" t="s">
        <v>46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699</v>
      </c>
      <c r="F2237" s="14" t="s">
        <v>46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699</v>
      </c>
      <c r="F2238" s="14" t="s">
        <v>46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699</v>
      </c>
      <c r="F2239" s="14" t="s">
        <v>46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699</v>
      </c>
      <c r="F2240" s="14" t="s">
        <v>46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699</v>
      </c>
      <c r="F2241" s="14" t="s">
        <v>46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699</v>
      </c>
      <c r="F2242" s="14" t="s">
        <v>46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699</v>
      </c>
      <c r="F2243" s="14" t="s">
        <v>46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699</v>
      </c>
      <c r="F2244" s="14" t="s">
        <v>46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699</v>
      </c>
      <c r="F2245" s="14" t="s">
        <v>46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699</v>
      </c>
      <c r="F2246" s="14" t="s">
        <v>46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699</v>
      </c>
      <c r="F2247" s="14" t="s">
        <v>46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699</v>
      </c>
      <c r="F2248" s="14" t="s">
        <v>46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699</v>
      </c>
      <c r="F2249" s="14" t="s">
        <v>46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699</v>
      </c>
      <c r="F2250" s="14" t="s">
        <v>46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699</v>
      </c>
      <c r="F2251" s="14" t="s">
        <v>46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699</v>
      </c>
      <c r="F2252" s="14" t="s">
        <v>46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699</v>
      </c>
      <c r="F2253" s="14" t="s">
        <v>46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699</v>
      </c>
      <c r="F2254" s="14" t="s">
        <v>46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699</v>
      </c>
      <c r="F2255" s="14" t="s">
        <v>46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699</v>
      </c>
      <c r="F2256" s="14" t="s">
        <v>46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699</v>
      </c>
      <c r="F2257" s="14" t="s">
        <v>46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699</v>
      </c>
      <c r="F2258" s="14" t="s">
        <v>46</v>
      </c>
    </row>
    <row r="2259" ht="22.5" customHeight="1">
      <c r="A2259" s="18">
        <v>2259.0</v>
      </c>
      <c r="B2259" s="23">
        <v>34.0</v>
      </c>
      <c r="C2259" s="23">
        <v>12.0</v>
      </c>
      <c r="D2259" s="18" t="s">
        <v>699</v>
      </c>
      <c r="E2259" s="25"/>
      <c r="F2259" s="14" t="s">
        <v>46</v>
      </c>
    </row>
    <row r="2260" ht="22.5" customHeight="1">
      <c r="A2260" s="18">
        <v>2260.0</v>
      </c>
      <c r="B2260" s="23">
        <v>35.0</v>
      </c>
      <c r="C2260" s="23">
        <v>12.0</v>
      </c>
      <c r="D2260" s="18" t="s">
        <v>699</v>
      </c>
      <c r="E2260" s="25"/>
      <c r="F2260" s="14" t="s">
        <v>46</v>
      </c>
    </row>
    <row r="2261" ht="22.5" customHeight="1">
      <c r="A2261" s="18">
        <v>2261.0</v>
      </c>
      <c r="B2261" s="23">
        <v>37.0</v>
      </c>
      <c r="C2261" s="23">
        <v>12.0</v>
      </c>
      <c r="D2261" s="18" t="s">
        <v>699</v>
      </c>
      <c r="E2261" s="25"/>
      <c r="F2261" s="14" t="s">
        <v>46</v>
      </c>
    </row>
    <row r="2262" ht="22.5" customHeight="1">
      <c r="A2262" s="18">
        <v>2262.0</v>
      </c>
      <c r="B2262" s="23">
        <v>38.0</v>
      </c>
      <c r="C2262" s="23">
        <v>12.0</v>
      </c>
      <c r="D2262" s="18" t="s">
        <v>699</v>
      </c>
      <c r="E2262" s="25"/>
      <c r="F2262" s="14" t="s">
        <v>46</v>
      </c>
    </row>
    <row r="2263" ht="22.5" customHeight="1">
      <c r="A2263" s="18">
        <v>2263.0</v>
      </c>
      <c r="B2263" s="23">
        <v>88.0</v>
      </c>
      <c r="C2263" s="23">
        <v>12.0</v>
      </c>
      <c r="D2263" s="18" t="s">
        <v>699</v>
      </c>
      <c r="E2263" s="25"/>
      <c r="F2263" s="14" t="s">
        <v>46</v>
      </c>
    </row>
    <row r="2264" ht="22.5" customHeight="1">
      <c r="A2264" s="18">
        <v>2264.0</v>
      </c>
      <c r="B2264" s="23">
        <v>89.0</v>
      </c>
      <c r="C2264" s="23">
        <v>12.0</v>
      </c>
      <c r="D2264" s="18" t="s">
        <v>699</v>
      </c>
      <c r="E2264" s="25"/>
      <c r="F2264" s="14" t="s">
        <v>46</v>
      </c>
    </row>
    <row r="2265" ht="22.5" customHeight="1">
      <c r="A2265" s="18">
        <v>2265.0</v>
      </c>
      <c r="B2265" s="23">
        <v>40.0</v>
      </c>
      <c r="C2265" s="23">
        <v>12.0</v>
      </c>
      <c r="D2265" s="18" t="s">
        <v>699</v>
      </c>
      <c r="E2265" s="25"/>
      <c r="F2265" s="14" t="s">
        <v>46</v>
      </c>
    </row>
    <row r="2266" ht="22.5" customHeight="1">
      <c r="A2266" s="18">
        <v>2266.0</v>
      </c>
      <c r="B2266" s="23">
        <v>41.0</v>
      </c>
      <c r="C2266" s="23">
        <v>12.0</v>
      </c>
      <c r="D2266" s="18" t="s">
        <v>699</v>
      </c>
      <c r="E2266" s="25"/>
      <c r="F2266" s="14" t="s">
        <v>46</v>
      </c>
    </row>
    <row r="2267" ht="22.5" customHeight="1">
      <c r="A2267" s="18">
        <v>2267.0</v>
      </c>
      <c r="B2267" s="23">
        <v>42.0</v>
      </c>
      <c r="C2267" s="23">
        <v>12.0</v>
      </c>
      <c r="D2267" s="18" t="s">
        <v>699</v>
      </c>
      <c r="E2267" s="25"/>
      <c r="F2267" s="14" t="s">
        <v>46</v>
      </c>
    </row>
    <row r="2268" ht="22.5" customHeight="1">
      <c r="A2268" s="18">
        <v>2268.0</v>
      </c>
      <c r="B2268" s="23">
        <v>46.0</v>
      </c>
      <c r="C2268" s="23">
        <v>12.0</v>
      </c>
      <c r="D2268" s="18" t="s">
        <v>699</v>
      </c>
      <c r="E2268" s="25"/>
      <c r="F2268" s="14" t="s">
        <v>46</v>
      </c>
    </row>
    <row r="2269" ht="22.5" customHeight="1">
      <c r="A2269" s="18">
        <v>2269.0</v>
      </c>
      <c r="B2269" s="23">
        <v>49.0</v>
      </c>
      <c r="C2269" s="23">
        <v>12.0</v>
      </c>
      <c r="D2269" s="18" t="s">
        <v>699</v>
      </c>
      <c r="E2269" s="25"/>
      <c r="F2269" s="14" t="s">
        <v>46</v>
      </c>
    </row>
    <row r="2270" ht="22.5" customHeight="1">
      <c r="A2270" s="23">
        <v>2270.0</v>
      </c>
      <c r="B2270" s="23">
        <v>51.0</v>
      </c>
      <c r="C2270" s="18">
        <v>34.0</v>
      </c>
      <c r="D2270" s="23" t="s">
        <v>699</v>
      </c>
      <c r="E2270" s="25"/>
      <c r="F2270" s="14" t="s">
        <v>46</v>
      </c>
    </row>
    <row r="2271" ht="22.5" customHeight="1">
      <c r="A2271" s="23">
        <v>2271.0</v>
      </c>
      <c r="B2271" s="23">
        <v>55.0</v>
      </c>
      <c r="C2271" s="23">
        <v>8.0</v>
      </c>
      <c r="D2271" s="23" t="s">
        <v>699</v>
      </c>
      <c r="E2271" s="25"/>
      <c r="F2271" s="14" t="s">
        <v>46</v>
      </c>
    </row>
    <row r="2272" ht="22.5" customHeight="1">
      <c r="A2272" s="23">
        <v>2272.0</v>
      </c>
      <c r="B2272" s="23">
        <v>43.0</v>
      </c>
      <c r="C2272" s="23">
        <v>25.0</v>
      </c>
      <c r="D2272" s="23" t="s">
        <v>699</v>
      </c>
      <c r="E2272" s="25"/>
      <c r="F2272" s="14" t="s">
        <v>46</v>
      </c>
    </row>
    <row r="2273" ht="22.5" customHeight="1">
      <c r="A2273" s="23">
        <v>2273.0</v>
      </c>
      <c r="B2273" s="23">
        <v>116.0</v>
      </c>
      <c r="C2273" s="23">
        <v>3.0</v>
      </c>
      <c r="D2273" s="23" t="s">
        <v>699</v>
      </c>
      <c r="E2273" s="25"/>
      <c r="F2273" s="14" t="s">
        <v>46</v>
      </c>
    </row>
    <row r="2274" ht="22.5" customHeight="1">
      <c r="A2274" s="23">
        <v>2274.0</v>
      </c>
      <c r="B2274" s="23">
        <v>116.0</v>
      </c>
      <c r="C2274" s="23">
        <v>4.0</v>
      </c>
      <c r="D2274" s="23" t="s">
        <v>699</v>
      </c>
      <c r="E2274" s="25"/>
      <c r="F2274" s="14" t="s">
        <v>46</v>
      </c>
    </row>
    <row r="2275" ht="22.5" customHeight="1">
      <c r="A2275" s="23">
        <v>2275.0</v>
      </c>
      <c r="B2275" s="23">
        <v>116.0</v>
      </c>
      <c r="C2275" s="23">
        <v>5.0</v>
      </c>
      <c r="D2275" s="23" t="s">
        <v>699</v>
      </c>
      <c r="E2275" s="25"/>
      <c r="F2275" s="14" t="s">
        <v>46</v>
      </c>
    </row>
    <row r="2276" ht="22.5" customHeight="1">
      <c r="A2276" s="23">
        <v>2276.0</v>
      </c>
      <c r="B2276" s="23">
        <v>116.0</v>
      </c>
      <c r="C2276" s="23">
        <v>10.0</v>
      </c>
      <c r="D2276" s="23" t="s">
        <v>699</v>
      </c>
      <c r="E2276" s="25"/>
      <c r="F2276" s="14" t="s">
        <v>46</v>
      </c>
    </row>
    <row r="2277" ht="22.5" customHeight="1">
      <c r="A2277" s="23">
        <v>2277.0</v>
      </c>
      <c r="B2277" s="23">
        <v>116.0</v>
      </c>
      <c r="C2277" s="23">
        <v>19.0</v>
      </c>
      <c r="D2277" s="23" t="s">
        <v>699</v>
      </c>
      <c r="E2277" s="25"/>
      <c r="F2277" s="14" t="s">
        <v>46</v>
      </c>
    </row>
    <row r="2278" ht="22.5" customHeight="1">
      <c r="A2278" s="23">
        <v>2278.0</v>
      </c>
      <c r="B2278" s="23">
        <v>116.0</v>
      </c>
      <c r="C2278" s="23">
        <v>29.0</v>
      </c>
      <c r="D2278" s="23" t="s">
        <v>699</v>
      </c>
      <c r="E2278" s="25"/>
      <c r="F2278" s="14" t="s">
        <v>46</v>
      </c>
    </row>
    <row r="2279" ht="22.5" customHeight="1">
      <c r="A2279" s="23">
        <v>2279.0</v>
      </c>
      <c r="B2279" s="23">
        <v>116.0</v>
      </c>
      <c r="C2279" s="23">
        <v>34.0</v>
      </c>
      <c r="D2279" s="23" t="s">
        <v>699</v>
      </c>
      <c r="E2279" s="25"/>
      <c r="F2279" s="14" t="s">
        <v>46</v>
      </c>
    </row>
    <row r="2280" ht="22.5" customHeight="1">
      <c r="A2280" s="23">
        <v>2280.0</v>
      </c>
      <c r="B2280" s="23">
        <v>117.0</v>
      </c>
      <c r="C2280" s="23">
        <v>2.0</v>
      </c>
      <c r="D2280" s="23" t="s">
        <v>699</v>
      </c>
      <c r="E2280" s="25"/>
      <c r="F2280" s="14" t="s">
        <v>46</v>
      </c>
    </row>
    <row r="2281" ht="22.5" customHeight="1">
      <c r="A2281" s="23">
        <v>2281.0</v>
      </c>
      <c r="B2281" s="23">
        <v>117.0</v>
      </c>
      <c r="C2281" s="23">
        <v>3.0</v>
      </c>
      <c r="D2281" s="23" t="s">
        <v>699</v>
      </c>
      <c r="E2281" s="25"/>
      <c r="F2281" s="14" t="s">
        <v>46</v>
      </c>
    </row>
    <row r="2282" ht="22.5" customHeight="1">
      <c r="A2282" s="23">
        <v>2282.0</v>
      </c>
      <c r="B2282" s="23">
        <v>117.0</v>
      </c>
      <c r="C2282" s="23">
        <v>4.0</v>
      </c>
      <c r="D2282" s="23" t="s">
        <v>699</v>
      </c>
      <c r="E2282" s="25"/>
      <c r="F2282" s="14" t="s">
        <v>46</v>
      </c>
    </row>
    <row r="2283" ht="22.5" customHeight="1">
      <c r="A2283" s="23">
        <v>2283.0</v>
      </c>
      <c r="B2283" s="23">
        <v>117.0</v>
      </c>
      <c r="C2283" s="23">
        <v>5.0</v>
      </c>
      <c r="D2283" s="23" t="s">
        <v>699</v>
      </c>
      <c r="E2283" s="25"/>
      <c r="F2283" s="14" t="s">
        <v>46</v>
      </c>
    </row>
    <row r="2284" ht="22.5" customHeight="1">
      <c r="A2284" s="23">
        <v>2284.0</v>
      </c>
      <c r="B2284" s="23">
        <v>117.0</v>
      </c>
      <c r="C2284" s="23">
        <v>6.0</v>
      </c>
      <c r="D2284" s="23" t="s">
        <v>699</v>
      </c>
      <c r="E2284" s="25"/>
      <c r="F2284" s="14" t="s">
        <v>46</v>
      </c>
    </row>
    <row r="2285" ht="22.5" customHeight="1">
      <c r="A2285" s="23">
        <v>2285.0</v>
      </c>
      <c r="B2285" s="23">
        <v>117.0</v>
      </c>
      <c r="C2285" s="23">
        <v>8.0</v>
      </c>
      <c r="D2285" s="23" t="s">
        <v>699</v>
      </c>
      <c r="E2285" s="25"/>
      <c r="F2285" s="14" t="s">
        <v>46</v>
      </c>
    </row>
    <row r="2286" ht="22.5" customHeight="1">
      <c r="A2286" s="23">
        <v>2286.0</v>
      </c>
      <c r="B2286" s="23">
        <v>117.0</v>
      </c>
      <c r="C2286" s="23">
        <v>10.0</v>
      </c>
      <c r="D2286" s="23" t="s">
        <v>699</v>
      </c>
      <c r="E2286" s="25"/>
      <c r="F2286" s="14" t="s">
        <v>46</v>
      </c>
    </row>
    <row r="2287" ht="22.5" customHeight="1">
      <c r="A2287" s="23">
        <v>2287.0</v>
      </c>
      <c r="B2287" s="23">
        <v>117.0</v>
      </c>
      <c r="C2287" s="23">
        <v>11.0</v>
      </c>
      <c r="D2287" s="23" t="s">
        <v>699</v>
      </c>
      <c r="E2287" s="25"/>
      <c r="F2287" s="14" t="s">
        <v>46</v>
      </c>
    </row>
    <row r="2288" ht="22.5" customHeight="1">
      <c r="A2288" s="23">
        <v>2288.0</v>
      </c>
      <c r="B2288" s="23">
        <v>117.0</v>
      </c>
      <c r="C2288" s="23">
        <v>16.0</v>
      </c>
      <c r="D2288" s="23" t="s">
        <v>789</v>
      </c>
      <c r="E2288" s="23" t="s">
        <v>1822</v>
      </c>
      <c r="F2288" s="14" t="s">
        <v>46</v>
      </c>
    </row>
    <row r="2289" ht="22.5" customHeight="1">
      <c r="A2289" s="23">
        <v>2289.0</v>
      </c>
      <c r="B2289" s="23">
        <v>117.0</v>
      </c>
      <c r="C2289" s="23">
        <v>19.0</v>
      </c>
      <c r="D2289" s="23" t="s">
        <v>699</v>
      </c>
      <c r="E2289" s="25"/>
      <c r="F2289" s="14" t="s">
        <v>46</v>
      </c>
    </row>
    <row r="2290" ht="22.5" customHeight="1">
      <c r="A2290" s="23">
        <v>2290.0</v>
      </c>
      <c r="B2290" s="23">
        <v>117.0</v>
      </c>
      <c r="C2290" s="23">
        <v>20.0</v>
      </c>
      <c r="D2290" s="23" t="s">
        <v>699</v>
      </c>
      <c r="E2290" s="25"/>
      <c r="F2290" s="14" t="s">
        <v>46</v>
      </c>
    </row>
    <row r="2291" ht="22.5" customHeight="1">
      <c r="A2291" s="23">
        <v>2291.0</v>
      </c>
      <c r="B2291" s="23">
        <v>117.0</v>
      </c>
      <c r="C2291" s="23">
        <v>24.0</v>
      </c>
      <c r="D2291" s="23" t="s">
        <v>699</v>
      </c>
      <c r="E2291" s="25"/>
      <c r="F2291" s="14" t="s">
        <v>88</v>
      </c>
    </row>
    <row r="2292" ht="22.5" customHeight="1">
      <c r="A2292" s="23">
        <v>2292.0</v>
      </c>
      <c r="B2292" s="23">
        <v>117.0</v>
      </c>
      <c r="C2292" s="23">
        <v>28.0</v>
      </c>
      <c r="D2292" s="23" t="s">
        <v>699</v>
      </c>
      <c r="E2292" s="25"/>
      <c r="F2292" s="14" t="s">
        <v>46</v>
      </c>
    </row>
    <row r="2293" ht="22.5" customHeight="1">
      <c r="A2293" s="23">
        <v>2293.0</v>
      </c>
      <c r="B2293" s="23">
        <v>117.0</v>
      </c>
      <c r="C2293" s="23">
        <v>30.0</v>
      </c>
      <c r="D2293" s="23" t="s">
        <v>699</v>
      </c>
      <c r="E2293" s="25"/>
      <c r="F2293" s="14" t="s">
        <v>46</v>
      </c>
    </row>
    <row r="2294" ht="22.5" customHeight="1">
      <c r="A2294" s="23">
        <v>2294.0</v>
      </c>
      <c r="B2294" s="23">
        <v>117.0</v>
      </c>
      <c r="C2294" s="23">
        <v>32.0</v>
      </c>
      <c r="D2294" s="23" t="s">
        <v>699</v>
      </c>
      <c r="E2294" s="25"/>
      <c r="F2294" s="14" t="s">
        <v>46</v>
      </c>
    </row>
    <row r="2295" ht="22.5" customHeight="1">
      <c r="A2295" s="23">
        <v>2295.0</v>
      </c>
      <c r="B2295" s="23">
        <v>117.0</v>
      </c>
      <c r="C2295" s="23">
        <v>34.0</v>
      </c>
      <c r="D2295" s="23" t="s">
        <v>699</v>
      </c>
      <c r="E2295" s="25"/>
      <c r="F2295" s="14" t="s">
        <v>46</v>
      </c>
    </row>
    <row r="2296" ht="22.5" customHeight="1">
      <c r="A2296" s="23">
        <v>2296.0</v>
      </c>
      <c r="B2296" s="23">
        <v>117.0</v>
      </c>
      <c r="C2296" s="23">
        <v>37.0</v>
      </c>
      <c r="D2296" s="23" t="s">
        <v>699</v>
      </c>
      <c r="E2296" s="25"/>
      <c r="F2296" s="14" t="s">
        <v>46</v>
      </c>
    </row>
    <row r="2297" ht="22.5" customHeight="1">
      <c r="A2297" s="23">
        <v>2297.0</v>
      </c>
      <c r="B2297" s="23">
        <v>119.0</v>
      </c>
      <c r="C2297" s="31">
        <v>3.0</v>
      </c>
      <c r="D2297" s="23" t="s">
        <v>699</v>
      </c>
      <c r="E2297" s="25"/>
      <c r="F2297" s="14" t="s">
        <v>46</v>
      </c>
    </row>
    <row r="2298" ht="22.5" customHeight="1">
      <c r="A2298" s="23">
        <v>2298.0</v>
      </c>
      <c r="B2298" s="23">
        <v>119.0</v>
      </c>
      <c r="C2298" s="31">
        <v>5.0</v>
      </c>
      <c r="D2298" s="23" t="s">
        <v>699</v>
      </c>
      <c r="E2298" s="25"/>
      <c r="F2298" s="14" t="s">
        <v>46</v>
      </c>
    </row>
    <row r="2299" ht="22.5" customHeight="1">
      <c r="A2299" s="23">
        <v>2299.0</v>
      </c>
      <c r="B2299" s="23">
        <v>118.0</v>
      </c>
      <c r="C2299" s="32">
        <v>1.0</v>
      </c>
      <c r="D2299" s="23" t="s">
        <v>699</v>
      </c>
      <c r="E2299" s="25"/>
      <c r="F2299" s="14" t="s">
        <v>88</v>
      </c>
    </row>
    <row r="2300" ht="22.5" customHeight="1">
      <c r="A2300" s="23">
        <v>2300.0</v>
      </c>
      <c r="B2300" s="23">
        <v>118.0</v>
      </c>
      <c r="C2300" s="32">
        <v>2.0</v>
      </c>
      <c r="D2300" s="23" t="s">
        <v>699</v>
      </c>
      <c r="E2300" s="25"/>
      <c r="F2300" s="14" t="s">
        <v>46</v>
      </c>
    </row>
    <row r="2301" ht="22.5" customHeight="1">
      <c r="A2301" s="23">
        <v>2301.0</v>
      </c>
      <c r="B2301" s="23">
        <v>118.0</v>
      </c>
      <c r="C2301" s="32">
        <v>3.0</v>
      </c>
      <c r="D2301" s="23" t="s">
        <v>699</v>
      </c>
      <c r="E2301" s="25"/>
      <c r="F2301" s="14" t="s">
        <v>46</v>
      </c>
    </row>
    <row r="2302" ht="22.5" customHeight="1">
      <c r="A2302" s="23">
        <v>2302.0</v>
      </c>
      <c r="B2302" s="23">
        <v>118.0</v>
      </c>
      <c r="C2302" s="32">
        <v>4.0</v>
      </c>
      <c r="D2302" s="23" t="s">
        <v>699</v>
      </c>
      <c r="E2302" s="25"/>
      <c r="F2302" s="14" t="s">
        <v>46</v>
      </c>
    </row>
    <row r="2303" ht="22.5" customHeight="1">
      <c r="A2303" s="23">
        <v>2303.0</v>
      </c>
      <c r="B2303" s="23">
        <v>118.0</v>
      </c>
      <c r="C2303" s="32">
        <v>5.0</v>
      </c>
      <c r="D2303" s="23" t="s">
        <v>699</v>
      </c>
      <c r="E2303" s="25"/>
      <c r="F2303" s="14" t="s">
        <v>46</v>
      </c>
    </row>
    <row r="2304" ht="22.5" customHeight="1">
      <c r="A2304" s="23">
        <v>2304.0</v>
      </c>
      <c r="B2304" s="23">
        <v>118.0</v>
      </c>
      <c r="C2304" s="32">
        <v>6.0</v>
      </c>
      <c r="D2304" s="23" t="s">
        <v>699</v>
      </c>
      <c r="E2304" s="25"/>
      <c r="F2304" s="14" t="s">
        <v>46</v>
      </c>
    </row>
    <row r="2305" ht="22.5" customHeight="1">
      <c r="A2305" s="23">
        <v>2305.0</v>
      </c>
      <c r="B2305" s="23">
        <v>118.0</v>
      </c>
      <c r="C2305" s="32">
        <v>7.0</v>
      </c>
      <c r="D2305" s="23" t="s">
        <v>699</v>
      </c>
      <c r="E2305" s="25"/>
      <c r="F2305" s="14" t="s">
        <v>46</v>
      </c>
    </row>
    <row r="2306" ht="22.5" customHeight="1">
      <c r="A2306" s="23">
        <v>2306.0</v>
      </c>
      <c r="B2306" s="23">
        <v>118.0</v>
      </c>
      <c r="C2306" s="32">
        <v>8.0</v>
      </c>
      <c r="D2306" s="23" t="s">
        <v>699</v>
      </c>
      <c r="E2306" s="25"/>
      <c r="F2306" s="14" t="s">
        <v>46</v>
      </c>
    </row>
    <row r="2307" ht="22.5" customHeight="1">
      <c r="A2307" s="23">
        <v>2307.0</v>
      </c>
      <c r="B2307" s="23">
        <v>118.0</v>
      </c>
      <c r="C2307" s="32">
        <v>10.0</v>
      </c>
      <c r="D2307" s="23" t="s">
        <v>699</v>
      </c>
      <c r="E2307" s="25"/>
      <c r="F2307" s="14" t="s">
        <v>46</v>
      </c>
    </row>
    <row r="2308" ht="22.5" customHeight="1">
      <c r="A2308" s="23">
        <v>2308.0</v>
      </c>
      <c r="B2308" s="23">
        <v>118.0</v>
      </c>
      <c r="C2308" s="32">
        <v>11.0</v>
      </c>
      <c r="D2308" s="23" t="s">
        <v>699</v>
      </c>
      <c r="E2308" s="25"/>
      <c r="F2308" s="14" t="s">
        <v>46</v>
      </c>
    </row>
    <row r="2309" ht="22.5" customHeight="1">
      <c r="A2309" s="23">
        <v>2309.0</v>
      </c>
      <c r="B2309" s="23">
        <v>118.0</v>
      </c>
      <c r="C2309" s="32">
        <v>12.0</v>
      </c>
      <c r="D2309" s="23" t="s">
        <v>699</v>
      </c>
      <c r="E2309" s="25"/>
      <c r="F2309" s="14" t="s">
        <v>46</v>
      </c>
    </row>
    <row r="2310" ht="22.5" customHeight="1">
      <c r="A2310" s="23">
        <v>2310.0</v>
      </c>
      <c r="B2310" s="23">
        <v>118.0</v>
      </c>
      <c r="C2310" s="32">
        <v>13.0</v>
      </c>
      <c r="D2310" s="23" t="s">
        <v>699</v>
      </c>
      <c r="E2310" s="25"/>
      <c r="F2310" s="14" t="s">
        <v>46</v>
      </c>
    </row>
    <row r="2311" ht="22.5" customHeight="1">
      <c r="A2311" s="23">
        <v>2311.0</v>
      </c>
      <c r="B2311" s="23">
        <v>118.0</v>
      </c>
      <c r="C2311" s="32">
        <v>15.0</v>
      </c>
      <c r="D2311" s="23" t="s">
        <v>699</v>
      </c>
      <c r="E2311" s="25"/>
      <c r="F2311" s="14" t="s">
        <v>46</v>
      </c>
    </row>
    <row r="2312" ht="22.5" customHeight="1">
      <c r="A2312" s="23">
        <v>2312.0</v>
      </c>
      <c r="B2312" s="23">
        <v>118.0</v>
      </c>
      <c r="C2312" s="32">
        <v>16.0</v>
      </c>
      <c r="D2312" s="23" t="s">
        <v>699</v>
      </c>
      <c r="E2312" s="25"/>
      <c r="F2312" s="14" t="s">
        <v>46</v>
      </c>
    </row>
    <row r="2313" ht="22.5" customHeight="1">
      <c r="A2313" s="23">
        <v>2313.0</v>
      </c>
      <c r="B2313" s="23">
        <v>118.0</v>
      </c>
      <c r="C2313" s="32">
        <v>17.0</v>
      </c>
      <c r="D2313" s="23" t="s">
        <v>699</v>
      </c>
      <c r="E2313" s="25"/>
      <c r="F2313" s="14" t="s">
        <v>46</v>
      </c>
    </row>
    <row r="2314" ht="22.5" customHeight="1">
      <c r="A2314" s="23">
        <v>2314.0</v>
      </c>
      <c r="B2314" s="23">
        <v>118.0</v>
      </c>
      <c r="C2314" s="32">
        <v>18.0</v>
      </c>
      <c r="D2314" s="23" t="s">
        <v>699</v>
      </c>
      <c r="E2314" s="25"/>
      <c r="F2314" s="14" t="s">
        <v>46</v>
      </c>
    </row>
    <row r="2315" ht="22.5" customHeight="1">
      <c r="A2315" s="23">
        <v>2315.0</v>
      </c>
      <c r="B2315" s="23">
        <v>118.0</v>
      </c>
      <c r="C2315" s="32">
        <v>19.0</v>
      </c>
      <c r="D2315" s="23" t="s">
        <v>699</v>
      </c>
      <c r="E2315" s="25"/>
      <c r="F2315" s="14" t="s">
        <v>46</v>
      </c>
    </row>
    <row r="2316" ht="22.5" customHeight="1">
      <c r="A2316" s="23">
        <v>2316.0</v>
      </c>
      <c r="B2316" s="23">
        <v>118.0</v>
      </c>
      <c r="C2316" s="32">
        <v>20.0</v>
      </c>
      <c r="D2316" s="23" t="s">
        <v>699</v>
      </c>
      <c r="E2316" s="25"/>
      <c r="F2316" s="14" t="s">
        <v>46</v>
      </c>
    </row>
    <row r="2317" ht="22.5" customHeight="1">
      <c r="A2317" s="23">
        <v>2317.0</v>
      </c>
      <c r="B2317" s="23">
        <v>118.0</v>
      </c>
      <c r="C2317" s="32">
        <v>21.0</v>
      </c>
      <c r="D2317" s="23" t="s">
        <v>699</v>
      </c>
      <c r="E2317" s="25"/>
      <c r="F2317" s="14" t="s">
        <v>88</v>
      </c>
    </row>
    <row r="2318" ht="22.5" customHeight="1">
      <c r="A2318" s="23">
        <v>2318.0</v>
      </c>
      <c r="B2318" s="23">
        <v>118.0</v>
      </c>
      <c r="C2318" s="32">
        <v>22.0</v>
      </c>
      <c r="D2318" s="23" t="s">
        <v>699</v>
      </c>
      <c r="E2318" s="25"/>
      <c r="F2318" s="14" t="s">
        <v>46</v>
      </c>
    </row>
    <row r="2319" ht="22.5" customHeight="1">
      <c r="A2319" s="23">
        <v>2319.0</v>
      </c>
      <c r="B2319" s="23">
        <v>118.0</v>
      </c>
      <c r="C2319" s="32">
        <v>23.0</v>
      </c>
      <c r="D2319" s="23" t="s">
        <v>699</v>
      </c>
      <c r="E2319" s="25"/>
      <c r="F2319" s="14" t="s">
        <v>46</v>
      </c>
    </row>
    <row r="2320" ht="22.5" customHeight="1">
      <c r="A2320" s="23">
        <v>2320.0</v>
      </c>
      <c r="B2320" s="23">
        <v>118.0</v>
      </c>
      <c r="C2320" s="32">
        <v>24.0</v>
      </c>
      <c r="D2320" s="23" t="s">
        <v>699</v>
      </c>
      <c r="E2320" s="25"/>
      <c r="F2320" s="14" t="s">
        <v>88</v>
      </c>
    </row>
    <row r="2321" ht="22.5" customHeight="1">
      <c r="A2321" s="23">
        <v>2321.0</v>
      </c>
      <c r="B2321" s="23">
        <v>118.0</v>
      </c>
      <c r="C2321" s="32">
        <v>25.0</v>
      </c>
      <c r="D2321" s="23" t="s">
        <v>699</v>
      </c>
      <c r="E2321" s="25"/>
      <c r="F2321" s="14" t="s">
        <v>46</v>
      </c>
    </row>
    <row r="2322" ht="22.5" customHeight="1">
      <c r="A2322" s="23">
        <v>2322.0</v>
      </c>
      <c r="B2322" s="23">
        <v>118.0</v>
      </c>
      <c r="C2322" s="32">
        <v>26.0</v>
      </c>
      <c r="D2322" s="23" t="s">
        <v>789</v>
      </c>
      <c r="E2322" s="23" t="s">
        <v>1823</v>
      </c>
      <c r="F2322" s="14" t="s">
        <v>46</v>
      </c>
    </row>
    <row r="2323" ht="22.5" customHeight="1">
      <c r="A2323" s="23">
        <v>2323.0</v>
      </c>
      <c r="B2323" s="23">
        <v>118.0</v>
      </c>
      <c r="C2323" s="32">
        <v>27.0</v>
      </c>
      <c r="D2323" s="23" t="s">
        <v>699</v>
      </c>
      <c r="E2323" s="25"/>
      <c r="F2323" s="14" t="s">
        <v>46</v>
      </c>
    </row>
    <row r="2324" ht="22.5" customHeight="1">
      <c r="A2324" s="23">
        <v>2324.0</v>
      </c>
      <c r="B2324" s="23">
        <v>118.0</v>
      </c>
      <c r="C2324" s="32">
        <v>28.0</v>
      </c>
      <c r="D2324" s="23" t="s">
        <v>699</v>
      </c>
      <c r="E2324" s="25"/>
      <c r="F2324" s="14" t="s">
        <v>46</v>
      </c>
    </row>
    <row r="2325" ht="22.5" customHeight="1">
      <c r="A2325" s="23">
        <v>2325.0</v>
      </c>
      <c r="B2325" s="23">
        <v>118.0</v>
      </c>
      <c r="C2325" s="32">
        <v>29.0</v>
      </c>
      <c r="D2325" s="23" t="s">
        <v>699</v>
      </c>
      <c r="E2325" s="25"/>
      <c r="F2325" s="14" t="s">
        <v>46</v>
      </c>
    </row>
    <row r="2326" ht="22.5" customHeight="1">
      <c r="A2326" s="23">
        <v>2326.0</v>
      </c>
      <c r="B2326" s="23">
        <v>118.0</v>
      </c>
      <c r="C2326" s="32">
        <v>30.0</v>
      </c>
      <c r="D2326" s="23" t="s">
        <v>699</v>
      </c>
      <c r="E2326" s="25"/>
      <c r="F2326" s="14" t="s">
        <v>46</v>
      </c>
    </row>
    <row r="2327" ht="22.5" customHeight="1">
      <c r="A2327" s="23">
        <v>2327.0</v>
      </c>
      <c r="B2327" s="23">
        <v>118.0</v>
      </c>
      <c r="C2327" s="32">
        <v>31.0</v>
      </c>
      <c r="D2327" s="23" t="s">
        <v>699</v>
      </c>
      <c r="E2327" s="25"/>
      <c r="F2327" s="14" t="s">
        <v>46</v>
      </c>
    </row>
    <row r="2328" ht="22.5" customHeight="1">
      <c r="A2328" s="23">
        <v>2328.0</v>
      </c>
      <c r="B2328" s="23">
        <v>118.0</v>
      </c>
      <c r="C2328" s="32">
        <v>32.0</v>
      </c>
      <c r="D2328" s="23" t="s">
        <v>699</v>
      </c>
      <c r="E2328" s="25"/>
      <c r="F2328" s="14" t="s">
        <v>46</v>
      </c>
    </row>
    <row r="2329" ht="22.5" customHeight="1">
      <c r="A2329" s="23">
        <v>2329.0</v>
      </c>
      <c r="B2329" s="23">
        <v>118.0</v>
      </c>
      <c r="C2329" s="32">
        <v>33.0</v>
      </c>
      <c r="D2329" s="23" t="s">
        <v>699</v>
      </c>
      <c r="E2329" s="25"/>
      <c r="F2329" s="14" t="s">
        <v>46</v>
      </c>
    </row>
    <row r="2330" ht="22.5" customHeight="1">
      <c r="A2330" s="23">
        <v>2330.0</v>
      </c>
      <c r="B2330" s="23">
        <v>118.0</v>
      </c>
      <c r="C2330" s="32">
        <v>34.0</v>
      </c>
      <c r="D2330" s="23" t="s">
        <v>699</v>
      </c>
      <c r="E2330" s="25"/>
      <c r="F2330" s="14" t="s">
        <v>46</v>
      </c>
    </row>
    <row r="2331" ht="22.5" customHeight="1">
      <c r="A2331" s="23">
        <v>2331.0</v>
      </c>
      <c r="B2331" s="23">
        <v>118.0</v>
      </c>
      <c r="C2331" s="32">
        <v>35.0</v>
      </c>
      <c r="D2331" s="23" t="s">
        <v>699</v>
      </c>
      <c r="E2331" s="25"/>
      <c r="F2331" s="14" t="s">
        <v>46</v>
      </c>
    </row>
    <row r="2332" ht="22.5" customHeight="1">
      <c r="A2332" s="23">
        <v>2332.0</v>
      </c>
      <c r="B2332" s="23">
        <v>118.0</v>
      </c>
      <c r="C2332" s="32">
        <v>36.0</v>
      </c>
      <c r="D2332" s="23" t="s">
        <v>699</v>
      </c>
      <c r="E2332" s="25"/>
      <c r="F2332" s="14" t="s">
        <v>46</v>
      </c>
    </row>
    <row r="2333" ht="22.5" customHeight="1">
      <c r="A2333" s="23">
        <v>2333.0</v>
      </c>
      <c r="B2333" s="23">
        <v>118.0</v>
      </c>
      <c r="C2333" s="32">
        <v>37.0</v>
      </c>
      <c r="D2333" s="23" t="s">
        <v>699</v>
      </c>
      <c r="E2333" s="25"/>
      <c r="F2333" s="14" t="s">
        <v>46</v>
      </c>
    </row>
    <row r="2334" ht="22.5" customHeight="1">
      <c r="A2334" s="23">
        <v>2334.0</v>
      </c>
      <c r="B2334" s="23">
        <v>1.0</v>
      </c>
      <c r="C2334" s="23">
        <v>49.0</v>
      </c>
      <c r="D2334" s="23" t="s">
        <v>699</v>
      </c>
      <c r="E2334" s="25"/>
      <c r="F2334" s="14" t="s">
        <v>46</v>
      </c>
    </row>
    <row r="2335" ht="22.5" customHeight="1">
      <c r="A2335" s="23">
        <v>2335.0</v>
      </c>
      <c r="B2335" s="23">
        <v>2.0</v>
      </c>
      <c r="C2335" s="23">
        <v>49.0</v>
      </c>
      <c r="D2335" s="23" t="s">
        <v>699</v>
      </c>
      <c r="E2335" s="25"/>
      <c r="F2335" s="14" t="s">
        <v>46</v>
      </c>
    </row>
    <row r="2336" ht="22.5" customHeight="1">
      <c r="A2336" s="23">
        <v>2336.0</v>
      </c>
      <c r="B2336" s="23">
        <v>3.0</v>
      </c>
      <c r="C2336" s="23">
        <v>49.0</v>
      </c>
      <c r="D2336" s="23" t="s">
        <v>699</v>
      </c>
      <c r="E2336" s="25"/>
      <c r="F2336" s="14" t="s">
        <v>46</v>
      </c>
    </row>
    <row r="2337" ht="22.5" customHeight="1">
      <c r="A2337" s="23">
        <v>2337.0</v>
      </c>
      <c r="B2337" s="23">
        <v>4.0</v>
      </c>
      <c r="C2337" s="23">
        <v>49.0</v>
      </c>
      <c r="D2337" s="23" t="s">
        <v>699</v>
      </c>
      <c r="E2337" s="25"/>
      <c r="F2337" s="14" t="s">
        <v>46</v>
      </c>
    </row>
    <row r="2338" ht="22.5" customHeight="1">
      <c r="A2338" s="23">
        <v>2338.0</v>
      </c>
      <c r="B2338" s="23">
        <v>5.0</v>
      </c>
      <c r="C2338" s="23">
        <v>49.0</v>
      </c>
      <c r="D2338" s="23" t="s">
        <v>699</v>
      </c>
      <c r="E2338" s="25"/>
      <c r="F2338" s="14" t="s">
        <v>46</v>
      </c>
    </row>
    <row r="2339" ht="22.5" customHeight="1">
      <c r="A2339" s="23">
        <v>2339.0</v>
      </c>
      <c r="B2339" s="23">
        <v>6.0</v>
      </c>
      <c r="C2339" s="23">
        <v>49.0</v>
      </c>
      <c r="D2339" s="23" t="s">
        <v>699</v>
      </c>
      <c r="E2339" s="25"/>
      <c r="F2339" s="14" t="s">
        <v>46</v>
      </c>
    </row>
    <row r="2340" ht="22.5" customHeight="1">
      <c r="A2340" s="23">
        <v>2340.0</v>
      </c>
      <c r="B2340" s="23">
        <v>7.0</v>
      </c>
      <c r="C2340" s="23">
        <v>49.0</v>
      </c>
      <c r="D2340" s="23" t="s">
        <v>699</v>
      </c>
      <c r="E2340" s="25"/>
      <c r="F2340" s="14" t="s">
        <v>46</v>
      </c>
    </row>
    <row r="2341" ht="22.5" customHeight="1">
      <c r="A2341" s="23">
        <v>2341.0</v>
      </c>
      <c r="B2341" s="23">
        <v>8.0</v>
      </c>
      <c r="C2341" s="23">
        <v>49.0</v>
      </c>
      <c r="D2341" s="23" t="s">
        <v>699</v>
      </c>
      <c r="E2341" s="25"/>
      <c r="F2341" s="14" t="s">
        <v>46</v>
      </c>
    </row>
    <row r="2342" ht="22.5" customHeight="1">
      <c r="A2342" s="23">
        <v>2342.0</v>
      </c>
      <c r="B2342" s="23">
        <v>9.0</v>
      </c>
      <c r="C2342" s="23">
        <v>49.0</v>
      </c>
      <c r="D2342" s="23" t="s">
        <v>699</v>
      </c>
      <c r="E2342" s="25"/>
      <c r="F2342" s="14" t="s">
        <v>46</v>
      </c>
    </row>
    <row r="2343" ht="22.5" customHeight="1">
      <c r="A2343" s="23">
        <v>2343.0</v>
      </c>
      <c r="B2343" s="23">
        <v>10.0</v>
      </c>
      <c r="C2343" s="23">
        <v>49.0</v>
      </c>
      <c r="D2343" s="23" t="s">
        <v>699</v>
      </c>
      <c r="E2343" s="25"/>
      <c r="F2343" s="14" t="s">
        <v>46</v>
      </c>
    </row>
    <row r="2344" ht="22.5" customHeight="1">
      <c r="A2344" s="23">
        <v>2344.0</v>
      </c>
      <c r="B2344" s="23">
        <v>11.0</v>
      </c>
      <c r="C2344" s="23">
        <v>49.0</v>
      </c>
      <c r="D2344" s="23" t="s">
        <v>699</v>
      </c>
      <c r="E2344" s="25"/>
      <c r="F2344" s="14" t="s">
        <v>46</v>
      </c>
    </row>
    <row r="2345" ht="22.5" customHeight="1">
      <c r="A2345" s="23">
        <v>2345.0</v>
      </c>
      <c r="B2345" s="23">
        <v>12.0</v>
      </c>
      <c r="C2345" s="23">
        <v>49.0</v>
      </c>
      <c r="D2345" s="23" t="s">
        <v>699</v>
      </c>
      <c r="E2345" s="25"/>
      <c r="F2345" s="14" t="s">
        <v>46</v>
      </c>
    </row>
    <row r="2346" ht="22.5" customHeight="1">
      <c r="A2346" s="23">
        <v>2346.0</v>
      </c>
      <c r="B2346" s="23">
        <v>13.0</v>
      </c>
      <c r="C2346" s="23">
        <v>49.0</v>
      </c>
      <c r="D2346" s="23" t="s">
        <v>699</v>
      </c>
      <c r="E2346" s="25"/>
      <c r="F2346" s="14" t="s">
        <v>46</v>
      </c>
    </row>
    <row r="2347" ht="22.5" customHeight="1">
      <c r="A2347" s="23">
        <v>2347.0</v>
      </c>
      <c r="B2347" s="23">
        <v>14.0</v>
      </c>
      <c r="C2347" s="23">
        <v>49.0</v>
      </c>
      <c r="D2347" s="23" t="s">
        <v>699</v>
      </c>
      <c r="E2347" s="25"/>
      <c r="F2347" s="14" t="s">
        <v>46</v>
      </c>
    </row>
    <row r="2348" ht="22.5" customHeight="1">
      <c r="A2348" s="23">
        <v>2348.0</v>
      </c>
      <c r="B2348" s="23">
        <v>15.0</v>
      </c>
      <c r="C2348" s="23">
        <v>49.0</v>
      </c>
      <c r="D2348" s="23" t="s">
        <v>699</v>
      </c>
      <c r="E2348" s="25"/>
      <c r="F2348" s="14" t="s">
        <v>46</v>
      </c>
    </row>
    <row r="2349" ht="22.5" customHeight="1">
      <c r="A2349" s="23">
        <v>2349.0</v>
      </c>
      <c r="B2349" s="23">
        <v>16.0</v>
      </c>
      <c r="C2349" s="23">
        <v>49.0</v>
      </c>
      <c r="D2349" s="23" t="s">
        <v>699</v>
      </c>
      <c r="E2349" s="25"/>
      <c r="F2349" s="14" t="s">
        <v>46</v>
      </c>
    </row>
    <row r="2350" ht="22.5" customHeight="1">
      <c r="A2350" s="23">
        <v>2350.0</v>
      </c>
      <c r="B2350" s="23">
        <v>17.0</v>
      </c>
      <c r="C2350" s="23">
        <v>49.0</v>
      </c>
      <c r="D2350" s="23" t="s">
        <v>699</v>
      </c>
      <c r="E2350" s="25"/>
      <c r="F2350" s="14" t="s">
        <v>46</v>
      </c>
    </row>
    <row r="2351" ht="22.5" customHeight="1">
      <c r="A2351" s="23">
        <v>2351.0</v>
      </c>
      <c r="B2351" s="23">
        <v>118.0</v>
      </c>
      <c r="C2351" s="23">
        <v>49.0</v>
      </c>
      <c r="D2351" s="23" t="s">
        <v>699</v>
      </c>
      <c r="E2351" s="25"/>
      <c r="F2351" s="14" t="s">
        <v>46</v>
      </c>
    </row>
    <row r="2352" ht="22.5" customHeight="1">
      <c r="A2352" s="23">
        <v>2352.0</v>
      </c>
      <c r="B2352" s="23">
        <v>18.0</v>
      </c>
      <c r="C2352" s="23">
        <v>49.0</v>
      </c>
      <c r="D2352" s="23" t="s">
        <v>699</v>
      </c>
      <c r="E2352" s="25"/>
      <c r="F2352" s="14" t="s">
        <v>46</v>
      </c>
    </row>
    <row r="2353" ht="22.5" customHeight="1">
      <c r="A2353" s="23">
        <v>2353.0</v>
      </c>
      <c r="B2353" s="23">
        <v>19.0</v>
      </c>
      <c r="C2353" s="23">
        <v>49.0</v>
      </c>
      <c r="D2353" s="23" t="s">
        <v>699</v>
      </c>
      <c r="E2353" s="25"/>
      <c r="F2353" s="14" t="s">
        <v>46</v>
      </c>
    </row>
    <row r="2354" ht="22.5" customHeight="1">
      <c r="A2354" s="23">
        <v>2354.0</v>
      </c>
      <c r="B2354" s="23">
        <v>20.0</v>
      </c>
      <c r="C2354" s="23">
        <v>49.0</v>
      </c>
      <c r="D2354" s="23" t="s">
        <v>699</v>
      </c>
      <c r="E2354" s="25"/>
      <c r="F2354" s="14" t="s">
        <v>46</v>
      </c>
    </row>
    <row r="2355" ht="22.5" customHeight="1">
      <c r="A2355" s="23">
        <v>2355.0</v>
      </c>
      <c r="B2355" s="23">
        <v>21.0</v>
      </c>
      <c r="C2355" s="23">
        <v>49.0</v>
      </c>
      <c r="D2355" s="23" t="s">
        <v>699</v>
      </c>
      <c r="E2355" s="25"/>
      <c r="F2355" s="14" t="s">
        <v>46</v>
      </c>
    </row>
    <row r="2356" ht="22.5" customHeight="1">
      <c r="A2356" s="23">
        <v>2356.0</v>
      </c>
      <c r="B2356" s="23">
        <v>22.0</v>
      </c>
      <c r="C2356" s="23">
        <v>49.0</v>
      </c>
      <c r="D2356" s="23" t="s">
        <v>699</v>
      </c>
      <c r="E2356" s="25"/>
      <c r="F2356" s="14" t="s">
        <v>46</v>
      </c>
    </row>
    <row r="2357" ht="22.5" customHeight="1">
      <c r="A2357" s="23">
        <v>2357.0</v>
      </c>
      <c r="B2357" s="23">
        <v>23.0</v>
      </c>
      <c r="C2357" s="23">
        <v>49.0</v>
      </c>
      <c r="D2357" s="23" t="s">
        <v>699</v>
      </c>
      <c r="E2357" s="25"/>
      <c r="F2357" s="14" t="s">
        <v>46</v>
      </c>
    </row>
    <row r="2358" ht="22.5" customHeight="1">
      <c r="A2358" s="23">
        <v>2358.0</v>
      </c>
      <c r="B2358" s="23">
        <v>24.0</v>
      </c>
      <c r="C2358" s="23">
        <v>49.0</v>
      </c>
      <c r="D2358" s="23" t="s">
        <v>699</v>
      </c>
      <c r="E2358" s="25"/>
      <c r="F2358" s="14" t="s">
        <v>46</v>
      </c>
    </row>
    <row r="2359" ht="22.5" customHeight="1">
      <c r="A2359" s="23">
        <v>2359.0</v>
      </c>
      <c r="B2359" s="23">
        <v>25.0</v>
      </c>
      <c r="C2359" s="23">
        <v>49.0</v>
      </c>
      <c r="D2359" s="23" t="s">
        <v>699</v>
      </c>
      <c r="E2359" s="25"/>
      <c r="F2359" s="14" t="s">
        <v>46</v>
      </c>
    </row>
    <row r="2360" ht="22.5" customHeight="1">
      <c r="A2360" s="23">
        <v>2360.0</v>
      </c>
      <c r="B2360" s="23">
        <v>26.0</v>
      </c>
      <c r="C2360" s="23">
        <v>49.0</v>
      </c>
      <c r="D2360" s="23" t="s">
        <v>699</v>
      </c>
      <c r="E2360" s="25"/>
      <c r="F2360" s="14" t="s">
        <v>46</v>
      </c>
    </row>
    <row r="2361" ht="22.5" customHeight="1">
      <c r="A2361" s="23">
        <v>2361.0</v>
      </c>
      <c r="B2361" s="23">
        <v>27.0</v>
      </c>
      <c r="C2361" s="23">
        <v>49.0</v>
      </c>
      <c r="D2361" s="23" t="s">
        <v>699</v>
      </c>
      <c r="E2361" s="25"/>
      <c r="F2361" s="14" t="s">
        <v>46</v>
      </c>
    </row>
    <row r="2362" ht="22.5" customHeight="1">
      <c r="A2362" s="23">
        <v>2362.0</v>
      </c>
      <c r="B2362" s="23">
        <v>28.0</v>
      </c>
      <c r="C2362" s="23">
        <v>49.0</v>
      </c>
      <c r="D2362" s="23" t="s">
        <v>699</v>
      </c>
      <c r="E2362" s="25"/>
      <c r="F2362" s="14" t="s">
        <v>46</v>
      </c>
    </row>
    <row r="2363" ht="22.5" customHeight="1">
      <c r="A2363" s="23">
        <v>2363.0</v>
      </c>
      <c r="B2363" s="23">
        <v>110.0</v>
      </c>
      <c r="C2363" s="23">
        <v>49.0</v>
      </c>
      <c r="D2363" s="23" t="s">
        <v>699</v>
      </c>
      <c r="E2363" s="25"/>
      <c r="F2363" s="14" t="s">
        <v>46</v>
      </c>
    </row>
    <row r="2364" ht="22.5" customHeight="1">
      <c r="A2364" s="23">
        <v>2364.0</v>
      </c>
      <c r="B2364" s="23">
        <v>29.0</v>
      </c>
      <c r="C2364" s="23">
        <v>49.0</v>
      </c>
      <c r="D2364" s="23" t="s">
        <v>699</v>
      </c>
      <c r="E2364" s="25"/>
      <c r="F2364" s="14" t="s">
        <v>46</v>
      </c>
    </row>
    <row r="2365" ht="22.5" customHeight="1">
      <c r="A2365" s="23">
        <v>2365.0</v>
      </c>
      <c r="B2365" s="23">
        <v>30.0</v>
      </c>
      <c r="C2365" s="23">
        <v>49.0</v>
      </c>
      <c r="D2365" s="23" t="s">
        <v>699</v>
      </c>
      <c r="E2365" s="25"/>
      <c r="F2365" s="14" t="s">
        <v>46</v>
      </c>
    </row>
    <row r="2366" ht="22.5" customHeight="1">
      <c r="A2366" s="23">
        <v>2366.0</v>
      </c>
      <c r="B2366" s="23">
        <v>31.0</v>
      </c>
      <c r="C2366" s="23">
        <v>49.0</v>
      </c>
      <c r="D2366" s="23" t="s">
        <v>699</v>
      </c>
      <c r="E2366" s="25"/>
      <c r="F2366" s="14" t="s">
        <v>46</v>
      </c>
    </row>
    <row r="2367" ht="22.5" customHeight="1">
      <c r="A2367" s="23">
        <v>2367.0</v>
      </c>
      <c r="B2367" s="23">
        <v>32.0</v>
      </c>
      <c r="C2367" s="23">
        <v>49.0</v>
      </c>
      <c r="D2367" s="23" t="s">
        <v>699</v>
      </c>
      <c r="E2367" s="25"/>
      <c r="F2367" s="14" t="s">
        <v>46</v>
      </c>
    </row>
    <row r="2368" ht="22.5" customHeight="1">
      <c r="A2368" s="23">
        <v>2368.0</v>
      </c>
      <c r="B2368" s="23">
        <v>33.0</v>
      </c>
      <c r="C2368" s="23">
        <v>49.0</v>
      </c>
      <c r="D2368" s="23" t="s">
        <v>699</v>
      </c>
      <c r="E2368" s="25"/>
      <c r="F2368" s="14" t="s">
        <v>46</v>
      </c>
    </row>
    <row r="2369" ht="22.5" customHeight="1">
      <c r="A2369" s="23">
        <v>2369.0</v>
      </c>
      <c r="B2369" s="23">
        <v>115.0</v>
      </c>
      <c r="C2369" s="23">
        <v>49.0</v>
      </c>
      <c r="D2369" s="23" t="s">
        <v>699</v>
      </c>
      <c r="E2369" s="25"/>
      <c r="F2369" s="14" t="s">
        <v>46</v>
      </c>
    </row>
    <row r="2370" ht="22.5" customHeight="1">
      <c r="A2370" s="23">
        <v>2370.0</v>
      </c>
      <c r="B2370" s="23">
        <v>63.0</v>
      </c>
      <c r="C2370" s="23">
        <v>49.0</v>
      </c>
      <c r="D2370" s="23" t="s">
        <v>699</v>
      </c>
      <c r="E2370" s="25"/>
      <c r="F2370" s="14" t="s">
        <v>46</v>
      </c>
    </row>
    <row r="2371" ht="22.5" customHeight="1">
      <c r="A2371" s="23">
        <v>2371.0</v>
      </c>
      <c r="B2371" s="23">
        <v>64.0</v>
      </c>
      <c r="C2371" s="23">
        <v>49.0</v>
      </c>
      <c r="D2371" s="23" t="s">
        <v>699</v>
      </c>
      <c r="E2371" s="25"/>
      <c r="F2371" s="14" t="s">
        <v>46</v>
      </c>
    </row>
    <row r="2372" ht="22.5" customHeight="1">
      <c r="A2372" s="23">
        <v>2372.0</v>
      </c>
      <c r="B2372" s="23">
        <v>66.0</v>
      </c>
      <c r="C2372" s="23">
        <v>49.0</v>
      </c>
      <c r="D2372" s="23" t="s">
        <v>699</v>
      </c>
      <c r="E2372" s="25"/>
      <c r="F2372" s="14" t="s">
        <v>46</v>
      </c>
    </row>
    <row r="2373" ht="22.5" customHeight="1">
      <c r="A2373" s="23">
        <v>2373.0</v>
      </c>
      <c r="B2373" s="23">
        <v>67.0</v>
      </c>
      <c r="C2373" s="23">
        <v>49.0</v>
      </c>
      <c r="D2373" s="23" t="s">
        <v>699</v>
      </c>
      <c r="E2373" s="25"/>
      <c r="F2373" s="14" t="s">
        <v>46</v>
      </c>
    </row>
    <row r="2374" ht="22.5" customHeight="1">
      <c r="A2374" s="23">
        <v>2374.0</v>
      </c>
      <c r="B2374" s="23">
        <v>111.0</v>
      </c>
      <c r="C2374" s="23">
        <v>49.0</v>
      </c>
      <c r="D2374" s="23" t="s">
        <v>699</v>
      </c>
      <c r="E2374" s="25"/>
      <c r="F2374" s="14" t="s">
        <v>46</v>
      </c>
    </row>
    <row r="2375" ht="22.5" customHeight="1">
      <c r="A2375" s="23">
        <v>2375.0</v>
      </c>
      <c r="B2375" s="23">
        <v>65.0</v>
      </c>
      <c r="C2375" s="23">
        <v>49.0</v>
      </c>
      <c r="D2375" s="23" t="s">
        <v>699</v>
      </c>
      <c r="E2375" s="25"/>
      <c r="F2375" s="14" t="s">
        <v>46</v>
      </c>
    </row>
    <row r="2376" ht="22.5" customHeight="1">
      <c r="A2376" s="23">
        <v>2376.0</v>
      </c>
      <c r="B2376" s="23">
        <v>81.0</v>
      </c>
      <c r="C2376" s="23">
        <v>49.0</v>
      </c>
      <c r="D2376" s="23" t="s">
        <v>699</v>
      </c>
      <c r="E2376" s="25"/>
      <c r="F2376" s="14" t="s">
        <v>46</v>
      </c>
    </row>
    <row r="2377" ht="22.5" customHeight="1">
      <c r="A2377" s="23">
        <v>2377.0</v>
      </c>
      <c r="B2377" s="23">
        <v>82.0</v>
      </c>
      <c r="C2377" s="23">
        <v>49.0</v>
      </c>
      <c r="D2377" s="23" t="s">
        <v>699</v>
      </c>
      <c r="E2377" s="25"/>
      <c r="F2377" s="14" t="s">
        <v>46</v>
      </c>
    </row>
    <row r="2378" ht="22.5" customHeight="1">
      <c r="A2378" s="23">
        <v>2378.0</v>
      </c>
      <c r="B2378" s="23">
        <v>83.0</v>
      </c>
      <c r="C2378" s="23">
        <v>49.0</v>
      </c>
      <c r="D2378" s="23" t="s">
        <v>699</v>
      </c>
      <c r="E2378" s="25"/>
      <c r="F2378" s="14" t="s">
        <v>46</v>
      </c>
    </row>
    <row r="2379" ht="22.5" customHeight="1">
      <c r="A2379" s="23">
        <v>2379.0</v>
      </c>
      <c r="B2379" s="23">
        <v>87.0</v>
      </c>
      <c r="C2379" s="23">
        <v>49.0</v>
      </c>
      <c r="D2379" s="23" t="s">
        <v>699</v>
      </c>
      <c r="E2379" s="25"/>
      <c r="F2379" s="14" t="s">
        <v>46</v>
      </c>
    </row>
    <row r="2380" ht="22.5" customHeight="1">
      <c r="A2380" s="23">
        <v>2380.0</v>
      </c>
      <c r="B2380" s="23">
        <v>84.0</v>
      </c>
      <c r="C2380" s="23">
        <v>49.0</v>
      </c>
      <c r="D2380" s="23" t="s">
        <v>699</v>
      </c>
      <c r="E2380" s="25"/>
      <c r="F2380" s="14" t="s">
        <v>46</v>
      </c>
    </row>
    <row r="2381" ht="22.5" customHeight="1">
      <c r="A2381" s="23">
        <v>2381.0</v>
      </c>
      <c r="B2381" s="23">
        <v>68.0</v>
      </c>
      <c r="C2381" s="23">
        <v>49.0</v>
      </c>
      <c r="D2381" s="23" t="s">
        <v>699</v>
      </c>
      <c r="E2381" s="25"/>
      <c r="F2381" s="14" t="s">
        <v>46</v>
      </c>
    </row>
    <row r="2382" ht="22.5" customHeight="1">
      <c r="A2382" s="23">
        <v>2382.0</v>
      </c>
      <c r="B2382" s="23">
        <v>69.0</v>
      </c>
      <c r="C2382" s="23">
        <v>49.0</v>
      </c>
      <c r="D2382" s="23" t="s">
        <v>699</v>
      </c>
      <c r="E2382" s="25"/>
      <c r="F2382" s="14" t="s">
        <v>46</v>
      </c>
    </row>
    <row r="2383" ht="22.5" customHeight="1">
      <c r="A2383" s="23">
        <v>2383.0</v>
      </c>
      <c r="B2383" s="23">
        <v>70.0</v>
      </c>
      <c r="C2383" s="23">
        <v>49.0</v>
      </c>
      <c r="D2383" s="23" t="s">
        <v>699</v>
      </c>
      <c r="E2383" s="25"/>
      <c r="F2383" s="14" t="s">
        <v>46</v>
      </c>
    </row>
    <row r="2384" ht="22.5" customHeight="1">
      <c r="A2384" s="23">
        <v>2384.0</v>
      </c>
      <c r="B2384" s="23">
        <v>71.0</v>
      </c>
      <c r="C2384" s="23">
        <v>49.0</v>
      </c>
      <c r="D2384" s="23" t="s">
        <v>699</v>
      </c>
      <c r="E2384" s="25"/>
      <c r="F2384" s="14" t="s">
        <v>46</v>
      </c>
    </row>
    <row r="2385" ht="22.5" customHeight="1">
      <c r="A2385" s="23">
        <v>2385.0</v>
      </c>
      <c r="B2385" s="23">
        <v>72.0</v>
      </c>
      <c r="C2385" s="23">
        <v>49.0</v>
      </c>
      <c r="D2385" s="23" t="s">
        <v>699</v>
      </c>
      <c r="E2385" s="25"/>
      <c r="F2385" s="14" t="s">
        <v>46</v>
      </c>
    </row>
    <row r="2386" ht="22.5" customHeight="1">
      <c r="A2386" s="23">
        <v>2386.0</v>
      </c>
      <c r="B2386" s="23">
        <v>73.0</v>
      </c>
      <c r="C2386" s="23">
        <v>49.0</v>
      </c>
      <c r="D2386" s="23" t="s">
        <v>699</v>
      </c>
      <c r="E2386" s="25"/>
      <c r="F2386" s="14" t="s">
        <v>46</v>
      </c>
    </row>
    <row r="2387" ht="22.5" customHeight="1">
      <c r="A2387" s="23">
        <v>2387.0</v>
      </c>
      <c r="B2387" s="23">
        <v>74.0</v>
      </c>
      <c r="C2387" s="23">
        <v>49.0</v>
      </c>
      <c r="D2387" s="23" t="s">
        <v>699</v>
      </c>
      <c r="E2387" s="25"/>
      <c r="F2387" s="14" t="s">
        <v>46</v>
      </c>
    </row>
    <row r="2388" ht="22.5" customHeight="1">
      <c r="A2388" s="23">
        <v>2388.0</v>
      </c>
      <c r="B2388" s="23">
        <v>75.0</v>
      </c>
      <c r="C2388" s="23">
        <v>49.0</v>
      </c>
      <c r="D2388" s="23" t="s">
        <v>699</v>
      </c>
      <c r="E2388" s="25"/>
      <c r="F2388" s="14" t="s">
        <v>46</v>
      </c>
    </row>
    <row r="2389" ht="22.5" customHeight="1">
      <c r="A2389" s="23">
        <v>2389.0</v>
      </c>
      <c r="B2389" s="23">
        <v>76.0</v>
      </c>
      <c r="C2389" s="23">
        <v>49.0</v>
      </c>
      <c r="D2389" s="23" t="s">
        <v>699</v>
      </c>
      <c r="E2389" s="25"/>
      <c r="F2389" s="14" t="s">
        <v>46</v>
      </c>
    </row>
    <row r="2390" ht="22.5" customHeight="1">
      <c r="A2390" s="23">
        <v>2390.0</v>
      </c>
      <c r="B2390" s="23">
        <v>77.0</v>
      </c>
      <c r="C2390" s="23">
        <v>49.0</v>
      </c>
      <c r="D2390" s="23" t="s">
        <v>699</v>
      </c>
      <c r="E2390" s="25"/>
      <c r="F2390" s="14" t="s">
        <v>46</v>
      </c>
    </row>
    <row r="2391" ht="22.5" customHeight="1">
      <c r="A2391" s="23">
        <v>2391.0</v>
      </c>
      <c r="B2391" s="23">
        <v>78.0</v>
      </c>
      <c r="C2391" s="23">
        <v>49.0</v>
      </c>
      <c r="D2391" s="23" t="s">
        <v>699</v>
      </c>
      <c r="E2391" s="25"/>
      <c r="F2391" s="14" t="s">
        <v>46</v>
      </c>
    </row>
    <row r="2392" ht="22.5" customHeight="1">
      <c r="A2392" s="23">
        <v>2392.0</v>
      </c>
      <c r="B2392" s="23">
        <v>117.0</v>
      </c>
      <c r="C2392" s="23">
        <v>49.0</v>
      </c>
      <c r="D2392" s="23" t="s">
        <v>699</v>
      </c>
      <c r="E2392" s="25"/>
      <c r="F2392" s="14" t="s">
        <v>46</v>
      </c>
    </row>
    <row r="2393" ht="22.5" customHeight="1">
      <c r="A2393" s="23">
        <v>2393.0</v>
      </c>
      <c r="B2393" s="23">
        <v>86.0</v>
      </c>
      <c r="C2393" s="23">
        <v>49.0</v>
      </c>
      <c r="D2393" s="23" t="s">
        <v>699</v>
      </c>
      <c r="E2393" s="25"/>
      <c r="F2393" s="14" t="s">
        <v>46</v>
      </c>
    </row>
    <row r="2394" ht="22.5" customHeight="1">
      <c r="A2394" s="23">
        <v>2394.0</v>
      </c>
      <c r="B2394" s="23">
        <v>79.0</v>
      </c>
      <c r="C2394" s="23">
        <v>49.0</v>
      </c>
      <c r="D2394" s="23" t="s">
        <v>699</v>
      </c>
      <c r="E2394" s="25"/>
      <c r="F2394" s="14" t="s">
        <v>46</v>
      </c>
    </row>
    <row r="2395" ht="22.5" customHeight="1">
      <c r="A2395" s="23">
        <v>2395.0</v>
      </c>
      <c r="B2395" s="23">
        <v>80.0</v>
      </c>
      <c r="C2395" s="23">
        <v>49.0</v>
      </c>
      <c r="D2395" s="23" t="s">
        <v>699</v>
      </c>
      <c r="E2395" s="25"/>
      <c r="F2395" s="14" t="s">
        <v>46</v>
      </c>
    </row>
    <row r="2396" ht="22.5" customHeight="1">
      <c r="A2396" s="23">
        <v>2396.0</v>
      </c>
      <c r="B2396" s="23">
        <v>34.0</v>
      </c>
      <c r="C2396" s="23">
        <v>49.0</v>
      </c>
      <c r="D2396" s="23" t="s">
        <v>699</v>
      </c>
      <c r="E2396" s="25"/>
      <c r="F2396" s="14" t="s">
        <v>46</v>
      </c>
    </row>
    <row r="2397" ht="22.5" customHeight="1">
      <c r="A2397" s="23">
        <v>2397.0</v>
      </c>
      <c r="B2397" s="23">
        <v>35.0</v>
      </c>
      <c r="C2397" s="23">
        <v>49.0</v>
      </c>
      <c r="D2397" s="23" t="s">
        <v>699</v>
      </c>
      <c r="E2397" s="25"/>
      <c r="F2397" s="14" t="s">
        <v>46</v>
      </c>
    </row>
    <row r="2398" ht="22.5" customHeight="1">
      <c r="A2398" s="23">
        <v>2398.0</v>
      </c>
      <c r="B2398" s="23">
        <v>36.0</v>
      </c>
      <c r="C2398" s="23">
        <v>49.0</v>
      </c>
      <c r="D2398" s="23" t="s">
        <v>699</v>
      </c>
      <c r="E2398" s="25"/>
      <c r="F2398" s="14" t="s">
        <v>46</v>
      </c>
    </row>
    <row r="2399" ht="22.5" customHeight="1">
      <c r="A2399" s="23">
        <v>2399.0</v>
      </c>
      <c r="B2399" s="23">
        <v>114.0</v>
      </c>
      <c r="C2399" s="23">
        <v>49.0</v>
      </c>
      <c r="D2399" s="23" t="s">
        <v>699</v>
      </c>
      <c r="E2399" s="25"/>
      <c r="F2399" s="14" t="s">
        <v>46</v>
      </c>
    </row>
    <row r="2400" ht="22.5" customHeight="1">
      <c r="A2400" s="23">
        <v>2400.0</v>
      </c>
      <c r="B2400" s="23">
        <v>37.0</v>
      </c>
      <c r="C2400" s="23">
        <v>49.0</v>
      </c>
      <c r="D2400" s="23" t="s">
        <v>699</v>
      </c>
      <c r="E2400" s="25"/>
      <c r="F2400" s="14" t="s">
        <v>46</v>
      </c>
    </row>
    <row r="2401" ht="22.5" customHeight="1">
      <c r="A2401" s="23">
        <v>2401.0</v>
      </c>
      <c r="B2401" s="23">
        <v>38.0</v>
      </c>
      <c r="C2401" s="23">
        <v>49.0</v>
      </c>
      <c r="D2401" s="23" t="s">
        <v>699</v>
      </c>
      <c r="E2401" s="25"/>
      <c r="F2401" s="14" t="s">
        <v>46</v>
      </c>
    </row>
    <row r="2402" ht="22.5" customHeight="1">
      <c r="A2402" s="23">
        <v>2402.0</v>
      </c>
      <c r="B2402" s="23">
        <v>88.0</v>
      </c>
      <c r="C2402" s="23">
        <v>49.0</v>
      </c>
      <c r="D2402" s="23" t="s">
        <v>699</v>
      </c>
      <c r="E2402" s="25"/>
      <c r="F2402" s="14" t="s">
        <v>46</v>
      </c>
    </row>
    <row r="2403" ht="22.5" customHeight="1">
      <c r="A2403" s="23">
        <v>2403.0</v>
      </c>
      <c r="B2403" s="23">
        <v>89.0</v>
      </c>
      <c r="C2403" s="23">
        <v>49.0</v>
      </c>
      <c r="D2403" s="23" t="s">
        <v>699</v>
      </c>
      <c r="E2403" s="25"/>
      <c r="F2403" s="14" t="s">
        <v>46</v>
      </c>
    </row>
    <row r="2404" ht="22.5" customHeight="1">
      <c r="A2404" s="23">
        <v>2404.0</v>
      </c>
      <c r="B2404" s="23">
        <v>40.0</v>
      </c>
      <c r="C2404" s="23">
        <v>49.0</v>
      </c>
      <c r="D2404" s="23" t="s">
        <v>699</v>
      </c>
      <c r="E2404" s="25"/>
      <c r="F2404" s="14" t="s">
        <v>46</v>
      </c>
    </row>
    <row r="2405" ht="22.5" customHeight="1">
      <c r="A2405" s="23">
        <v>2405.0</v>
      </c>
      <c r="B2405" s="23">
        <v>41.0</v>
      </c>
      <c r="C2405" s="23">
        <v>49.0</v>
      </c>
      <c r="D2405" s="23" t="s">
        <v>699</v>
      </c>
      <c r="E2405" s="25"/>
      <c r="F2405" s="14" t="s">
        <v>46</v>
      </c>
    </row>
    <row r="2406" ht="22.5" customHeight="1">
      <c r="A2406" s="23">
        <v>2406.0</v>
      </c>
      <c r="B2406" s="23">
        <v>90.0</v>
      </c>
      <c r="C2406" s="23">
        <v>49.0</v>
      </c>
      <c r="D2406" s="23" t="s">
        <v>699</v>
      </c>
      <c r="E2406" s="25"/>
      <c r="F2406" s="14" t="s">
        <v>46</v>
      </c>
    </row>
    <row r="2407" ht="22.5" customHeight="1">
      <c r="A2407" s="23">
        <v>2407.0</v>
      </c>
      <c r="B2407" s="23">
        <v>42.0</v>
      </c>
      <c r="C2407" s="23">
        <v>49.0</v>
      </c>
      <c r="D2407" s="23" t="s">
        <v>699</v>
      </c>
      <c r="E2407" s="25"/>
      <c r="F2407" s="14" t="s">
        <v>46</v>
      </c>
    </row>
    <row r="2408" ht="22.5" customHeight="1">
      <c r="A2408" s="23">
        <v>2408.0</v>
      </c>
      <c r="B2408" s="23">
        <v>54.0</v>
      </c>
      <c r="C2408" s="23">
        <v>49.0</v>
      </c>
      <c r="D2408" s="23" t="s">
        <v>699</v>
      </c>
      <c r="E2408" s="25"/>
      <c r="F2408" s="14" t="s">
        <v>46</v>
      </c>
    </row>
    <row r="2409" ht="22.5" customHeight="1">
      <c r="A2409" s="23">
        <v>2409.0</v>
      </c>
      <c r="B2409" s="23">
        <v>55.0</v>
      </c>
      <c r="C2409" s="23">
        <v>49.0</v>
      </c>
      <c r="D2409" s="23" t="s">
        <v>699</v>
      </c>
      <c r="E2409" s="25"/>
      <c r="F2409" s="14" t="s">
        <v>46</v>
      </c>
    </row>
    <row r="2410" ht="22.5" customHeight="1">
      <c r="A2410" s="23">
        <v>2410.0</v>
      </c>
      <c r="B2410" s="23">
        <v>56.0</v>
      </c>
      <c r="C2410" s="23">
        <v>49.0</v>
      </c>
      <c r="D2410" s="23" t="s">
        <v>699</v>
      </c>
      <c r="E2410" s="25"/>
      <c r="F2410" s="14" t="s">
        <v>46</v>
      </c>
    </row>
    <row r="2411" ht="22.5" customHeight="1">
      <c r="A2411" s="23">
        <v>2411.0</v>
      </c>
      <c r="B2411" s="23">
        <v>92.0</v>
      </c>
      <c r="C2411" s="23">
        <v>49.0</v>
      </c>
      <c r="D2411" s="23" t="s">
        <v>699</v>
      </c>
      <c r="E2411" s="25"/>
      <c r="F2411" s="14" t="s">
        <v>46</v>
      </c>
    </row>
    <row r="2412" ht="22.5" customHeight="1">
      <c r="A2412" s="23">
        <v>2412.0</v>
      </c>
      <c r="B2412" s="23">
        <v>57.0</v>
      </c>
      <c r="C2412" s="23">
        <v>49.0</v>
      </c>
      <c r="D2412" s="23" t="s">
        <v>699</v>
      </c>
      <c r="E2412" s="25"/>
      <c r="F2412" s="14" t="s">
        <v>46</v>
      </c>
    </row>
    <row r="2413" ht="22.5" customHeight="1">
      <c r="A2413" s="23">
        <v>2413.0</v>
      </c>
      <c r="B2413" s="23">
        <v>58.0</v>
      </c>
      <c r="C2413" s="23">
        <v>49.0</v>
      </c>
      <c r="D2413" s="23" t="s">
        <v>699</v>
      </c>
      <c r="E2413" s="25"/>
      <c r="F2413" s="14" t="s">
        <v>46</v>
      </c>
    </row>
    <row r="2414" ht="22.5" customHeight="1">
      <c r="A2414" s="23">
        <v>2414.0</v>
      </c>
      <c r="B2414" s="23">
        <v>59.0</v>
      </c>
      <c r="C2414" s="23">
        <v>49.0</v>
      </c>
      <c r="D2414" s="23" t="s">
        <v>699</v>
      </c>
      <c r="E2414" s="25"/>
      <c r="F2414" s="14" t="s">
        <v>46</v>
      </c>
    </row>
    <row r="2415" ht="22.5" customHeight="1">
      <c r="A2415" s="23">
        <v>2415.0</v>
      </c>
      <c r="B2415" s="23">
        <v>60.0</v>
      </c>
      <c r="C2415" s="23">
        <v>49.0</v>
      </c>
      <c r="D2415" s="23" t="s">
        <v>699</v>
      </c>
      <c r="E2415" s="25"/>
      <c r="F2415" s="14" t="s">
        <v>46</v>
      </c>
    </row>
    <row r="2416" ht="22.5" customHeight="1">
      <c r="A2416" s="23">
        <v>2416.0</v>
      </c>
      <c r="B2416" s="23">
        <v>61.0</v>
      </c>
      <c r="C2416" s="23">
        <v>49.0</v>
      </c>
      <c r="D2416" s="23" t="s">
        <v>699</v>
      </c>
      <c r="E2416" s="25"/>
      <c r="F2416" s="14" t="s">
        <v>46</v>
      </c>
    </row>
    <row r="2417" ht="22.5" customHeight="1">
      <c r="A2417" s="23">
        <v>2417.0</v>
      </c>
      <c r="B2417" s="23">
        <v>62.0</v>
      </c>
      <c r="C2417" s="23">
        <v>49.0</v>
      </c>
      <c r="D2417" s="23" t="s">
        <v>699</v>
      </c>
      <c r="E2417" s="25"/>
      <c r="F2417" s="14" t="s">
        <v>46</v>
      </c>
    </row>
    <row r="2418" ht="22.5" customHeight="1">
      <c r="A2418" s="23">
        <v>2418.0</v>
      </c>
      <c r="B2418" s="23">
        <v>44.0</v>
      </c>
      <c r="C2418" s="23">
        <v>49.0</v>
      </c>
      <c r="D2418" s="23" t="s">
        <v>699</v>
      </c>
      <c r="E2418" s="25"/>
      <c r="F2418" s="14" t="s">
        <v>46</v>
      </c>
    </row>
    <row r="2419" ht="22.5" customHeight="1">
      <c r="A2419" s="23">
        <v>2419.0</v>
      </c>
      <c r="B2419" s="23">
        <v>45.0</v>
      </c>
      <c r="C2419" s="23">
        <v>49.0</v>
      </c>
      <c r="D2419" s="23" t="s">
        <v>699</v>
      </c>
      <c r="E2419" s="25"/>
      <c r="F2419" s="14" t="s">
        <v>46</v>
      </c>
    </row>
    <row r="2420" ht="22.5" customHeight="1">
      <c r="A2420" s="23">
        <v>2420.0</v>
      </c>
      <c r="B2420" s="23">
        <v>105.0</v>
      </c>
      <c r="C2420" s="23">
        <v>49.0</v>
      </c>
      <c r="D2420" s="23" t="s">
        <v>699</v>
      </c>
      <c r="E2420" s="25"/>
      <c r="F2420" s="14" t="s">
        <v>46</v>
      </c>
    </row>
    <row r="2421" ht="22.5" customHeight="1">
      <c r="A2421" s="23">
        <v>2421.0</v>
      </c>
      <c r="B2421" s="23">
        <v>107.0</v>
      </c>
      <c r="C2421" s="23">
        <v>49.0</v>
      </c>
      <c r="D2421" s="23" t="s">
        <v>699</v>
      </c>
      <c r="E2421" s="25"/>
      <c r="F2421" s="14" t="s">
        <v>46</v>
      </c>
    </row>
    <row r="2422" ht="22.5" customHeight="1">
      <c r="A2422" s="23">
        <v>2422.0</v>
      </c>
      <c r="B2422" s="23">
        <v>108.0</v>
      </c>
      <c r="C2422" s="23">
        <v>49.0</v>
      </c>
      <c r="D2422" s="23" t="s">
        <v>699</v>
      </c>
      <c r="E2422" s="25"/>
      <c r="F2422" s="14" t="s">
        <v>46</v>
      </c>
    </row>
    <row r="2423" ht="22.5" customHeight="1">
      <c r="A2423" s="23">
        <v>2423.0</v>
      </c>
      <c r="B2423" s="23">
        <v>103.0</v>
      </c>
      <c r="C2423" s="23">
        <v>49.0</v>
      </c>
      <c r="D2423" s="23" t="s">
        <v>699</v>
      </c>
      <c r="E2423" s="25"/>
      <c r="F2423" s="14" t="s">
        <v>46</v>
      </c>
    </row>
    <row r="2424" ht="22.5" customHeight="1">
      <c r="A2424" s="23">
        <v>2424.0</v>
      </c>
      <c r="B2424" s="23">
        <v>104.0</v>
      </c>
      <c r="C2424" s="23">
        <v>49.0</v>
      </c>
      <c r="D2424" s="23" t="s">
        <v>699</v>
      </c>
      <c r="E2424" s="25"/>
      <c r="F2424" s="14" t="s">
        <v>46</v>
      </c>
    </row>
    <row r="2425" ht="22.5" customHeight="1">
      <c r="A2425" s="23">
        <v>2425.0</v>
      </c>
      <c r="B2425" s="23">
        <v>112.0</v>
      </c>
      <c r="C2425" s="23">
        <v>49.0</v>
      </c>
      <c r="D2425" s="23" t="s">
        <v>699</v>
      </c>
      <c r="E2425" s="25"/>
      <c r="F2425" s="14" t="s">
        <v>46</v>
      </c>
    </row>
    <row r="2426" ht="22.5" customHeight="1">
      <c r="A2426" s="23">
        <v>2426.0</v>
      </c>
      <c r="B2426" s="23">
        <v>93.0</v>
      </c>
      <c r="C2426" s="23">
        <v>49.0</v>
      </c>
      <c r="D2426" s="23" t="s">
        <v>699</v>
      </c>
      <c r="E2426" s="25"/>
      <c r="F2426" s="14" t="s">
        <v>46</v>
      </c>
    </row>
    <row r="2427" ht="22.5" customHeight="1">
      <c r="A2427" s="23">
        <v>2427.0</v>
      </c>
      <c r="B2427" s="23">
        <v>94.0</v>
      </c>
      <c r="C2427" s="23">
        <v>49.0</v>
      </c>
      <c r="D2427" s="23" t="s">
        <v>699</v>
      </c>
      <c r="E2427" s="25"/>
      <c r="F2427" s="14" t="s">
        <v>46</v>
      </c>
    </row>
    <row r="2428" ht="22.5" customHeight="1">
      <c r="A2428" s="23">
        <v>2428.0</v>
      </c>
      <c r="B2428" s="23">
        <v>95.0</v>
      </c>
      <c r="C2428" s="23">
        <v>49.0</v>
      </c>
      <c r="D2428" s="23" t="s">
        <v>699</v>
      </c>
      <c r="E2428" s="25"/>
      <c r="F2428" s="14" t="s">
        <v>46</v>
      </c>
    </row>
    <row r="2429" ht="22.5" customHeight="1">
      <c r="A2429" s="23">
        <v>2429.0</v>
      </c>
      <c r="B2429" s="23">
        <v>96.0</v>
      </c>
      <c r="C2429" s="23">
        <v>49.0</v>
      </c>
      <c r="D2429" s="23" t="s">
        <v>699</v>
      </c>
      <c r="E2429" s="25"/>
      <c r="F2429" s="14" t="s">
        <v>46</v>
      </c>
    </row>
    <row r="2430" ht="22.5" customHeight="1">
      <c r="A2430" s="23">
        <v>2430.0</v>
      </c>
      <c r="B2430" s="23">
        <v>97.0</v>
      </c>
      <c r="C2430" s="23">
        <v>49.0</v>
      </c>
      <c r="D2430" s="23" t="s">
        <v>699</v>
      </c>
      <c r="E2430" s="25"/>
      <c r="F2430" s="14" t="s">
        <v>46</v>
      </c>
    </row>
    <row r="2431" ht="22.5" customHeight="1">
      <c r="A2431" s="23">
        <v>2431.0</v>
      </c>
      <c r="B2431" s="23">
        <v>99.0</v>
      </c>
      <c r="C2431" s="23">
        <v>49.0</v>
      </c>
      <c r="D2431" s="23" t="s">
        <v>699</v>
      </c>
      <c r="E2431" s="25"/>
      <c r="F2431" s="14" t="s">
        <v>46</v>
      </c>
    </row>
    <row r="2432" ht="22.5" customHeight="1">
      <c r="A2432" s="23">
        <v>2432.0</v>
      </c>
      <c r="B2432" s="23">
        <v>100.0</v>
      </c>
      <c r="C2432" s="23">
        <v>49.0</v>
      </c>
      <c r="D2432" s="23" t="s">
        <v>699</v>
      </c>
      <c r="E2432" s="25"/>
      <c r="F2432" s="14" t="s">
        <v>46</v>
      </c>
    </row>
    <row r="2433" ht="22.5" customHeight="1">
      <c r="A2433" s="23">
        <v>2433.0</v>
      </c>
      <c r="B2433" s="23">
        <v>101.0</v>
      </c>
      <c r="C2433" s="23">
        <v>49.0</v>
      </c>
      <c r="D2433" s="23" t="s">
        <v>699</v>
      </c>
      <c r="E2433" s="25"/>
      <c r="F2433" s="14" t="s">
        <v>46</v>
      </c>
    </row>
    <row r="2434" ht="22.5" customHeight="1">
      <c r="A2434" s="23">
        <v>2434.0</v>
      </c>
      <c r="B2434" s="23">
        <v>102.0</v>
      </c>
      <c r="C2434" s="23">
        <v>49.0</v>
      </c>
      <c r="D2434" s="23" t="s">
        <v>699</v>
      </c>
      <c r="E2434" s="25"/>
      <c r="F2434" s="14" t="s">
        <v>46</v>
      </c>
    </row>
    <row r="2435">
      <c r="B2435" s="2"/>
      <c r="F2435" s="15"/>
    </row>
    <row r="2436">
      <c r="B2436" s="2"/>
      <c r="F2436" s="15"/>
    </row>
    <row r="2437">
      <c r="B2437" s="2"/>
      <c r="F2437" s="15"/>
    </row>
    <row r="2438">
      <c r="B2438" s="2"/>
      <c r="F2438" s="15"/>
    </row>
    <row r="2439">
      <c r="B2439" s="2"/>
      <c r="F2439" s="15"/>
    </row>
    <row r="2440">
      <c r="B2440" s="2"/>
      <c r="F2440" s="15"/>
    </row>
    <row r="2441">
      <c r="B2441" s="2"/>
      <c r="F2441" s="15"/>
    </row>
    <row r="2442">
      <c r="B2442" s="2"/>
      <c r="F2442" s="15"/>
    </row>
    <row r="2443">
      <c r="B2443" s="2"/>
      <c r="F2443" s="15"/>
    </row>
    <row r="2444">
      <c r="B2444" s="2"/>
      <c r="F2444" s="15"/>
    </row>
    <row r="2445">
      <c r="B2445" s="2"/>
      <c r="F2445" s="15"/>
    </row>
    <row r="2446">
      <c r="B2446" s="2"/>
      <c r="F2446" s="15"/>
    </row>
    <row r="2447">
      <c r="B2447" s="2"/>
      <c r="F2447" s="15"/>
    </row>
    <row r="2448">
      <c r="B2448" s="2"/>
      <c r="F2448" s="15"/>
    </row>
    <row r="2449">
      <c r="B2449" s="2"/>
      <c r="F2449" s="15"/>
    </row>
    <row r="2450">
      <c r="B2450" s="2"/>
      <c r="F2450" s="15"/>
    </row>
    <row r="2451">
      <c r="B2451" s="2"/>
      <c r="F2451" s="15"/>
    </row>
    <row r="2452">
      <c r="B2452" s="2"/>
      <c r="F2452" s="15"/>
    </row>
    <row r="2453">
      <c r="B2453" s="2"/>
      <c r="F2453" s="15"/>
    </row>
    <row r="2454">
      <c r="B2454" s="2"/>
      <c r="F2454" s="15"/>
    </row>
    <row r="2455">
      <c r="B2455" s="2"/>
      <c r="F2455" s="15"/>
    </row>
    <row r="2456">
      <c r="B2456" s="2"/>
      <c r="F2456" s="15"/>
    </row>
    <row r="2457">
      <c r="B2457" s="2"/>
      <c r="F2457" s="15"/>
    </row>
    <row r="2458">
      <c r="B2458" s="2"/>
      <c r="F2458" s="15"/>
    </row>
    <row r="2459">
      <c r="B2459" s="2"/>
      <c r="F2459" s="15"/>
    </row>
    <row r="2460">
      <c r="B2460" s="2"/>
      <c r="F2460" s="15"/>
    </row>
    <row r="2461">
      <c r="B2461" s="2"/>
      <c r="F2461" s="15"/>
    </row>
    <row r="2462">
      <c r="B2462" s="2"/>
      <c r="F2462" s="15"/>
    </row>
    <row r="2463">
      <c r="B2463" s="2"/>
      <c r="F2463" s="15"/>
    </row>
    <row r="2464">
      <c r="B2464" s="2"/>
      <c r="F2464" s="15"/>
    </row>
    <row r="2465">
      <c r="B2465" s="2"/>
      <c r="F2465" s="15"/>
    </row>
    <row r="2466">
      <c r="B2466" s="2"/>
      <c r="F2466" s="15"/>
    </row>
    <row r="2467">
      <c r="B2467" s="2"/>
      <c r="F2467" s="15"/>
    </row>
    <row r="2468">
      <c r="B2468" s="2"/>
      <c r="F2468" s="15"/>
    </row>
    <row r="2469">
      <c r="B2469" s="2"/>
      <c r="F2469" s="15"/>
    </row>
    <row r="2470">
      <c r="B2470" s="2"/>
      <c r="F2470" s="15"/>
    </row>
    <row r="2471">
      <c r="B2471" s="2"/>
      <c r="F2471" s="15"/>
    </row>
    <row r="2472">
      <c r="B2472" s="2"/>
      <c r="F2472" s="15"/>
    </row>
    <row r="2473">
      <c r="B2473" s="2"/>
      <c r="F2473" s="15"/>
    </row>
    <row r="2474">
      <c r="B2474" s="2"/>
      <c r="F2474" s="15"/>
    </row>
    <row r="2475">
      <c r="B2475" s="2"/>
      <c r="F2475" s="15"/>
    </row>
    <row r="2476">
      <c r="B2476" s="2"/>
      <c r="F2476" s="15"/>
    </row>
    <row r="2477">
      <c r="B2477" s="2"/>
      <c r="F2477" s="15"/>
    </row>
    <row r="2478">
      <c r="B2478" s="2"/>
      <c r="F2478" s="15"/>
    </row>
    <row r="2479">
      <c r="B2479" s="2"/>
      <c r="F2479" s="15"/>
    </row>
    <row r="2480">
      <c r="B2480" s="2"/>
      <c r="F2480" s="15"/>
    </row>
    <row r="2481">
      <c r="B2481" s="2"/>
      <c r="F2481" s="15"/>
    </row>
    <row r="2482">
      <c r="B2482" s="2"/>
      <c r="F2482" s="15"/>
    </row>
    <row r="2483">
      <c r="B2483" s="2"/>
      <c r="F2483" s="15"/>
    </row>
    <row r="2484">
      <c r="B2484" s="2"/>
      <c r="F2484" s="15"/>
    </row>
    <row r="2485">
      <c r="B2485" s="2"/>
      <c r="F2485" s="15"/>
    </row>
    <row r="2486">
      <c r="B2486" s="2"/>
      <c r="F2486" s="15"/>
    </row>
    <row r="2487">
      <c r="B2487" s="2"/>
      <c r="F2487" s="15"/>
    </row>
    <row r="2488">
      <c r="B2488" s="2"/>
      <c r="F2488" s="15"/>
    </row>
    <row r="2489">
      <c r="B2489" s="2"/>
      <c r="F2489" s="15"/>
    </row>
    <row r="2490">
      <c r="B2490" s="2"/>
      <c r="F2490" s="15"/>
    </row>
    <row r="2491">
      <c r="B2491" s="2"/>
      <c r="F2491" s="15"/>
    </row>
    <row r="2492">
      <c r="B2492" s="2"/>
      <c r="F2492" s="15"/>
    </row>
    <row r="2493">
      <c r="B2493" s="2"/>
      <c r="F2493" s="15"/>
    </row>
    <row r="2494">
      <c r="B2494" s="2"/>
      <c r="F2494" s="15"/>
    </row>
    <row r="2495">
      <c r="B2495" s="2"/>
      <c r="F2495" s="15"/>
    </row>
    <row r="2496">
      <c r="B2496" s="2"/>
      <c r="F2496" s="15"/>
    </row>
    <row r="2497">
      <c r="B2497" s="2"/>
      <c r="F2497" s="15"/>
    </row>
    <row r="2498">
      <c r="B2498" s="2"/>
      <c r="F2498" s="15"/>
    </row>
    <row r="2499">
      <c r="B2499" s="2"/>
      <c r="F2499" s="15"/>
    </row>
    <row r="2500">
      <c r="B2500" s="2"/>
      <c r="F2500" s="15"/>
    </row>
    <row r="2501">
      <c r="B2501" s="2"/>
      <c r="F2501" s="15"/>
    </row>
    <row r="2502">
      <c r="B2502" s="2"/>
      <c r="F2502" s="15"/>
    </row>
    <row r="2503">
      <c r="B2503" s="2"/>
      <c r="F2503" s="15"/>
    </row>
    <row r="2504">
      <c r="B2504" s="2"/>
      <c r="F2504" s="15"/>
    </row>
    <row r="2505">
      <c r="B2505" s="2"/>
      <c r="F2505" s="15"/>
    </row>
    <row r="2506">
      <c r="B2506" s="2"/>
      <c r="F2506" s="15"/>
    </row>
    <row r="2507">
      <c r="B2507" s="2"/>
      <c r="F2507" s="15"/>
    </row>
    <row r="2508">
      <c r="B2508" s="2"/>
      <c r="F2508" s="15"/>
    </row>
    <row r="2509">
      <c r="B2509" s="2"/>
      <c r="F2509" s="15"/>
    </row>
    <row r="2510">
      <c r="B2510" s="2"/>
      <c r="F2510" s="15"/>
    </row>
    <row r="2511">
      <c r="B2511" s="2"/>
      <c r="F2511" s="15"/>
    </row>
    <row r="2512">
      <c r="B2512" s="2"/>
      <c r="F2512" s="15"/>
    </row>
    <row r="2513">
      <c r="B2513" s="2"/>
      <c r="F2513" s="15"/>
    </row>
    <row r="2514">
      <c r="B2514" s="2"/>
      <c r="F2514" s="15"/>
    </row>
    <row r="2515">
      <c r="B2515" s="2"/>
      <c r="F2515" s="15"/>
    </row>
    <row r="2516">
      <c r="B2516" s="2"/>
      <c r="F2516" s="15"/>
    </row>
    <row r="2517">
      <c r="B2517" s="2"/>
      <c r="F2517" s="15"/>
    </row>
    <row r="2518">
      <c r="B2518" s="2"/>
      <c r="F2518" s="15"/>
    </row>
    <row r="2519">
      <c r="B2519" s="2"/>
      <c r="F2519" s="15"/>
    </row>
    <row r="2520">
      <c r="B2520" s="2"/>
      <c r="F2520" s="15"/>
    </row>
    <row r="2521">
      <c r="B2521" s="2"/>
      <c r="F2521" s="15"/>
    </row>
    <row r="2522">
      <c r="B2522" s="2"/>
      <c r="F2522" s="15"/>
    </row>
    <row r="2523">
      <c r="B2523" s="2"/>
      <c r="F2523" s="15"/>
    </row>
    <row r="2524">
      <c r="B2524" s="2"/>
      <c r="F2524" s="15"/>
    </row>
    <row r="2525">
      <c r="B2525" s="2"/>
      <c r="F2525" s="15"/>
    </row>
    <row r="2526">
      <c r="B2526" s="2"/>
      <c r="F2526" s="15"/>
    </row>
    <row r="2527">
      <c r="B2527" s="2"/>
      <c r="F2527" s="15"/>
    </row>
    <row r="2528">
      <c r="B2528" s="2"/>
      <c r="F2528" s="15"/>
    </row>
    <row r="2529">
      <c r="B2529" s="2"/>
      <c r="F2529" s="15"/>
    </row>
    <row r="2530">
      <c r="B2530" s="2"/>
      <c r="F2530" s="15"/>
    </row>
    <row r="2531">
      <c r="B2531" s="2"/>
      <c r="F2531" s="15"/>
    </row>
    <row r="2532">
      <c r="B2532" s="2"/>
      <c r="F2532" s="15"/>
    </row>
    <row r="2533">
      <c r="B2533" s="2"/>
      <c r="F2533" s="15"/>
    </row>
    <row r="2534">
      <c r="B2534" s="2"/>
      <c r="F2534" s="15"/>
    </row>
    <row r="2535">
      <c r="B2535" s="2"/>
      <c r="F2535" s="15"/>
    </row>
    <row r="2536">
      <c r="B2536" s="2"/>
      <c r="F2536" s="15"/>
    </row>
    <row r="2537">
      <c r="B2537" s="2"/>
      <c r="F2537" s="15"/>
    </row>
    <row r="2538">
      <c r="B2538" s="2"/>
      <c r="F2538" s="15"/>
    </row>
    <row r="2539">
      <c r="B2539" s="2"/>
      <c r="F2539" s="15"/>
    </row>
    <row r="2540">
      <c r="B2540" s="2"/>
      <c r="F2540" s="15"/>
    </row>
    <row r="2541">
      <c r="B2541" s="2"/>
      <c r="F2541" s="15"/>
    </row>
    <row r="2542">
      <c r="B2542" s="2"/>
      <c r="F2542" s="15"/>
    </row>
    <row r="2543">
      <c r="B2543" s="2"/>
      <c r="F2543" s="15"/>
    </row>
    <row r="2544">
      <c r="B2544" s="2"/>
      <c r="F2544" s="15"/>
    </row>
    <row r="2545">
      <c r="B2545" s="2"/>
      <c r="F2545" s="15"/>
    </row>
    <row r="2546">
      <c r="B2546" s="2"/>
      <c r="F2546" s="15"/>
    </row>
    <row r="2547">
      <c r="B2547" s="2"/>
      <c r="F2547" s="15"/>
    </row>
    <row r="2548">
      <c r="B2548" s="2"/>
      <c r="F2548" s="15"/>
    </row>
    <row r="2549">
      <c r="B2549" s="2"/>
      <c r="F2549" s="15"/>
    </row>
    <row r="2550">
      <c r="B2550" s="2"/>
      <c r="F2550" s="15"/>
    </row>
    <row r="2551">
      <c r="B2551" s="2"/>
      <c r="F2551" s="15"/>
    </row>
    <row r="2552">
      <c r="B2552" s="2"/>
      <c r="F2552" s="15"/>
    </row>
    <row r="2553">
      <c r="B2553" s="2"/>
      <c r="F2553" s="15"/>
    </row>
    <row r="2554">
      <c r="B2554" s="2"/>
      <c r="F2554" s="15"/>
    </row>
    <row r="2555">
      <c r="B2555" s="2"/>
      <c r="F2555" s="15"/>
    </row>
    <row r="2556">
      <c r="B2556" s="2"/>
      <c r="F2556" s="15"/>
    </row>
    <row r="2557">
      <c r="B2557" s="2"/>
      <c r="F2557" s="15"/>
    </row>
    <row r="2558">
      <c r="B2558" s="2"/>
      <c r="F2558" s="15"/>
    </row>
    <row r="2559">
      <c r="B2559" s="2"/>
      <c r="F2559" s="15"/>
    </row>
    <row r="2560">
      <c r="B2560" s="2"/>
      <c r="F2560" s="15"/>
    </row>
    <row r="2561">
      <c r="B2561" s="2"/>
      <c r="F2561" s="15"/>
    </row>
    <row r="2562">
      <c r="B2562" s="2"/>
      <c r="F2562" s="15"/>
    </row>
    <row r="2563">
      <c r="B2563" s="2"/>
      <c r="F2563" s="15"/>
    </row>
    <row r="2564">
      <c r="B2564" s="2"/>
      <c r="F2564" s="15"/>
    </row>
    <row r="2565">
      <c r="B2565" s="2"/>
      <c r="F2565" s="15"/>
    </row>
    <row r="2566">
      <c r="B2566" s="2"/>
      <c r="F2566" s="15"/>
    </row>
    <row r="2567">
      <c r="B2567" s="2"/>
      <c r="F2567" s="15"/>
    </row>
    <row r="2568">
      <c r="B2568" s="2"/>
      <c r="F2568" s="15"/>
    </row>
    <row r="2569">
      <c r="B2569" s="2"/>
      <c r="F2569" s="15"/>
    </row>
    <row r="2570">
      <c r="B2570" s="2"/>
      <c r="F2570" s="15"/>
    </row>
    <row r="2571">
      <c r="B2571" s="2"/>
      <c r="F2571" s="15"/>
    </row>
    <row r="2572">
      <c r="B2572" s="2"/>
      <c r="F2572" s="15"/>
    </row>
    <row r="2573">
      <c r="B2573" s="2"/>
      <c r="F2573" s="15"/>
    </row>
    <row r="2574">
      <c r="B2574" s="2"/>
      <c r="F2574" s="15"/>
    </row>
    <row r="2575">
      <c r="B2575" s="2"/>
      <c r="F2575" s="15"/>
    </row>
    <row r="2576">
      <c r="B2576" s="2"/>
      <c r="F2576" s="15"/>
    </row>
    <row r="2577">
      <c r="B2577" s="2"/>
      <c r="F2577" s="15"/>
    </row>
    <row r="2578">
      <c r="B2578" s="2"/>
      <c r="F2578" s="15"/>
    </row>
    <row r="2579">
      <c r="B2579" s="2"/>
      <c r="F2579" s="15"/>
    </row>
    <row r="2580">
      <c r="B2580" s="2"/>
      <c r="F2580" s="15"/>
    </row>
    <row r="2581">
      <c r="B2581" s="2"/>
      <c r="F2581" s="15"/>
    </row>
    <row r="2582">
      <c r="B2582" s="2"/>
      <c r="F2582" s="15"/>
    </row>
    <row r="2583">
      <c r="B2583" s="2"/>
      <c r="F2583" s="15"/>
    </row>
    <row r="2584">
      <c r="B2584" s="2"/>
      <c r="F2584" s="15"/>
    </row>
    <row r="2585">
      <c r="B2585" s="2"/>
      <c r="F2585" s="15"/>
    </row>
    <row r="2586">
      <c r="B2586" s="2"/>
      <c r="F2586" s="15"/>
    </row>
    <row r="2587">
      <c r="B2587" s="2"/>
      <c r="F2587" s="15"/>
    </row>
    <row r="2588">
      <c r="B2588" s="2"/>
      <c r="F2588" s="15"/>
    </row>
    <row r="2589">
      <c r="B2589" s="2"/>
      <c r="F2589" s="15"/>
    </row>
    <row r="2590">
      <c r="B2590" s="2"/>
      <c r="F2590" s="15"/>
    </row>
    <row r="2591">
      <c r="B2591" s="2"/>
      <c r="F2591" s="15"/>
    </row>
    <row r="2592">
      <c r="B2592" s="2"/>
      <c r="F2592" s="15"/>
    </row>
    <row r="2593">
      <c r="B2593" s="2"/>
      <c r="F2593" s="15"/>
    </row>
    <row r="2594">
      <c r="B2594" s="2"/>
      <c r="F2594" s="15"/>
    </row>
    <row r="2595">
      <c r="B2595" s="2"/>
      <c r="F2595" s="15"/>
    </row>
    <row r="2596">
      <c r="B2596" s="2"/>
      <c r="F2596" s="15"/>
    </row>
    <row r="2597">
      <c r="B2597" s="2"/>
      <c r="F2597" s="15"/>
    </row>
    <row r="2598">
      <c r="B2598" s="2"/>
      <c r="F2598" s="15"/>
    </row>
    <row r="2599">
      <c r="B2599" s="2"/>
      <c r="F2599" s="15"/>
    </row>
    <row r="2600">
      <c r="B2600" s="2"/>
      <c r="F2600" s="15"/>
    </row>
    <row r="2601">
      <c r="B2601" s="2"/>
      <c r="F2601" s="15"/>
    </row>
    <row r="2602">
      <c r="B2602" s="2"/>
      <c r="F2602" s="15"/>
    </row>
    <row r="2603">
      <c r="B2603" s="2"/>
      <c r="F2603" s="15"/>
    </row>
    <row r="2604">
      <c r="B2604" s="2"/>
      <c r="F2604" s="15"/>
    </row>
    <row r="2605">
      <c r="B2605" s="2"/>
      <c r="F2605" s="15"/>
    </row>
    <row r="2606">
      <c r="B2606" s="2"/>
      <c r="F2606" s="15"/>
    </row>
    <row r="2607">
      <c r="B2607" s="2"/>
      <c r="F2607" s="15"/>
    </row>
    <row r="2608">
      <c r="B2608" s="2"/>
      <c r="F2608" s="15"/>
    </row>
    <row r="2609">
      <c r="B2609" s="2"/>
      <c r="F2609" s="15"/>
    </row>
    <row r="2610">
      <c r="B2610" s="2"/>
      <c r="F2610" s="15"/>
    </row>
    <row r="2611">
      <c r="B2611" s="2"/>
      <c r="F2611" s="15"/>
    </row>
    <row r="2612">
      <c r="B2612" s="2"/>
      <c r="F2612" s="15"/>
    </row>
    <row r="2613">
      <c r="B2613" s="2"/>
      <c r="F2613" s="15"/>
    </row>
    <row r="2614">
      <c r="B2614" s="2"/>
      <c r="F2614" s="15"/>
    </row>
    <row r="2615">
      <c r="B2615" s="2"/>
      <c r="F2615" s="15"/>
    </row>
    <row r="2616">
      <c r="B2616" s="2"/>
      <c r="F2616" s="15"/>
    </row>
    <row r="2617">
      <c r="B2617" s="2"/>
      <c r="F2617" s="15"/>
    </row>
    <row r="2618">
      <c r="B2618" s="2"/>
      <c r="F2618" s="15"/>
    </row>
    <row r="2619">
      <c r="B2619" s="2"/>
      <c r="F2619" s="15"/>
    </row>
    <row r="2620">
      <c r="B2620" s="2"/>
      <c r="F2620" s="15"/>
    </row>
    <row r="2621">
      <c r="B2621" s="2"/>
      <c r="F2621" s="15"/>
    </row>
    <row r="2622">
      <c r="B2622" s="2"/>
      <c r="F2622" s="15"/>
    </row>
    <row r="2623">
      <c r="B2623" s="2"/>
      <c r="F2623" s="15"/>
    </row>
    <row r="2624">
      <c r="B2624" s="2"/>
      <c r="F2624" s="15"/>
    </row>
    <row r="2625">
      <c r="B2625" s="2"/>
      <c r="F2625" s="15"/>
    </row>
    <row r="2626">
      <c r="B2626" s="2"/>
      <c r="F2626" s="15"/>
    </row>
    <row r="2627">
      <c r="B2627" s="2"/>
      <c r="F2627" s="15"/>
    </row>
    <row r="2628">
      <c r="B2628" s="2"/>
      <c r="F2628" s="15"/>
    </row>
    <row r="2629">
      <c r="B2629" s="2"/>
      <c r="F2629" s="15"/>
    </row>
    <row r="2630">
      <c r="B2630" s="2"/>
      <c r="F2630" s="15"/>
    </row>
    <row r="2631">
      <c r="B2631" s="2"/>
      <c r="F2631" s="15"/>
    </row>
    <row r="2632">
      <c r="B2632" s="2"/>
      <c r="F2632" s="15"/>
    </row>
    <row r="2633">
      <c r="B2633" s="2"/>
      <c r="F2633" s="15"/>
    </row>
    <row r="2634">
      <c r="B2634" s="2"/>
      <c r="F2634" s="15"/>
    </row>
    <row r="2635">
      <c r="B2635" s="2"/>
      <c r="F2635" s="15"/>
    </row>
    <row r="2636">
      <c r="B2636" s="2"/>
      <c r="F2636" s="15"/>
    </row>
    <row r="2637">
      <c r="B2637" s="2"/>
      <c r="F2637" s="15"/>
    </row>
    <row r="2638">
      <c r="B2638" s="2"/>
      <c r="F2638" s="15"/>
    </row>
    <row r="2639">
      <c r="B2639" s="2"/>
      <c r="F2639" s="15"/>
    </row>
    <row r="2640">
      <c r="B2640" s="2"/>
      <c r="F2640" s="15"/>
    </row>
    <row r="2641">
      <c r="B2641" s="2"/>
      <c r="F2641" s="15"/>
    </row>
    <row r="2642">
      <c r="B2642" s="2"/>
      <c r="F2642" s="15"/>
    </row>
    <row r="2643">
      <c r="B2643" s="2"/>
      <c r="F2643" s="15"/>
    </row>
    <row r="2644">
      <c r="B2644" s="2"/>
      <c r="F2644" s="15"/>
    </row>
    <row r="2645">
      <c r="B2645" s="2"/>
      <c r="F2645" s="15"/>
    </row>
    <row r="2646">
      <c r="B2646" s="2"/>
      <c r="F2646" s="15"/>
    </row>
    <row r="2647">
      <c r="B2647" s="2"/>
      <c r="F2647" s="15"/>
    </row>
    <row r="2648">
      <c r="B2648" s="2"/>
      <c r="F2648" s="15"/>
    </row>
    <row r="2649">
      <c r="B2649" s="2"/>
      <c r="F2649" s="15"/>
    </row>
    <row r="2650">
      <c r="B2650" s="2"/>
      <c r="F2650" s="15"/>
    </row>
    <row r="2651">
      <c r="B2651" s="2"/>
      <c r="F2651" s="15"/>
    </row>
    <row r="2652">
      <c r="B2652" s="2"/>
      <c r="F2652" s="15"/>
    </row>
    <row r="2653">
      <c r="B2653" s="2"/>
      <c r="F2653" s="15"/>
    </row>
    <row r="2654">
      <c r="B2654" s="2"/>
      <c r="F2654" s="15"/>
    </row>
    <row r="2655">
      <c r="B2655" s="2"/>
      <c r="F2655" s="15"/>
    </row>
    <row r="2656">
      <c r="B2656" s="2"/>
      <c r="F2656" s="15"/>
    </row>
    <row r="2657">
      <c r="B2657" s="2"/>
      <c r="F2657" s="15"/>
    </row>
    <row r="2658">
      <c r="B2658" s="2"/>
      <c r="F2658" s="15"/>
    </row>
    <row r="2659">
      <c r="B2659" s="2"/>
      <c r="F2659" s="15"/>
    </row>
    <row r="2660">
      <c r="B2660" s="2"/>
      <c r="F2660" s="15"/>
    </row>
    <row r="2661">
      <c r="B2661" s="2"/>
      <c r="F2661" s="15"/>
    </row>
    <row r="2662">
      <c r="B2662" s="2"/>
      <c r="F2662" s="15"/>
    </row>
    <row r="2663">
      <c r="B2663" s="2"/>
      <c r="F2663" s="15"/>
    </row>
    <row r="2664">
      <c r="B2664" s="2"/>
      <c r="F2664" s="15"/>
    </row>
    <row r="2665">
      <c r="B2665" s="2"/>
      <c r="F2665" s="15"/>
    </row>
    <row r="2666">
      <c r="B2666" s="2"/>
      <c r="F2666" s="15"/>
    </row>
    <row r="2667">
      <c r="B2667" s="2"/>
      <c r="F2667" s="15"/>
    </row>
    <row r="2668">
      <c r="B2668" s="2"/>
      <c r="F2668" s="15"/>
    </row>
    <row r="2669">
      <c r="B2669" s="2"/>
      <c r="F2669" s="15"/>
    </row>
    <row r="2670">
      <c r="B2670" s="2"/>
      <c r="F2670" s="15"/>
    </row>
    <row r="2671">
      <c r="B2671" s="2"/>
      <c r="F2671" s="15"/>
    </row>
    <row r="2672">
      <c r="B2672" s="2"/>
      <c r="F2672" s="15"/>
    </row>
    <row r="2673">
      <c r="B2673" s="2"/>
      <c r="F2673" s="15"/>
    </row>
    <row r="2674">
      <c r="B2674" s="2"/>
      <c r="F2674" s="15"/>
    </row>
    <row r="2675">
      <c r="B2675" s="2"/>
      <c r="F2675" s="15"/>
    </row>
    <row r="2676">
      <c r="B2676" s="2"/>
      <c r="F2676" s="15"/>
    </row>
    <row r="2677">
      <c r="B2677" s="2"/>
      <c r="F2677" s="15"/>
    </row>
    <row r="2678">
      <c r="B2678" s="2"/>
      <c r="F2678" s="15"/>
    </row>
    <row r="2679">
      <c r="B2679" s="2"/>
      <c r="F2679" s="15"/>
    </row>
    <row r="2680">
      <c r="B2680" s="2"/>
      <c r="F2680" s="15"/>
    </row>
    <row r="2681">
      <c r="B2681" s="2"/>
      <c r="F2681" s="15"/>
    </row>
    <row r="2682">
      <c r="B2682" s="2"/>
      <c r="F2682" s="15"/>
    </row>
    <row r="2683">
      <c r="B2683" s="2"/>
      <c r="F2683" s="15"/>
    </row>
    <row r="2684">
      <c r="B2684" s="2"/>
      <c r="F2684" s="15"/>
    </row>
    <row r="2685">
      <c r="B2685" s="2"/>
      <c r="F2685" s="15"/>
    </row>
    <row r="2686">
      <c r="B2686" s="2"/>
      <c r="F2686" s="15"/>
    </row>
    <row r="2687">
      <c r="B2687" s="2"/>
      <c r="F2687" s="15"/>
    </row>
    <row r="2688">
      <c r="B2688" s="2"/>
      <c r="F2688" s="15"/>
    </row>
    <row r="2689">
      <c r="B2689" s="2"/>
      <c r="F2689" s="15"/>
    </row>
    <row r="2690">
      <c r="B2690" s="2"/>
      <c r="F2690" s="15"/>
    </row>
    <row r="2691">
      <c r="B2691" s="2"/>
      <c r="F2691" s="15"/>
    </row>
    <row r="2692">
      <c r="B2692" s="2"/>
      <c r="F2692" s="15"/>
    </row>
    <row r="2693">
      <c r="B2693" s="2"/>
      <c r="F2693" s="15"/>
    </row>
    <row r="2694">
      <c r="B2694" s="2"/>
      <c r="F2694" s="15"/>
    </row>
    <row r="2695">
      <c r="B2695" s="2"/>
      <c r="F2695" s="15"/>
    </row>
    <row r="2696">
      <c r="B2696" s="2"/>
      <c r="F2696" s="15"/>
    </row>
    <row r="2697">
      <c r="B2697" s="2"/>
      <c r="F2697" s="15"/>
    </row>
    <row r="2698">
      <c r="B2698" s="2"/>
      <c r="F2698" s="15"/>
    </row>
    <row r="2699">
      <c r="B2699" s="2"/>
      <c r="F2699" s="15"/>
    </row>
    <row r="2700">
      <c r="B2700" s="2"/>
      <c r="F2700" s="15"/>
    </row>
    <row r="2701">
      <c r="B2701" s="2"/>
      <c r="F2701" s="15"/>
    </row>
    <row r="2702">
      <c r="B2702" s="2"/>
      <c r="F2702" s="15"/>
    </row>
    <row r="2703">
      <c r="B2703" s="2"/>
      <c r="F2703" s="15"/>
    </row>
    <row r="2704">
      <c r="B2704" s="2"/>
      <c r="F2704" s="15"/>
    </row>
    <row r="2705">
      <c r="B2705" s="2"/>
      <c r="F2705" s="15"/>
    </row>
    <row r="2706">
      <c r="B2706" s="2"/>
      <c r="F2706" s="15"/>
    </row>
    <row r="2707">
      <c r="B2707" s="2"/>
      <c r="F2707" s="15"/>
    </row>
    <row r="2708">
      <c r="B2708" s="2"/>
      <c r="F2708" s="15"/>
    </row>
    <row r="2709">
      <c r="B2709" s="2"/>
      <c r="F2709" s="15"/>
    </row>
    <row r="2710">
      <c r="B2710" s="2"/>
      <c r="F2710" s="15"/>
    </row>
    <row r="2711">
      <c r="B2711" s="2"/>
      <c r="F2711" s="15"/>
    </row>
    <row r="2712">
      <c r="B2712" s="2"/>
      <c r="F2712" s="15"/>
    </row>
    <row r="2713">
      <c r="B2713" s="2"/>
      <c r="F2713" s="15"/>
    </row>
    <row r="2714">
      <c r="B2714" s="2"/>
      <c r="F2714" s="15"/>
    </row>
    <row r="2715">
      <c r="B2715" s="2"/>
      <c r="F2715" s="15"/>
    </row>
    <row r="2716">
      <c r="B2716" s="2"/>
      <c r="F2716" s="15"/>
    </row>
    <row r="2717">
      <c r="B2717" s="2"/>
      <c r="F2717" s="15"/>
    </row>
    <row r="2718">
      <c r="B2718" s="2"/>
      <c r="F2718" s="15"/>
    </row>
    <row r="2719">
      <c r="B2719" s="2"/>
      <c r="F2719" s="15"/>
    </row>
    <row r="2720">
      <c r="B2720" s="2"/>
      <c r="F2720" s="15"/>
    </row>
    <row r="2721">
      <c r="B2721" s="2"/>
      <c r="F2721" s="15"/>
    </row>
    <row r="2722">
      <c r="B2722" s="2"/>
      <c r="F2722" s="15"/>
    </row>
    <row r="2723">
      <c r="B2723" s="2"/>
      <c r="F2723" s="15"/>
    </row>
    <row r="2724">
      <c r="B2724" s="2"/>
      <c r="F2724" s="15"/>
    </row>
    <row r="2725">
      <c r="B2725" s="2"/>
      <c r="F2725" s="15"/>
    </row>
    <row r="2726">
      <c r="B2726" s="2"/>
      <c r="F2726" s="15"/>
    </row>
    <row r="2727">
      <c r="B2727" s="2"/>
      <c r="F2727" s="15"/>
    </row>
    <row r="2728">
      <c r="B2728" s="2"/>
      <c r="F2728" s="15"/>
    </row>
    <row r="2729">
      <c r="B2729" s="2"/>
      <c r="F2729" s="15"/>
    </row>
    <row r="2730">
      <c r="B2730" s="2"/>
      <c r="F2730" s="15"/>
    </row>
    <row r="2731">
      <c r="B2731" s="2"/>
      <c r="F2731" s="15"/>
    </row>
    <row r="2732">
      <c r="B2732" s="2"/>
      <c r="F2732" s="15"/>
    </row>
    <row r="2733">
      <c r="B2733" s="2"/>
      <c r="F2733" s="15"/>
    </row>
    <row r="2734">
      <c r="B2734" s="2"/>
      <c r="F2734" s="15"/>
    </row>
    <row r="2735">
      <c r="B2735" s="2"/>
      <c r="F2735" s="15"/>
    </row>
    <row r="2736">
      <c r="B2736" s="2"/>
      <c r="F2736" s="15"/>
    </row>
    <row r="2737">
      <c r="B2737" s="2"/>
      <c r="F2737" s="15"/>
    </row>
    <row r="2738">
      <c r="B2738" s="2"/>
      <c r="F2738" s="15"/>
    </row>
    <row r="2739">
      <c r="B2739" s="2"/>
      <c r="F2739" s="15"/>
    </row>
    <row r="2740">
      <c r="B2740" s="2"/>
      <c r="F2740" s="15"/>
    </row>
    <row r="2741">
      <c r="B2741" s="2"/>
      <c r="F2741" s="15"/>
    </row>
    <row r="2742">
      <c r="B2742" s="2"/>
      <c r="F2742" s="15"/>
    </row>
    <row r="2743">
      <c r="B2743" s="2"/>
      <c r="F2743" s="15"/>
    </row>
    <row r="2744">
      <c r="B2744" s="2"/>
      <c r="F2744" s="15"/>
    </row>
    <row r="2745">
      <c r="B2745" s="2"/>
      <c r="F2745" s="15"/>
    </row>
    <row r="2746">
      <c r="B2746" s="2"/>
      <c r="F2746" s="15"/>
    </row>
    <row r="2747">
      <c r="B2747" s="2"/>
      <c r="F2747" s="15"/>
    </row>
    <row r="2748">
      <c r="B2748" s="2"/>
      <c r="F2748" s="15"/>
    </row>
    <row r="2749">
      <c r="B2749" s="2"/>
      <c r="F2749" s="15"/>
    </row>
    <row r="2750">
      <c r="B2750" s="2"/>
      <c r="F2750" s="15"/>
    </row>
    <row r="2751">
      <c r="B2751" s="2"/>
      <c r="F2751" s="15"/>
    </row>
    <row r="2752">
      <c r="B2752" s="2"/>
      <c r="F2752" s="15"/>
    </row>
    <row r="2753">
      <c r="B2753" s="2"/>
      <c r="F2753" s="15"/>
    </row>
    <row r="2754">
      <c r="B2754" s="2"/>
      <c r="F2754" s="15"/>
    </row>
    <row r="2755">
      <c r="B2755" s="2"/>
      <c r="F2755" s="15"/>
    </row>
    <row r="2756">
      <c r="B2756" s="2"/>
      <c r="F2756" s="15"/>
    </row>
    <row r="2757">
      <c r="B2757" s="2"/>
      <c r="F2757" s="15"/>
    </row>
    <row r="2758">
      <c r="B2758" s="2"/>
      <c r="F2758" s="15"/>
    </row>
    <row r="2759">
      <c r="B2759" s="2"/>
      <c r="F2759" s="15"/>
    </row>
    <row r="2760">
      <c r="B2760" s="2"/>
      <c r="F2760" s="15"/>
    </row>
    <row r="2761">
      <c r="B2761" s="2"/>
      <c r="F2761" s="15"/>
    </row>
    <row r="2762">
      <c r="B2762" s="2"/>
      <c r="F2762" s="15"/>
    </row>
    <row r="2763">
      <c r="B2763" s="2"/>
      <c r="F2763" s="15"/>
    </row>
    <row r="2764">
      <c r="B2764" s="2"/>
      <c r="F2764" s="15"/>
    </row>
    <row r="2765">
      <c r="B2765" s="2"/>
      <c r="F2765" s="15"/>
    </row>
    <row r="2766">
      <c r="B2766" s="2"/>
      <c r="F2766" s="15"/>
    </row>
    <row r="2767">
      <c r="B2767" s="2"/>
      <c r="F2767" s="15"/>
    </row>
    <row r="2768">
      <c r="B2768" s="2"/>
      <c r="F2768" s="15"/>
    </row>
    <row r="2769">
      <c r="B2769" s="2"/>
      <c r="F2769" s="15"/>
    </row>
    <row r="2770">
      <c r="B2770" s="2"/>
      <c r="F2770" s="15"/>
    </row>
    <row r="2771">
      <c r="B2771" s="2"/>
      <c r="F2771" s="15"/>
    </row>
    <row r="2772">
      <c r="B2772" s="2"/>
      <c r="F2772" s="15"/>
    </row>
    <row r="2773">
      <c r="B2773" s="2"/>
      <c r="F2773" s="15"/>
    </row>
    <row r="2774">
      <c r="B2774" s="2"/>
      <c r="F2774" s="15"/>
    </row>
    <row r="2775">
      <c r="B2775" s="2"/>
      <c r="F2775" s="15"/>
    </row>
    <row r="2776">
      <c r="B2776" s="2"/>
      <c r="F2776" s="15"/>
    </row>
    <row r="2777">
      <c r="B2777" s="2"/>
      <c r="F2777" s="15"/>
    </row>
    <row r="2778">
      <c r="B2778" s="2"/>
      <c r="F2778" s="15"/>
    </row>
    <row r="2779">
      <c r="B2779" s="2"/>
      <c r="F2779" s="15"/>
    </row>
    <row r="2780">
      <c r="B2780" s="2"/>
      <c r="F2780" s="15"/>
    </row>
    <row r="2781">
      <c r="B2781" s="2"/>
      <c r="F2781" s="15"/>
    </row>
    <row r="2782">
      <c r="B2782" s="2"/>
      <c r="F2782" s="15"/>
    </row>
    <row r="2783">
      <c r="B2783" s="2"/>
      <c r="F2783" s="15"/>
    </row>
    <row r="2784">
      <c r="B2784" s="2"/>
      <c r="F2784" s="15"/>
    </row>
    <row r="2785">
      <c r="B2785" s="2"/>
      <c r="F2785" s="15"/>
    </row>
    <row r="2786">
      <c r="B2786" s="2"/>
      <c r="F2786" s="15"/>
    </row>
    <row r="2787">
      <c r="B2787" s="2"/>
      <c r="F2787" s="15"/>
    </row>
    <row r="2788">
      <c r="B2788" s="2"/>
      <c r="F2788" s="15"/>
    </row>
    <row r="2789">
      <c r="B2789" s="2"/>
      <c r="F2789" s="15"/>
    </row>
    <row r="2790">
      <c r="B2790" s="2"/>
      <c r="F2790" s="15"/>
    </row>
    <row r="2791">
      <c r="B2791" s="2"/>
      <c r="F2791" s="15"/>
    </row>
    <row r="2792">
      <c r="B2792" s="2"/>
      <c r="F2792" s="15"/>
    </row>
    <row r="2793">
      <c r="B2793" s="2"/>
      <c r="F2793" s="15"/>
    </row>
    <row r="2794">
      <c r="B2794" s="2"/>
      <c r="F2794" s="15"/>
    </row>
    <row r="2795">
      <c r="B2795" s="2"/>
      <c r="F2795" s="15"/>
    </row>
    <row r="2796">
      <c r="B2796" s="2"/>
      <c r="F2796" s="15"/>
    </row>
    <row r="2797">
      <c r="B2797" s="2"/>
      <c r="F2797" s="15"/>
    </row>
    <row r="2798">
      <c r="B2798" s="2"/>
      <c r="F2798" s="15"/>
    </row>
    <row r="2799">
      <c r="B2799" s="2"/>
      <c r="F2799" s="15"/>
    </row>
    <row r="2800">
      <c r="B2800" s="2"/>
      <c r="F2800" s="15"/>
    </row>
    <row r="2801">
      <c r="B2801" s="2"/>
      <c r="F2801" s="15"/>
    </row>
    <row r="2802">
      <c r="B2802" s="2"/>
      <c r="F2802" s="15"/>
    </row>
    <row r="2803">
      <c r="B2803" s="2"/>
      <c r="F2803" s="15"/>
    </row>
    <row r="2804">
      <c r="B2804" s="2"/>
      <c r="F2804" s="15"/>
    </row>
    <row r="2805">
      <c r="B2805" s="2"/>
      <c r="F2805" s="15"/>
    </row>
    <row r="2806">
      <c r="B2806" s="2"/>
      <c r="F2806" s="15"/>
    </row>
    <row r="2807">
      <c r="B2807" s="2"/>
      <c r="F2807" s="15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8" t="s">
        <v>1487</v>
      </c>
      <c r="B1" s="8" t="s">
        <v>8</v>
      </c>
      <c r="C1" s="8" t="s">
        <v>512</v>
      </c>
      <c r="D1" s="8" t="s">
        <v>20</v>
      </c>
      <c r="E1" s="8" t="s">
        <v>1488</v>
      </c>
      <c r="F1" s="8" t="s">
        <v>305</v>
      </c>
      <c r="G1" s="14" t="s">
        <v>30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ht="22.5" hidden="1" customHeight="1">
      <c r="A2" s="28">
        <v>1.0</v>
      </c>
      <c r="B2" s="27">
        <v>1.0</v>
      </c>
      <c r="C2" s="18">
        <v>28.0</v>
      </c>
      <c r="D2" s="27">
        <v>1.0</v>
      </c>
      <c r="E2" s="18" t="b">
        <v>1</v>
      </c>
      <c r="G2" s="20" t="s">
        <v>46</v>
      </c>
    </row>
    <row r="3" ht="22.5" hidden="1" customHeight="1">
      <c r="A3" s="28">
        <v>2.0</v>
      </c>
      <c r="B3" s="28">
        <v>1.0</v>
      </c>
      <c r="C3" s="18">
        <v>29.0</v>
      </c>
      <c r="D3" s="28">
        <v>1.0</v>
      </c>
      <c r="E3" s="18" t="b">
        <v>0</v>
      </c>
      <c r="G3" s="20" t="s">
        <v>46</v>
      </c>
    </row>
    <row r="4" ht="22.5" hidden="1" customHeight="1">
      <c r="A4" s="28">
        <v>3.0</v>
      </c>
      <c r="B4" s="27">
        <v>2.0</v>
      </c>
      <c r="C4" s="18">
        <v>28.0</v>
      </c>
      <c r="D4" s="27">
        <v>1.0</v>
      </c>
      <c r="E4" s="18" t="b">
        <v>1</v>
      </c>
      <c r="G4" s="20" t="s">
        <v>46</v>
      </c>
    </row>
    <row r="5" ht="22.5" hidden="1" customHeight="1">
      <c r="A5" s="28">
        <v>4.0</v>
      </c>
      <c r="B5" s="28">
        <v>2.0</v>
      </c>
      <c r="C5" s="18">
        <v>29.0</v>
      </c>
      <c r="D5" s="28">
        <v>1.0</v>
      </c>
      <c r="E5" s="18" t="b">
        <v>0</v>
      </c>
      <c r="G5" s="20" t="s">
        <v>46</v>
      </c>
    </row>
    <row r="6" ht="22.5" hidden="1" customHeight="1">
      <c r="A6" s="28">
        <v>5.0</v>
      </c>
      <c r="B6" s="28">
        <v>3.0</v>
      </c>
      <c r="C6" s="18">
        <v>28.0</v>
      </c>
      <c r="D6" s="28">
        <v>1.0</v>
      </c>
      <c r="E6" s="18" t="b">
        <v>1</v>
      </c>
      <c r="G6" s="20" t="s">
        <v>46</v>
      </c>
    </row>
    <row r="7" ht="22.5" hidden="1" customHeight="1">
      <c r="A7" s="28">
        <v>6.0</v>
      </c>
      <c r="B7" s="27">
        <v>3.0</v>
      </c>
      <c r="C7" s="18">
        <v>29.0</v>
      </c>
      <c r="D7" s="27">
        <v>1.0</v>
      </c>
      <c r="E7" s="18" t="b">
        <v>0</v>
      </c>
      <c r="G7" s="20" t="s">
        <v>46</v>
      </c>
    </row>
    <row r="8" ht="22.5" hidden="1" customHeight="1">
      <c r="A8" s="28">
        <v>7.0</v>
      </c>
      <c r="B8" s="28">
        <v>4.0</v>
      </c>
      <c r="C8" s="18">
        <v>28.0</v>
      </c>
      <c r="D8" s="28">
        <v>1.0</v>
      </c>
      <c r="E8" s="18" t="b">
        <v>1</v>
      </c>
      <c r="G8" s="20" t="s">
        <v>46</v>
      </c>
    </row>
    <row r="9" ht="22.5" hidden="1" customHeight="1">
      <c r="A9" s="28">
        <v>8.0</v>
      </c>
      <c r="B9" s="28">
        <v>4.0</v>
      </c>
      <c r="C9" s="18">
        <v>29.0</v>
      </c>
      <c r="D9" s="28">
        <v>1.0</v>
      </c>
      <c r="E9" s="18" t="b">
        <v>0</v>
      </c>
      <c r="G9" s="20" t="s">
        <v>46</v>
      </c>
    </row>
    <row r="10" ht="22.5" hidden="1" customHeight="1">
      <c r="A10" s="28">
        <v>9.0</v>
      </c>
      <c r="B10" s="28">
        <v>5.0</v>
      </c>
      <c r="C10" s="18">
        <v>28.0</v>
      </c>
      <c r="D10" s="27">
        <v>1.0</v>
      </c>
      <c r="E10" s="18" t="b">
        <v>1</v>
      </c>
      <c r="G10" s="20" t="s">
        <v>46</v>
      </c>
    </row>
    <row r="11" ht="22.5" hidden="1" customHeight="1">
      <c r="A11" s="28">
        <v>10.0</v>
      </c>
      <c r="B11" s="27">
        <v>5.0</v>
      </c>
      <c r="C11" s="18">
        <v>29.0</v>
      </c>
      <c r="D11" s="27">
        <v>1.0</v>
      </c>
      <c r="E11" s="18" t="b">
        <v>0</v>
      </c>
      <c r="G11" s="20" t="s">
        <v>46</v>
      </c>
    </row>
    <row r="12" ht="22.5" hidden="1" customHeight="1">
      <c r="A12" s="28">
        <v>11.0</v>
      </c>
      <c r="B12" s="28">
        <v>6.0</v>
      </c>
      <c r="C12" s="18">
        <v>28.0</v>
      </c>
      <c r="D12" s="28">
        <v>1.0</v>
      </c>
      <c r="E12" s="18" t="b">
        <v>1</v>
      </c>
      <c r="G12" s="20" t="s">
        <v>46</v>
      </c>
    </row>
    <row r="13" ht="22.5" hidden="1" customHeight="1">
      <c r="A13" s="28">
        <v>12.0</v>
      </c>
      <c r="B13" s="27">
        <v>6.0</v>
      </c>
      <c r="C13" s="18">
        <v>29.0</v>
      </c>
      <c r="D13" s="27">
        <v>1.0</v>
      </c>
      <c r="E13" s="18" t="b">
        <v>0</v>
      </c>
      <c r="G13" s="20" t="s">
        <v>46</v>
      </c>
    </row>
    <row r="14" ht="22.5" hidden="1" customHeight="1">
      <c r="A14" s="28">
        <v>13.0</v>
      </c>
      <c r="B14" s="28">
        <v>7.0</v>
      </c>
      <c r="C14" s="18">
        <v>28.0</v>
      </c>
      <c r="D14" s="28">
        <v>1.0</v>
      </c>
      <c r="E14" s="18" t="b">
        <v>1</v>
      </c>
      <c r="G14" s="20" t="s">
        <v>46</v>
      </c>
    </row>
    <row r="15" ht="22.5" hidden="1" customHeight="1">
      <c r="A15" s="28">
        <v>14.0</v>
      </c>
      <c r="B15" s="27">
        <v>7.0</v>
      </c>
      <c r="C15" s="18">
        <v>29.0</v>
      </c>
      <c r="D15" s="27">
        <v>1.0</v>
      </c>
      <c r="E15" s="18" t="b">
        <v>0</v>
      </c>
      <c r="G15" s="20" t="s">
        <v>46</v>
      </c>
    </row>
    <row r="16" ht="22.5" hidden="1" customHeight="1">
      <c r="A16" s="28">
        <v>15.0</v>
      </c>
      <c r="B16" s="28">
        <v>8.0</v>
      </c>
      <c r="C16" s="18">
        <v>28.0</v>
      </c>
      <c r="D16" s="28">
        <v>1.0</v>
      </c>
      <c r="E16" s="18" t="b">
        <v>1</v>
      </c>
      <c r="G16" s="20" t="s">
        <v>46</v>
      </c>
    </row>
    <row r="17" ht="22.5" hidden="1" customHeight="1">
      <c r="A17" s="28">
        <v>16.0</v>
      </c>
      <c r="B17" s="27">
        <v>8.0</v>
      </c>
      <c r="C17" s="18">
        <v>29.0</v>
      </c>
      <c r="D17" s="27">
        <v>1.0</v>
      </c>
      <c r="E17" s="18" t="b">
        <v>0</v>
      </c>
      <c r="G17" s="20" t="s">
        <v>46</v>
      </c>
    </row>
    <row r="18" ht="22.5" hidden="1" customHeight="1">
      <c r="A18" s="28">
        <v>17.0</v>
      </c>
      <c r="B18" s="28">
        <v>9.0</v>
      </c>
      <c r="C18" s="18">
        <v>28.0</v>
      </c>
      <c r="D18" s="28">
        <v>1.0</v>
      </c>
      <c r="E18" s="18" t="b">
        <v>1</v>
      </c>
      <c r="G18" s="20" t="s">
        <v>46</v>
      </c>
    </row>
    <row r="19" ht="22.5" hidden="1" customHeight="1">
      <c r="A19" s="28">
        <v>18.0</v>
      </c>
      <c r="B19" s="27">
        <v>9.0</v>
      </c>
      <c r="C19" s="18">
        <v>29.0</v>
      </c>
      <c r="D19" s="27">
        <v>1.0</v>
      </c>
      <c r="E19" s="18" t="b">
        <v>0</v>
      </c>
      <c r="G19" s="20" t="s">
        <v>46</v>
      </c>
    </row>
    <row r="20" ht="22.5" hidden="1" customHeight="1">
      <c r="A20" s="28">
        <v>19.0</v>
      </c>
      <c r="B20" s="28">
        <v>10.0</v>
      </c>
      <c r="C20" s="18">
        <v>28.0</v>
      </c>
      <c r="D20" s="28">
        <v>1.0</v>
      </c>
      <c r="E20" s="18" t="b">
        <v>1</v>
      </c>
      <c r="G20" s="20" t="s">
        <v>46</v>
      </c>
    </row>
    <row r="21" ht="22.5" hidden="1" customHeight="1">
      <c r="A21" s="28">
        <v>20.0</v>
      </c>
      <c r="B21" s="27">
        <v>10.0</v>
      </c>
      <c r="C21" s="18">
        <v>29.0</v>
      </c>
      <c r="D21" s="27">
        <v>1.0</v>
      </c>
      <c r="E21" s="18" t="b">
        <v>0</v>
      </c>
      <c r="G21" s="20" t="s">
        <v>46</v>
      </c>
    </row>
    <row r="22" ht="22.5" hidden="1" customHeight="1">
      <c r="A22" s="28">
        <v>21.0</v>
      </c>
      <c r="B22" s="28">
        <v>11.0</v>
      </c>
      <c r="C22" s="18">
        <v>28.0</v>
      </c>
      <c r="D22" s="28">
        <v>1.0</v>
      </c>
      <c r="E22" s="18" t="b">
        <v>1</v>
      </c>
      <c r="G22" s="20" t="s">
        <v>46</v>
      </c>
    </row>
    <row r="23" ht="22.5" hidden="1" customHeight="1">
      <c r="A23" s="28">
        <v>22.0</v>
      </c>
      <c r="B23" s="27">
        <v>11.0</v>
      </c>
      <c r="C23" s="18">
        <v>29.0</v>
      </c>
      <c r="D23" s="27">
        <v>1.0</v>
      </c>
      <c r="E23" s="18" t="b">
        <v>0</v>
      </c>
      <c r="G23" s="20" t="s">
        <v>46</v>
      </c>
    </row>
    <row r="24" ht="22.5" hidden="1" customHeight="1">
      <c r="A24" s="28">
        <v>23.0</v>
      </c>
      <c r="B24" s="28">
        <v>12.0</v>
      </c>
      <c r="C24" s="18">
        <v>28.0</v>
      </c>
      <c r="D24" s="28">
        <v>1.0</v>
      </c>
      <c r="E24" s="18" t="b">
        <v>1</v>
      </c>
      <c r="G24" s="20" t="s">
        <v>46</v>
      </c>
    </row>
    <row r="25" ht="22.5" hidden="1" customHeight="1">
      <c r="A25" s="28">
        <v>24.0</v>
      </c>
      <c r="B25" s="27">
        <v>12.0</v>
      </c>
      <c r="C25" s="18">
        <v>29.0</v>
      </c>
      <c r="D25" s="27">
        <v>1.0</v>
      </c>
      <c r="E25" s="18" t="b">
        <v>0</v>
      </c>
      <c r="G25" s="20" t="s">
        <v>46</v>
      </c>
    </row>
    <row r="26" ht="22.5" hidden="1" customHeight="1">
      <c r="A26" s="28">
        <v>25.0</v>
      </c>
      <c r="B26" s="28">
        <v>13.0</v>
      </c>
      <c r="C26" s="18">
        <v>28.0</v>
      </c>
      <c r="D26" s="28">
        <v>1.0</v>
      </c>
      <c r="E26" s="18" t="b">
        <v>1</v>
      </c>
      <c r="G26" s="20" t="s">
        <v>46</v>
      </c>
    </row>
    <row r="27" ht="22.5" hidden="1" customHeight="1">
      <c r="A27" s="28">
        <v>26.0</v>
      </c>
      <c r="B27" s="27">
        <v>13.0</v>
      </c>
      <c r="C27" s="18">
        <v>29.0</v>
      </c>
      <c r="D27" s="27">
        <v>1.0</v>
      </c>
      <c r="E27" s="18" t="b">
        <v>0</v>
      </c>
      <c r="G27" s="20" t="s">
        <v>46</v>
      </c>
    </row>
    <row r="28" ht="22.5" hidden="1" customHeight="1">
      <c r="A28" s="28">
        <v>27.0</v>
      </c>
      <c r="B28" s="28">
        <v>14.0</v>
      </c>
      <c r="C28" s="18">
        <v>28.0</v>
      </c>
      <c r="D28" s="28">
        <v>1.0</v>
      </c>
      <c r="E28" s="18" t="b">
        <v>1</v>
      </c>
      <c r="G28" s="20" t="s">
        <v>46</v>
      </c>
    </row>
    <row r="29" ht="22.5" hidden="1" customHeight="1">
      <c r="A29" s="28">
        <v>28.0</v>
      </c>
      <c r="B29" s="27">
        <v>14.0</v>
      </c>
      <c r="C29" s="18">
        <v>29.0</v>
      </c>
      <c r="D29" s="27">
        <v>1.0</v>
      </c>
      <c r="E29" s="18" t="b">
        <v>0</v>
      </c>
      <c r="G29" s="20" t="s">
        <v>46</v>
      </c>
    </row>
    <row r="30" ht="22.5" hidden="1" customHeight="1">
      <c r="A30" s="28">
        <v>29.0</v>
      </c>
      <c r="B30" s="28">
        <v>15.0</v>
      </c>
      <c r="C30" s="18">
        <v>28.0</v>
      </c>
      <c r="D30" s="28">
        <v>1.0</v>
      </c>
      <c r="E30" s="18" t="b">
        <v>1</v>
      </c>
      <c r="G30" s="20" t="s">
        <v>46</v>
      </c>
    </row>
    <row r="31" ht="22.5" hidden="1" customHeight="1">
      <c r="A31" s="28">
        <v>30.0</v>
      </c>
      <c r="B31" s="27">
        <v>15.0</v>
      </c>
      <c r="C31" s="18">
        <v>29.0</v>
      </c>
      <c r="D31" s="27">
        <v>1.0</v>
      </c>
      <c r="E31" s="18" t="b">
        <v>0</v>
      </c>
      <c r="G31" s="20" t="s">
        <v>46</v>
      </c>
    </row>
    <row r="32" ht="22.5" hidden="1" customHeight="1">
      <c r="A32" s="28">
        <v>31.0</v>
      </c>
      <c r="B32" s="27">
        <v>16.0</v>
      </c>
      <c r="C32" s="18">
        <v>28.0</v>
      </c>
      <c r="D32" s="27">
        <v>1.0</v>
      </c>
      <c r="E32" s="18" t="b">
        <v>1</v>
      </c>
      <c r="G32" s="20" t="s">
        <v>46</v>
      </c>
    </row>
    <row r="33" ht="22.5" hidden="1" customHeight="1">
      <c r="A33" s="28">
        <v>32.0</v>
      </c>
      <c r="B33" s="28">
        <v>16.0</v>
      </c>
      <c r="C33" s="18">
        <v>29.0</v>
      </c>
      <c r="D33" s="28">
        <v>1.0</v>
      </c>
      <c r="E33" s="18" t="b">
        <v>0</v>
      </c>
      <c r="G33" s="20" t="s">
        <v>46</v>
      </c>
    </row>
    <row r="34" ht="22.5" hidden="1" customHeight="1">
      <c r="A34" s="28">
        <v>33.0</v>
      </c>
      <c r="B34" s="28">
        <v>17.0</v>
      </c>
      <c r="C34" s="18">
        <v>28.0</v>
      </c>
      <c r="D34" s="28">
        <v>1.0</v>
      </c>
      <c r="E34" s="18" t="b">
        <v>1</v>
      </c>
      <c r="G34" s="20" t="s">
        <v>46</v>
      </c>
    </row>
    <row r="35" ht="22.5" hidden="1" customHeight="1">
      <c r="A35" s="28">
        <v>34.0</v>
      </c>
      <c r="B35" s="27">
        <v>17.0</v>
      </c>
      <c r="C35" s="18">
        <v>29.0</v>
      </c>
      <c r="D35" s="27">
        <v>1.0</v>
      </c>
      <c r="E35" s="18" t="b">
        <v>0</v>
      </c>
      <c r="G35" s="20" t="s">
        <v>46</v>
      </c>
    </row>
    <row r="36" ht="22.5" hidden="1" customHeight="1">
      <c r="A36" s="28">
        <v>35.0</v>
      </c>
      <c r="B36" s="27">
        <v>18.0</v>
      </c>
      <c r="C36" s="18">
        <v>28.0</v>
      </c>
      <c r="D36" s="27">
        <v>1.0</v>
      </c>
      <c r="E36" s="18" t="b">
        <v>1</v>
      </c>
      <c r="G36" s="20" t="s">
        <v>46</v>
      </c>
    </row>
    <row r="37" ht="22.5" hidden="1" customHeight="1">
      <c r="A37" s="28">
        <v>36.0</v>
      </c>
      <c r="B37" s="27">
        <v>18.0</v>
      </c>
      <c r="C37" s="18">
        <v>29.0</v>
      </c>
      <c r="D37" s="27">
        <v>1.0</v>
      </c>
      <c r="E37" s="18" t="b">
        <v>0</v>
      </c>
      <c r="G37" s="20" t="s">
        <v>46</v>
      </c>
    </row>
    <row r="38" ht="22.5" hidden="1" customHeight="1">
      <c r="A38" s="28">
        <v>37.0</v>
      </c>
      <c r="B38" s="28">
        <v>19.0</v>
      </c>
      <c r="C38" s="18">
        <v>28.0</v>
      </c>
      <c r="D38" s="28">
        <v>1.0</v>
      </c>
      <c r="E38" s="18" t="b">
        <v>1</v>
      </c>
      <c r="G38" s="20" t="s">
        <v>46</v>
      </c>
    </row>
    <row r="39" ht="22.5" hidden="1" customHeight="1">
      <c r="A39" s="28">
        <v>38.0</v>
      </c>
      <c r="B39" s="27">
        <v>19.0</v>
      </c>
      <c r="C39" s="18">
        <v>29.0</v>
      </c>
      <c r="D39" s="27">
        <v>1.0</v>
      </c>
      <c r="E39" s="18" t="b">
        <v>0</v>
      </c>
      <c r="G39" s="20" t="s">
        <v>46</v>
      </c>
    </row>
    <row r="40" ht="22.5" hidden="1" customHeight="1">
      <c r="A40" s="28">
        <v>39.0</v>
      </c>
      <c r="B40" s="27">
        <v>20.0</v>
      </c>
      <c r="C40" s="18">
        <v>29.0</v>
      </c>
      <c r="D40" s="27">
        <v>1.0</v>
      </c>
      <c r="E40" s="18" t="b">
        <v>1</v>
      </c>
      <c r="G40" s="20" t="s">
        <v>46</v>
      </c>
    </row>
    <row r="41" ht="22.5" hidden="1" customHeight="1">
      <c r="A41" s="28">
        <v>40.0</v>
      </c>
      <c r="B41" s="27">
        <v>21.0</v>
      </c>
      <c r="C41" s="18">
        <v>29.0</v>
      </c>
      <c r="D41" s="27">
        <v>1.0</v>
      </c>
      <c r="E41" s="18" t="b">
        <v>1</v>
      </c>
      <c r="G41" s="20" t="s">
        <v>46</v>
      </c>
    </row>
    <row r="42" ht="22.5" hidden="1" customHeight="1">
      <c r="A42" s="28">
        <v>41.0</v>
      </c>
      <c r="B42" s="27">
        <v>22.0</v>
      </c>
      <c r="C42" s="18">
        <v>29.0</v>
      </c>
      <c r="D42" s="27">
        <v>1.0</v>
      </c>
      <c r="E42" s="18" t="b">
        <v>1</v>
      </c>
      <c r="G42" s="20" t="s">
        <v>46</v>
      </c>
    </row>
    <row r="43" ht="22.5" hidden="1" customHeight="1">
      <c r="A43" s="28">
        <v>42.0</v>
      </c>
      <c r="B43" s="27">
        <v>23.0</v>
      </c>
      <c r="C43" s="18">
        <v>29.0</v>
      </c>
      <c r="D43" s="27">
        <v>1.0</v>
      </c>
      <c r="E43" s="18" t="b">
        <v>1</v>
      </c>
      <c r="G43" s="20" t="s">
        <v>46</v>
      </c>
    </row>
    <row r="44" ht="22.5" hidden="1" customHeight="1">
      <c r="A44" s="28">
        <v>43.0</v>
      </c>
      <c r="B44" s="27">
        <v>24.0</v>
      </c>
      <c r="C44" s="18">
        <v>29.0</v>
      </c>
      <c r="D44" s="27">
        <v>1.0</v>
      </c>
      <c r="E44" s="18" t="b">
        <v>1</v>
      </c>
      <c r="G44" s="20" t="s">
        <v>46</v>
      </c>
    </row>
    <row r="45" ht="22.5" hidden="1" customHeight="1">
      <c r="A45" s="28">
        <v>44.0</v>
      </c>
      <c r="B45" s="27">
        <v>25.0</v>
      </c>
      <c r="C45" s="18">
        <v>29.0</v>
      </c>
      <c r="D45" s="27">
        <v>1.0</v>
      </c>
      <c r="E45" s="18" t="b">
        <v>1</v>
      </c>
      <c r="G45" s="20" t="s">
        <v>46</v>
      </c>
    </row>
    <row r="46" ht="22.5" hidden="1" customHeight="1">
      <c r="A46" s="28">
        <v>45.0</v>
      </c>
      <c r="B46" s="27">
        <v>26.0</v>
      </c>
      <c r="C46" s="18">
        <v>29.0</v>
      </c>
      <c r="D46" s="27">
        <v>1.0</v>
      </c>
      <c r="E46" s="18" t="b">
        <v>1</v>
      </c>
      <c r="G46" s="20" t="s">
        <v>46</v>
      </c>
    </row>
    <row r="47" ht="22.5" hidden="1" customHeight="1">
      <c r="A47" s="28">
        <v>46.0</v>
      </c>
      <c r="B47" s="27">
        <v>27.0</v>
      </c>
      <c r="C47" s="18">
        <v>29.0</v>
      </c>
      <c r="D47" s="27">
        <v>1.0</v>
      </c>
      <c r="E47" s="18" t="b">
        <v>1</v>
      </c>
      <c r="G47" s="20" t="s">
        <v>46</v>
      </c>
    </row>
    <row r="48" ht="22.5" hidden="1" customHeight="1">
      <c r="A48" s="28">
        <v>47.0</v>
      </c>
      <c r="B48" s="27">
        <v>28.0</v>
      </c>
      <c r="C48" s="18">
        <v>29.0</v>
      </c>
      <c r="D48" s="27">
        <v>1.0</v>
      </c>
      <c r="E48" s="18" t="b">
        <v>1</v>
      </c>
      <c r="G48" s="20" t="s">
        <v>46</v>
      </c>
    </row>
    <row r="49" ht="22.5" hidden="1" customHeight="1">
      <c r="A49" s="28">
        <v>48.0</v>
      </c>
      <c r="B49" s="27">
        <v>29.0</v>
      </c>
      <c r="C49" s="18">
        <v>29.0</v>
      </c>
      <c r="D49" s="27">
        <v>1.0</v>
      </c>
      <c r="E49" s="18" t="b">
        <v>1</v>
      </c>
      <c r="G49" s="20" t="s">
        <v>46</v>
      </c>
    </row>
    <row r="50" ht="22.5" hidden="1" customHeight="1">
      <c r="A50" s="28">
        <v>49.0</v>
      </c>
      <c r="B50" s="27">
        <v>30.0</v>
      </c>
      <c r="C50" s="18">
        <v>29.0</v>
      </c>
      <c r="D50" s="27">
        <v>1.0</v>
      </c>
      <c r="E50" s="18" t="b">
        <v>1</v>
      </c>
      <c r="G50" s="20" t="s">
        <v>46</v>
      </c>
    </row>
    <row r="51" ht="22.5" hidden="1" customHeight="1">
      <c r="A51" s="28">
        <v>50.0</v>
      </c>
      <c r="B51" s="27">
        <v>31.0</v>
      </c>
      <c r="C51" s="18">
        <v>29.0</v>
      </c>
      <c r="D51" s="27">
        <v>1.0</v>
      </c>
      <c r="E51" s="18" t="b">
        <v>1</v>
      </c>
      <c r="G51" s="20" t="s">
        <v>46</v>
      </c>
    </row>
    <row r="52" ht="22.5" hidden="1" customHeight="1">
      <c r="A52" s="28">
        <v>51.0</v>
      </c>
      <c r="B52" s="27">
        <v>32.0</v>
      </c>
      <c r="C52" s="18">
        <v>29.0</v>
      </c>
      <c r="D52" s="27">
        <v>1.0</v>
      </c>
      <c r="E52" s="18" t="b">
        <v>1</v>
      </c>
      <c r="G52" s="20" t="s">
        <v>46</v>
      </c>
    </row>
    <row r="53" ht="22.5" hidden="1" customHeight="1">
      <c r="A53" s="28">
        <v>52.0</v>
      </c>
      <c r="B53" s="27">
        <v>33.0</v>
      </c>
      <c r="C53" s="18">
        <v>29.0</v>
      </c>
      <c r="D53" s="27">
        <v>1.0</v>
      </c>
      <c r="E53" s="18" t="b">
        <v>1</v>
      </c>
      <c r="G53" s="20" t="s">
        <v>46</v>
      </c>
    </row>
    <row r="54" ht="22.5" hidden="1" customHeight="1">
      <c r="A54" s="28">
        <v>53.0</v>
      </c>
      <c r="B54" s="27">
        <v>34.0</v>
      </c>
      <c r="C54" s="18">
        <v>29.0</v>
      </c>
      <c r="D54" s="27">
        <v>1.0</v>
      </c>
      <c r="E54" s="18" t="b">
        <v>1</v>
      </c>
      <c r="G54" s="20" t="s">
        <v>46</v>
      </c>
    </row>
    <row r="55" ht="22.5" hidden="1" customHeight="1">
      <c r="A55" s="28">
        <v>54.0</v>
      </c>
      <c r="B55" s="27">
        <v>35.0</v>
      </c>
      <c r="C55" s="18">
        <v>29.0</v>
      </c>
      <c r="D55" s="27">
        <v>1.0</v>
      </c>
      <c r="E55" s="18" t="b">
        <v>1</v>
      </c>
      <c r="G55" s="20" t="s">
        <v>46</v>
      </c>
    </row>
    <row r="56" ht="22.5" hidden="1" customHeight="1">
      <c r="A56" s="28">
        <v>55.0</v>
      </c>
      <c r="B56" s="27">
        <v>36.0</v>
      </c>
      <c r="C56" s="18">
        <v>29.0</v>
      </c>
      <c r="D56" s="27">
        <v>1.0</v>
      </c>
      <c r="E56" s="18" t="b">
        <v>1</v>
      </c>
      <c r="G56" s="20" t="s">
        <v>46</v>
      </c>
    </row>
    <row r="57" ht="22.5" hidden="1" customHeight="1">
      <c r="A57" s="28">
        <v>56.0</v>
      </c>
      <c r="B57" s="27">
        <v>37.0</v>
      </c>
      <c r="C57" s="18">
        <v>29.0</v>
      </c>
      <c r="D57" s="27">
        <v>1.0</v>
      </c>
      <c r="E57" s="18" t="b">
        <v>1</v>
      </c>
      <c r="G57" s="20" t="s">
        <v>46</v>
      </c>
    </row>
    <row r="58" ht="22.5" hidden="1" customHeight="1">
      <c r="A58" s="28">
        <v>57.0</v>
      </c>
      <c r="B58" s="27">
        <v>38.0</v>
      </c>
      <c r="C58" s="18">
        <v>29.0</v>
      </c>
      <c r="D58" s="27">
        <v>1.0</v>
      </c>
      <c r="E58" s="18" t="b">
        <v>1</v>
      </c>
      <c r="G58" s="20" t="s">
        <v>46</v>
      </c>
    </row>
    <row r="59" ht="22.5" hidden="1" customHeight="1">
      <c r="A59" s="28">
        <v>58.0</v>
      </c>
      <c r="B59" s="27">
        <v>39.0</v>
      </c>
      <c r="C59" s="18">
        <v>29.0</v>
      </c>
      <c r="D59" s="27">
        <v>1.0</v>
      </c>
      <c r="E59" s="18" t="b">
        <v>1</v>
      </c>
      <c r="G59" s="20" t="s">
        <v>46</v>
      </c>
    </row>
    <row r="60" ht="22.5" hidden="1" customHeight="1">
      <c r="A60" s="28">
        <v>59.0</v>
      </c>
      <c r="B60" s="27">
        <v>40.0</v>
      </c>
      <c r="C60" s="18">
        <v>29.0</v>
      </c>
      <c r="D60" s="27">
        <v>1.0</v>
      </c>
      <c r="E60" s="18" t="b">
        <v>1</v>
      </c>
      <c r="G60" s="20" t="s">
        <v>46</v>
      </c>
    </row>
    <row r="61" ht="22.5" hidden="1" customHeight="1">
      <c r="A61" s="28">
        <v>60.0</v>
      </c>
      <c r="B61" s="27">
        <v>41.0</v>
      </c>
      <c r="C61" s="18">
        <v>29.0</v>
      </c>
      <c r="D61" s="27">
        <v>1.0</v>
      </c>
      <c r="E61" s="18" t="b">
        <v>1</v>
      </c>
      <c r="G61" s="20" t="s">
        <v>46</v>
      </c>
    </row>
    <row r="62" ht="22.5" hidden="1" customHeight="1">
      <c r="A62" s="28">
        <v>61.0</v>
      </c>
      <c r="B62" s="27">
        <v>42.0</v>
      </c>
      <c r="C62" s="18">
        <v>29.0</v>
      </c>
      <c r="D62" s="27">
        <v>1.0</v>
      </c>
      <c r="E62" s="18" t="b">
        <v>1</v>
      </c>
      <c r="G62" s="20" t="s">
        <v>46</v>
      </c>
    </row>
    <row r="63" ht="22.5" hidden="1" customHeight="1">
      <c r="A63" s="28">
        <v>62.0</v>
      </c>
      <c r="B63" s="27">
        <v>43.0</v>
      </c>
      <c r="C63" s="18">
        <v>29.0</v>
      </c>
      <c r="D63" s="27">
        <v>1.0</v>
      </c>
      <c r="E63" s="18" t="b">
        <v>1</v>
      </c>
      <c r="G63" s="20" t="s">
        <v>46</v>
      </c>
    </row>
    <row r="64" ht="22.5" hidden="1" customHeight="1">
      <c r="A64" s="28">
        <v>63.0</v>
      </c>
      <c r="B64" s="27">
        <v>46.0</v>
      </c>
      <c r="C64" s="18">
        <v>33.0</v>
      </c>
      <c r="D64" s="27">
        <v>1.0</v>
      </c>
      <c r="E64" s="18" t="b">
        <v>1</v>
      </c>
      <c r="G64" s="20" t="s">
        <v>46</v>
      </c>
    </row>
    <row r="65" ht="22.5" hidden="1" customHeight="1">
      <c r="A65" s="28">
        <v>64.0</v>
      </c>
      <c r="B65" s="27">
        <v>49.0</v>
      </c>
      <c r="C65" s="18">
        <v>33.0</v>
      </c>
      <c r="D65" s="27">
        <v>1.0</v>
      </c>
      <c r="E65" s="18" t="b">
        <v>1</v>
      </c>
      <c r="G65" s="20" t="s">
        <v>46</v>
      </c>
    </row>
    <row r="66" ht="22.5" hidden="1" customHeight="1">
      <c r="A66" s="28">
        <v>65.0</v>
      </c>
      <c r="B66" s="27">
        <v>50.0</v>
      </c>
      <c r="C66" s="18">
        <v>33.0</v>
      </c>
      <c r="D66" s="27">
        <v>1.0</v>
      </c>
      <c r="E66" s="18" t="b">
        <v>1</v>
      </c>
      <c r="G66" s="20" t="s">
        <v>46</v>
      </c>
    </row>
    <row r="67" ht="22.5" hidden="1" customHeight="1">
      <c r="A67" s="28">
        <v>66.0</v>
      </c>
      <c r="B67" s="27">
        <v>51.0</v>
      </c>
      <c r="C67" s="18">
        <v>33.0</v>
      </c>
      <c r="D67" s="27">
        <v>1.0</v>
      </c>
      <c r="E67" s="18" t="b">
        <v>1</v>
      </c>
      <c r="G67" s="20" t="s">
        <v>46</v>
      </c>
    </row>
    <row r="68" ht="22.5" hidden="1" customHeight="1">
      <c r="A68" s="28">
        <v>67.0</v>
      </c>
      <c r="B68" s="27">
        <v>52.0</v>
      </c>
      <c r="C68" s="18">
        <v>33.0</v>
      </c>
      <c r="D68" s="27">
        <v>1.0</v>
      </c>
      <c r="E68" s="18" t="b">
        <v>1</v>
      </c>
      <c r="G68" s="20" t="s">
        <v>46</v>
      </c>
    </row>
    <row r="69" ht="22.5" hidden="1" customHeight="1">
      <c r="A69" s="28">
        <v>68.0</v>
      </c>
      <c r="B69" s="27">
        <v>54.0</v>
      </c>
      <c r="C69" s="18">
        <v>33.0</v>
      </c>
      <c r="D69" s="27">
        <v>1.0</v>
      </c>
      <c r="E69" s="18" t="b">
        <v>1</v>
      </c>
      <c r="G69" s="20" t="s">
        <v>46</v>
      </c>
    </row>
    <row r="70" ht="22.5" hidden="1" customHeight="1">
      <c r="A70" s="28">
        <v>69.0</v>
      </c>
      <c r="B70" s="27">
        <v>55.0</v>
      </c>
      <c r="C70" s="18">
        <v>33.0</v>
      </c>
      <c r="D70" s="27">
        <v>1.0</v>
      </c>
      <c r="E70" s="18" t="b">
        <v>1</v>
      </c>
      <c r="G70" s="20" t="s">
        <v>46</v>
      </c>
    </row>
    <row r="71" ht="22.5" hidden="1" customHeight="1">
      <c r="A71" s="28">
        <v>70.0</v>
      </c>
      <c r="B71" s="27">
        <v>56.0</v>
      </c>
      <c r="C71" s="18">
        <v>33.0</v>
      </c>
      <c r="D71" s="27">
        <v>1.0</v>
      </c>
      <c r="E71" s="18" t="b">
        <v>1</v>
      </c>
      <c r="G71" s="20" t="s">
        <v>46</v>
      </c>
    </row>
    <row r="72" ht="22.5" hidden="1" customHeight="1">
      <c r="A72" s="28">
        <v>71.0</v>
      </c>
      <c r="B72" s="27">
        <v>57.0</v>
      </c>
      <c r="C72" s="18">
        <v>33.0</v>
      </c>
      <c r="D72" s="27">
        <v>1.0</v>
      </c>
      <c r="E72" s="18" t="b">
        <v>1</v>
      </c>
      <c r="G72" s="20" t="s">
        <v>46</v>
      </c>
    </row>
    <row r="73" ht="22.5" hidden="1" customHeight="1">
      <c r="A73" s="28">
        <v>72.0</v>
      </c>
      <c r="B73" s="27">
        <v>58.0</v>
      </c>
      <c r="C73" s="18">
        <v>33.0</v>
      </c>
      <c r="D73" s="27">
        <v>1.0</v>
      </c>
      <c r="E73" s="18" t="b">
        <v>1</v>
      </c>
      <c r="G73" s="20" t="s">
        <v>46</v>
      </c>
    </row>
    <row r="74" ht="22.5" hidden="1" customHeight="1">
      <c r="A74" s="28">
        <v>73.0</v>
      </c>
      <c r="B74" s="27">
        <v>59.0</v>
      </c>
      <c r="C74" s="18">
        <v>33.0</v>
      </c>
      <c r="D74" s="27">
        <v>1.0</v>
      </c>
      <c r="E74" s="18" t="b">
        <v>1</v>
      </c>
      <c r="G74" s="20" t="s">
        <v>46</v>
      </c>
    </row>
    <row r="75" ht="22.5" hidden="1" customHeight="1">
      <c r="A75" s="28">
        <v>74.0</v>
      </c>
      <c r="B75" s="27">
        <v>60.0</v>
      </c>
      <c r="C75" s="18">
        <v>33.0</v>
      </c>
      <c r="D75" s="27">
        <v>1.0</v>
      </c>
      <c r="E75" s="18" t="b">
        <v>1</v>
      </c>
      <c r="G75" s="20" t="s">
        <v>46</v>
      </c>
    </row>
    <row r="76" ht="22.5" hidden="1" customHeight="1">
      <c r="A76" s="28">
        <v>75.0</v>
      </c>
      <c r="B76" s="27">
        <v>61.0</v>
      </c>
      <c r="C76" s="18">
        <v>33.0</v>
      </c>
      <c r="D76" s="27">
        <v>1.0</v>
      </c>
      <c r="E76" s="18" t="b">
        <v>1</v>
      </c>
      <c r="G76" s="20" t="s">
        <v>46</v>
      </c>
    </row>
    <row r="77" ht="22.5" hidden="1" customHeight="1">
      <c r="A77" s="28">
        <v>76.0</v>
      </c>
      <c r="B77" s="27">
        <v>62.0</v>
      </c>
      <c r="C77" s="18">
        <v>33.0</v>
      </c>
      <c r="D77" s="27">
        <v>1.0</v>
      </c>
      <c r="E77" s="18" t="b">
        <v>1</v>
      </c>
      <c r="G77" s="20" t="s">
        <v>46</v>
      </c>
    </row>
    <row r="78" ht="22.5" hidden="1" customHeight="1">
      <c r="A78" s="28">
        <v>77.0</v>
      </c>
      <c r="B78" s="27">
        <v>63.0</v>
      </c>
      <c r="C78" s="18">
        <v>22.0</v>
      </c>
      <c r="D78" s="27">
        <v>1.0</v>
      </c>
      <c r="E78" s="18" t="b">
        <v>1</v>
      </c>
      <c r="G78" s="20" t="s">
        <v>46</v>
      </c>
    </row>
    <row r="79" ht="22.5" hidden="1" customHeight="1">
      <c r="A79" s="28">
        <v>78.0</v>
      </c>
      <c r="B79" s="27">
        <v>64.0</v>
      </c>
      <c r="C79" s="18">
        <v>22.0</v>
      </c>
      <c r="D79" s="27">
        <v>1.0</v>
      </c>
      <c r="E79" s="18" t="b">
        <v>1</v>
      </c>
      <c r="G79" s="20" t="s">
        <v>46</v>
      </c>
    </row>
    <row r="80" ht="22.5" hidden="1" customHeight="1">
      <c r="A80" s="28">
        <v>79.0</v>
      </c>
      <c r="B80" s="27">
        <v>65.0</v>
      </c>
      <c r="C80" s="18">
        <v>22.0</v>
      </c>
      <c r="D80" s="27">
        <v>1.0</v>
      </c>
      <c r="E80" s="18" t="b">
        <v>1</v>
      </c>
      <c r="G80" s="20" t="s">
        <v>46</v>
      </c>
    </row>
    <row r="81" ht="22.5" hidden="1" customHeight="1">
      <c r="A81" s="28">
        <v>80.0</v>
      </c>
      <c r="B81" s="27">
        <v>66.0</v>
      </c>
      <c r="C81" s="18">
        <v>22.0</v>
      </c>
      <c r="D81" s="27">
        <v>1.0</v>
      </c>
      <c r="E81" s="18" t="b">
        <v>1</v>
      </c>
      <c r="G81" s="20" t="s">
        <v>46</v>
      </c>
    </row>
    <row r="82" ht="22.5" hidden="1" customHeight="1">
      <c r="A82" s="28">
        <v>81.0</v>
      </c>
      <c r="B82" s="27">
        <v>67.0</v>
      </c>
      <c r="C82" s="18">
        <v>22.0</v>
      </c>
      <c r="D82" s="27">
        <v>1.0</v>
      </c>
      <c r="E82" s="18" t="b">
        <v>1</v>
      </c>
      <c r="G82" s="20" t="s">
        <v>46</v>
      </c>
    </row>
    <row r="83" ht="22.5" hidden="1" customHeight="1">
      <c r="A83" s="28">
        <v>82.0</v>
      </c>
      <c r="B83" s="27">
        <v>68.0</v>
      </c>
      <c r="C83" s="18">
        <v>22.0</v>
      </c>
      <c r="D83" s="27">
        <v>1.0</v>
      </c>
      <c r="E83" s="18" t="b">
        <v>1</v>
      </c>
      <c r="G83" s="20" t="s">
        <v>46</v>
      </c>
    </row>
    <row r="84" ht="22.5" hidden="1" customHeight="1">
      <c r="A84" s="28">
        <v>83.0</v>
      </c>
      <c r="B84" s="27">
        <v>69.0</v>
      </c>
      <c r="C84" s="18">
        <v>22.0</v>
      </c>
      <c r="D84" s="27">
        <v>1.0</v>
      </c>
      <c r="E84" s="18" t="b">
        <v>1</v>
      </c>
      <c r="G84" s="20" t="s">
        <v>46</v>
      </c>
    </row>
    <row r="85" ht="22.5" hidden="1" customHeight="1">
      <c r="A85" s="28">
        <v>84.0</v>
      </c>
      <c r="B85" s="27">
        <v>70.0</v>
      </c>
      <c r="C85" s="18">
        <v>22.0</v>
      </c>
      <c r="D85" s="27">
        <v>1.0</v>
      </c>
      <c r="E85" s="18" t="b">
        <v>1</v>
      </c>
      <c r="G85" s="20" t="s">
        <v>46</v>
      </c>
    </row>
    <row r="86" ht="22.5" hidden="1" customHeight="1">
      <c r="A86" s="28">
        <v>85.0</v>
      </c>
      <c r="B86" s="27">
        <v>71.0</v>
      </c>
      <c r="C86" s="18">
        <v>22.0</v>
      </c>
      <c r="D86" s="27">
        <v>1.0</v>
      </c>
      <c r="E86" s="18" t="b">
        <v>1</v>
      </c>
      <c r="G86" s="20" t="s">
        <v>46</v>
      </c>
    </row>
    <row r="87" ht="22.5" hidden="1" customHeight="1">
      <c r="A87" s="28">
        <v>86.0</v>
      </c>
      <c r="B87" s="27">
        <v>72.0</v>
      </c>
      <c r="C87" s="18">
        <v>22.0</v>
      </c>
      <c r="D87" s="27">
        <v>1.0</v>
      </c>
      <c r="E87" s="18" t="b">
        <v>1</v>
      </c>
      <c r="G87" s="20" t="s">
        <v>46</v>
      </c>
    </row>
    <row r="88" ht="22.5" hidden="1" customHeight="1">
      <c r="A88" s="28">
        <v>87.0</v>
      </c>
      <c r="B88" s="27">
        <v>73.0</v>
      </c>
      <c r="C88" s="18">
        <v>22.0</v>
      </c>
      <c r="D88" s="27">
        <v>1.0</v>
      </c>
      <c r="E88" s="18" t="b">
        <v>1</v>
      </c>
      <c r="G88" s="20" t="s">
        <v>46</v>
      </c>
    </row>
    <row r="89" ht="22.5" hidden="1" customHeight="1">
      <c r="A89" s="28">
        <v>88.0</v>
      </c>
      <c r="B89" s="27">
        <v>74.0</v>
      </c>
      <c r="C89" s="18">
        <v>22.0</v>
      </c>
      <c r="D89" s="27">
        <v>1.0</v>
      </c>
      <c r="E89" s="18" t="b">
        <v>1</v>
      </c>
      <c r="G89" s="20" t="s">
        <v>46</v>
      </c>
    </row>
    <row r="90" ht="22.5" hidden="1" customHeight="1">
      <c r="A90" s="28">
        <v>89.0</v>
      </c>
      <c r="B90" s="27">
        <v>75.0</v>
      </c>
      <c r="C90" s="18">
        <v>22.0</v>
      </c>
      <c r="D90" s="27">
        <v>1.0</v>
      </c>
      <c r="E90" s="18" t="b">
        <v>1</v>
      </c>
      <c r="G90" s="20" t="s">
        <v>46</v>
      </c>
    </row>
    <row r="91" ht="22.5" hidden="1" customHeight="1">
      <c r="A91" s="28">
        <v>90.0</v>
      </c>
      <c r="B91" s="27">
        <v>76.0</v>
      </c>
      <c r="C91" s="18">
        <v>22.0</v>
      </c>
      <c r="D91" s="27">
        <v>1.0</v>
      </c>
      <c r="E91" s="18" t="b">
        <v>1</v>
      </c>
      <c r="G91" s="20" t="s">
        <v>46</v>
      </c>
    </row>
    <row r="92" ht="22.5" hidden="1" customHeight="1">
      <c r="A92" s="28">
        <v>91.0</v>
      </c>
      <c r="B92" s="27">
        <v>77.0</v>
      </c>
      <c r="C92" s="18">
        <v>22.0</v>
      </c>
      <c r="D92" s="27">
        <v>1.0</v>
      </c>
      <c r="E92" s="18" t="b">
        <v>1</v>
      </c>
      <c r="G92" s="20" t="s">
        <v>46</v>
      </c>
    </row>
    <row r="93" ht="22.5" hidden="1" customHeight="1">
      <c r="A93" s="28">
        <v>92.0</v>
      </c>
      <c r="B93" s="27">
        <v>78.0</v>
      </c>
      <c r="C93" s="18">
        <v>22.0</v>
      </c>
      <c r="D93" s="27">
        <v>1.0</v>
      </c>
      <c r="E93" s="18" t="b">
        <v>1</v>
      </c>
      <c r="G93" s="20" t="s">
        <v>46</v>
      </c>
    </row>
    <row r="94" ht="22.5" hidden="1" customHeight="1">
      <c r="A94" s="28">
        <v>93.0</v>
      </c>
      <c r="B94" s="27">
        <v>79.0</v>
      </c>
      <c r="C94" s="18">
        <v>22.0</v>
      </c>
      <c r="D94" s="27">
        <v>1.0</v>
      </c>
      <c r="E94" s="18" t="b">
        <v>1</v>
      </c>
      <c r="G94" s="20" t="s">
        <v>46</v>
      </c>
    </row>
    <row r="95" ht="22.5" hidden="1" customHeight="1">
      <c r="A95" s="28">
        <v>94.0</v>
      </c>
      <c r="B95" s="27">
        <v>80.0</v>
      </c>
      <c r="C95" s="18">
        <v>22.0</v>
      </c>
      <c r="D95" s="27">
        <v>1.0</v>
      </c>
      <c r="E95" s="18" t="b">
        <v>1</v>
      </c>
      <c r="G95" s="20" t="s">
        <v>46</v>
      </c>
    </row>
    <row r="96" ht="22.5" hidden="1" customHeight="1">
      <c r="A96" s="28">
        <v>95.0</v>
      </c>
      <c r="B96" s="27">
        <v>83.0</v>
      </c>
      <c r="C96" s="18">
        <v>22.0</v>
      </c>
      <c r="D96" s="27">
        <v>1.0</v>
      </c>
      <c r="E96" s="18" t="b">
        <v>1</v>
      </c>
      <c r="G96" s="20" t="s">
        <v>46</v>
      </c>
    </row>
    <row r="97" ht="22.5" hidden="1" customHeight="1">
      <c r="A97" s="28">
        <v>96.0</v>
      </c>
      <c r="B97" s="27">
        <v>84.0</v>
      </c>
      <c r="C97" s="18">
        <v>22.0</v>
      </c>
      <c r="D97" s="27">
        <v>1.0</v>
      </c>
      <c r="E97" s="18" t="b">
        <v>1</v>
      </c>
      <c r="G97" s="20" t="s">
        <v>46</v>
      </c>
    </row>
    <row r="98" ht="22.5" hidden="1" customHeight="1">
      <c r="A98" s="28">
        <v>97.0</v>
      </c>
      <c r="B98" s="27">
        <v>86.0</v>
      </c>
      <c r="C98" s="18">
        <v>22.0</v>
      </c>
      <c r="D98" s="27">
        <v>1.0</v>
      </c>
      <c r="E98" s="18" t="b">
        <v>1</v>
      </c>
      <c r="G98" s="20" t="s">
        <v>46</v>
      </c>
    </row>
    <row r="99" ht="22.5" hidden="1" customHeight="1">
      <c r="A99" s="28">
        <v>121.0</v>
      </c>
      <c r="B99" s="27">
        <v>110.0</v>
      </c>
      <c r="C99" s="18">
        <v>29.0</v>
      </c>
      <c r="D99" s="27">
        <v>1.0</v>
      </c>
      <c r="E99" s="18" t="b">
        <v>1</v>
      </c>
      <c r="G99" s="20" t="s">
        <v>46</v>
      </c>
    </row>
    <row r="100" ht="22.5" hidden="1" customHeight="1">
      <c r="A100" s="28">
        <v>122.0</v>
      </c>
      <c r="B100" s="27">
        <v>111.0</v>
      </c>
      <c r="C100" s="18">
        <v>22.0</v>
      </c>
      <c r="D100" s="27">
        <v>1.0</v>
      </c>
      <c r="E100" s="18" t="b">
        <v>1</v>
      </c>
      <c r="G100" s="20" t="s">
        <v>46</v>
      </c>
    </row>
    <row r="101" ht="22.5" hidden="1" customHeight="1">
      <c r="A101" s="28">
        <v>123.0</v>
      </c>
      <c r="B101" s="27">
        <v>1.0</v>
      </c>
      <c r="C101" s="18">
        <v>28.0</v>
      </c>
      <c r="D101" s="27">
        <v>2.0</v>
      </c>
      <c r="E101" s="18" t="b">
        <v>1</v>
      </c>
      <c r="G101" s="20" t="s">
        <v>46</v>
      </c>
    </row>
    <row r="102" ht="22.5" hidden="1" customHeight="1">
      <c r="A102" s="28">
        <v>124.0</v>
      </c>
      <c r="B102" s="28">
        <v>1.0</v>
      </c>
      <c r="C102" s="18">
        <v>29.0</v>
      </c>
      <c r="D102" s="27">
        <v>2.0</v>
      </c>
      <c r="E102" s="18" t="b">
        <v>0</v>
      </c>
      <c r="G102" s="20" t="s">
        <v>46</v>
      </c>
    </row>
    <row r="103" ht="22.5" hidden="1" customHeight="1">
      <c r="A103" s="28">
        <v>125.0</v>
      </c>
      <c r="B103" s="28">
        <v>2.0</v>
      </c>
      <c r="C103" s="18">
        <v>28.0</v>
      </c>
      <c r="D103" s="27">
        <v>2.0</v>
      </c>
      <c r="E103" s="18" t="b">
        <v>1</v>
      </c>
      <c r="G103" s="20" t="s">
        <v>46</v>
      </c>
    </row>
    <row r="104" ht="22.5" hidden="1" customHeight="1">
      <c r="A104" s="28">
        <v>126.0</v>
      </c>
      <c r="B104" s="27">
        <v>2.0</v>
      </c>
      <c r="C104" s="18">
        <v>29.0</v>
      </c>
      <c r="D104" s="27">
        <v>2.0</v>
      </c>
      <c r="E104" s="18" t="b">
        <v>0</v>
      </c>
      <c r="G104" s="20" t="s">
        <v>46</v>
      </c>
    </row>
    <row r="105" ht="22.5" hidden="1" customHeight="1">
      <c r="A105" s="28">
        <v>127.0</v>
      </c>
      <c r="B105" s="28">
        <v>3.0</v>
      </c>
      <c r="C105" s="18">
        <v>28.0</v>
      </c>
      <c r="D105" s="27">
        <v>2.0</v>
      </c>
      <c r="E105" s="18" t="b">
        <v>1</v>
      </c>
      <c r="G105" s="20" t="s">
        <v>46</v>
      </c>
    </row>
    <row r="106" ht="22.5" hidden="1" customHeight="1">
      <c r="A106" s="28">
        <v>128.0</v>
      </c>
      <c r="B106" s="27">
        <v>3.0</v>
      </c>
      <c r="C106" s="18">
        <v>29.0</v>
      </c>
      <c r="D106" s="27">
        <v>2.0</v>
      </c>
      <c r="E106" s="18" t="b">
        <v>0</v>
      </c>
      <c r="G106" s="20" t="s">
        <v>46</v>
      </c>
    </row>
    <row r="107" ht="22.5" hidden="1" customHeight="1">
      <c r="A107" s="28">
        <v>129.0</v>
      </c>
      <c r="B107" s="28">
        <v>4.0</v>
      </c>
      <c r="C107" s="18">
        <v>28.0</v>
      </c>
      <c r="D107" s="27">
        <v>2.0</v>
      </c>
      <c r="E107" s="18" t="b">
        <v>1</v>
      </c>
      <c r="G107" s="20" t="s">
        <v>46</v>
      </c>
    </row>
    <row r="108" ht="22.5" hidden="1" customHeight="1">
      <c r="A108" s="28">
        <v>130.0</v>
      </c>
      <c r="B108" s="27">
        <v>4.0</v>
      </c>
      <c r="C108" s="18">
        <v>29.0</v>
      </c>
      <c r="D108" s="27">
        <v>2.0</v>
      </c>
      <c r="E108" s="18" t="b">
        <v>0</v>
      </c>
      <c r="G108" s="20" t="s">
        <v>46</v>
      </c>
    </row>
    <row r="109" ht="22.5" hidden="1" customHeight="1">
      <c r="A109" s="28">
        <v>131.0</v>
      </c>
      <c r="B109" s="28">
        <v>5.0</v>
      </c>
      <c r="C109" s="18">
        <v>28.0</v>
      </c>
      <c r="D109" s="27">
        <v>2.0</v>
      </c>
      <c r="E109" s="18" t="b">
        <v>1</v>
      </c>
      <c r="G109" s="20" t="s">
        <v>46</v>
      </c>
    </row>
    <row r="110" ht="22.5" hidden="1" customHeight="1">
      <c r="A110" s="28">
        <v>132.0</v>
      </c>
      <c r="B110" s="27">
        <v>5.0</v>
      </c>
      <c r="C110" s="18">
        <v>29.0</v>
      </c>
      <c r="D110" s="27">
        <v>2.0</v>
      </c>
      <c r="E110" s="18" t="b">
        <v>0</v>
      </c>
      <c r="G110" s="20" t="s">
        <v>46</v>
      </c>
    </row>
    <row r="111" ht="22.5" hidden="1" customHeight="1">
      <c r="A111" s="28">
        <v>133.0</v>
      </c>
      <c r="B111" s="28">
        <v>6.0</v>
      </c>
      <c r="C111" s="18">
        <v>28.0</v>
      </c>
      <c r="D111" s="27">
        <v>2.0</v>
      </c>
      <c r="E111" s="18" t="b">
        <v>1</v>
      </c>
      <c r="G111" s="20" t="s">
        <v>46</v>
      </c>
    </row>
    <row r="112" ht="22.5" hidden="1" customHeight="1">
      <c r="A112" s="28">
        <v>134.0</v>
      </c>
      <c r="B112" s="27">
        <v>6.0</v>
      </c>
      <c r="C112" s="18">
        <v>29.0</v>
      </c>
      <c r="D112" s="27">
        <v>2.0</v>
      </c>
      <c r="E112" s="18" t="b">
        <v>0</v>
      </c>
      <c r="G112" s="20" t="s">
        <v>46</v>
      </c>
    </row>
    <row r="113" ht="22.5" hidden="1" customHeight="1">
      <c r="A113" s="28">
        <v>135.0</v>
      </c>
      <c r="B113" s="28">
        <v>7.0</v>
      </c>
      <c r="C113" s="18">
        <v>28.0</v>
      </c>
      <c r="D113" s="27">
        <v>2.0</v>
      </c>
      <c r="E113" s="18" t="b">
        <v>1</v>
      </c>
      <c r="G113" s="20" t="s">
        <v>46</v>
      </c>
    </row>
    <row r="114" ht="22.5" hidden="1" customHeight="1">
      <c r="A114" s="28">
        <v>136.0</v>
      </c>
      <c r="B114" s="27">
        <v>7.0</v>
      </c>
      <c r="C114" s="18">
        <v>29.0</v>
      </c>
      <c r="D114" s="27">
        <v>2.0</v>
      </c>
      <c r="E114" s="18" t="b">
        <v>0</v>
      </c>
      <c r="G114" s="20" t="s">
        <v>46</v>
      </c>
    </row>
    <row r="115" ht="22.5" hidden="1" customHeight="1">
      <c r="A115" s="28">
        <v>137.0</v>
      </c>
      <c r="B115" s="28">
        <v>8.0</v>
      </c>
      <c r="C115" s="18">
        <v>28.0</v>
      </c>
      <c r="D115" s="27">
        <v>2.0</v>
      </c>
      <c r="E115" s="18" t="b">
        <v>1</v>
      </c>
      <c r="G115" s="20" t="s">
        <v>46</v>
      </c>
    </row>
    <row r="116" ht="22.5" hidden="1" customHeight="1">
      <c r="A116" s="28">
        <v>138.0</v>
      </c>
      <c r="B116" s="27">
        <v>8.0</v>
      </c>
      <c r="C116" s="18">
        <v>29.0</v>
      </c>
      <c r="D116" s="27">
        <v>2.0</v>
      </c>
      <c r="E116" s="18" t="b">
        <v>0</v>
      </c>
      <c r="G116" s="20" t="s">
        <v>46</v>
      </c>
    </row>
    <row r="117" ht="22.5" hidden="1" customHeight="1">
      <c r="A117" s="28">
        <v>139.0</v>
      </c>
      <c r="B117" s="28">
        <v>9.0</v>
      </c>
      <c r="C117" s="18">
        <v>28.0</v>
      </c>
      <c r="D117" s="27">
        <v>2.0</v>
      </c>
      <c r="E117" s="18" t="b">
        <v>1</v>
      </c>
      <c r="G117" s="20" t="s">
        <v>46</v>
      </c>
    </row>
    <row r="118" ht="22.5" hidden="1" customHeight="1">
      <c r="A118" s="28">
        <v>140.0</v>
      </c>
      <c r="B118" s="27">
        <v>9.0</v>
      </c>
      <c r="C118" s="18">
        <v>29.0</v>
      </c>
      <c r="D118" s="27">
        <v>2.0</v>
      </c>
      <c r="E118" s="18" t="b">
        <v>0</v>
      </c>
      <c r="G118" s="20" t="s">
        <v>46</v>
      </c>
    </row>
    <row r="119" ht="22.5" hidden="1" customHeight="1">
      <c r="A119" s="28">
        <v>141.0</v>
      </c>
      <c r="B119" s="28">
        <v>10.0</v>
      </c>
      <c r="C119" s="18">
        <v>28.0</v>
      </c>
      <c r="D119" s="27">
        <v>2.0</v>
      </c>
      <c r="E119" s="18" t="b">
        <v>1</v>
      </c>
      <c r="G119" s="20" t="s">
        <v>46</v>
      </c>
    </row>
    <row r="120" ht="22.5" hidden="1" customHeight="1">
      <c r="A120" s="28">
        <v>142.0</v>
      </c>
      <c r="B120" s="27">
        <v>10.0</v>
      </c>
      <c r="C120" s="18">
        <v>29.0</v>
      </c>
      <c r="D120" s="27">
        <v>2.0</v>
      </c>
      <c r="E120" s="18" t="b">
        <v>0</v>
      </c>
      <c r="G120" s="20" t="s">
        <v>46</v>
      </c>
    </row>
    <row r="121" ht="22.5" hidden="1" customHeight="1">
      <c r="A121" s="28">
        <v>143.0</v>
      </c>
      <c r="B121" s="28">
        <v>11.0</v>
      </c>
      <c r="C121" s="18">
        <v>28.0</v>
      </c>
      <c r="D121" s="27">
        <v>2.0</v>
      </c>
      <c r="E121" s="18" t="b">
        <v>1</v>
      </c>
      <c r="G121" s="20" t="s">
        <v>46</v>
      </c>
    </row>
    <row r="122" ht="22.5" hidden="1" customHeight="1">
      <c r="A122" s="28">
        <v>144.0</v>
      </c>
      <c r="B122" s="27">
        <v>11.0</v>
      </c>
      <c r="C122" s="18">
        <v>29.0</v>
      </c>
      <c r="D122" s="27">
        <v>2.0</v>
      </c>
      <c r="E122" s="18" t="b">
        <v>0</v>
      </c>
      <c r="G122" s="20" t="s">
        <v>46</v>
      </c>
    </row>
    <row r="123" ht="22.5" hidden="1" customHeight="1">
      <c r="A123" s="28">
        <v>145.0</v>
      </c>
      <c r="B123" s="28">
        <v>12.0</v>
      </c>
      <c r="C123" s="18">
        <v>28.0</v>
      </c>
      <c r="D123" s="27">
        <v>2.0</v>
      </c>
      <c r="E123" s="18" t="b">
        <v>1</v>
      </c>
      <c r="G123" s="20" t="s">
        <v>46</v>
      </c>
    </row>
    <row r="124" ht="22.5" hidden="1" customHeight="1">
      <c r="A124" s="28">
        <v>146.0</v>
      </c>
      <c r="B124" s="27">
        <v>12.0</v>
      </c>
      <c r="C124" s="18">
        <v>29.0</v>
      </c>
      <c r="D124" s="27">
        <v>2.0</v>
      </c>
      <c r="E124" s="18" t="b">
        <v>0</v>
      </c>
      <c r="G124" s="20" t="s">
        <v>46</v>
      </c>
    </row>
    <row r="125" ht="22.5" hidden="1" customHeight="1">
      <c r="A125" s="28">
        <v>147.0</v>
      </c>
      <c r="B125" s="28">
        <v>13.0</v>
      </c>
      <c r="C125" s="18">
        <v>28.0</v>
      </c>
      <c r="D125" s="27">
        <v>2.0</v>
      </c>
      <c r="E125" s="18" t="b">
        <v>1</v>
      </c>
      <c r="G125" s="20" t="s">
        <v>46</v>
      </c>
    </row>
    <row r="126" ht="22.5" hidden="1" customHeight="1">
      <c r="A126" s="28">
        <v>148.0</v>
      </c>
      <c r="B126" s="27">
        <v>13.0</v>
      </c>
      <c r="C126" s="18">
        <v>29.0</v>
      </c>
      <c r="D126" s="27">
        <v>2.0</v>
      </c>
      <c r="E126" s="18" t="b">
        <v>0</v>
      </c>
      <c r="G126" s="20" t="s">
        <v>46</v>
      </c>
    </row>
    <row r="127" ht="22.5" hidden="1" customHeight="1">
      <c r="A127" s="28">
        <v>149.0</v>
      </c>
      <c r="B127" s="28">
        <v>14.0</v>
      </c>
      <c r="C127" s="18">
        <v>28.0</v>
      </c>
      <c r="D127" s="27">
        <v>2.0</v>
      </c>
      <c r="E127" s="18" t="b">
        <v>1</v>
      </c>
      <c r="G127" s="20" t="s">
        <v>46</v>
      </c>
    </row>
    <row r="128" ht="22.5" hidden="1" customHeight="1">
      <c r="A128" s="28">
        <v>150.0</v>
      </c>
      <c r="B128" s="27">
        <v>14.0</v>
      </c>
      <c r="C128" s="18">
        <v>29.0</v>
      </c>
      <c r="D128" s="27">
        <v>2.0</v>
      </c>
      <c r="E128" s="18" t="b">
        <v>0</v>
      </c>
      <c r="G128" s="20" t="s">
        <v>46</v>
      </c>
    </row>
    <row r="129" ht="22.5" hidden="1" customHeight="1">
      <c r="A129" s="28">
        <v>151.0</v>
      </c>
      <c r="B129" s="28">
        <v>15.0</v>
      </c>
      <c r="C129" s="18">
        <v>28.0</v>
      </c>
      <c r="D129" s="27">
        <v>2.0</v>
      </c>
      <c r="E129" s="18" t="b">
        <v>1</v>
      </c>
      <c r="G129" s="20" t="s">
        <v>46</v>
      </c>
    </row>
    <row r="130" ht="22.5" hidden="1" customHeight="1">
      <c r="A130" s="28">
        <v>152.0</v>
      </c>
      <c r="B130" s="27">
        <v>15.0</v>
      </c>
      <c r="C130" s="18">
        <v>29.0</v>
      </c>
      <c r="D130" s="27">
        <v>2.0</v>
      </c>
      <c r="E130" s="18" t="b">
        <v>0</v>
      </c>
      <c r="G130" s="20" t="s">
        <v>46</v>
      </c>
    </row>
    <row r="131" ht="22.5" hidden="1" customHeight="1">
      <c r="A131" s="28">
        <v>153.0</v>
      </c>
      <c r="B131" s="28">
        <v>16.0</v>
      </c>
      <c r="C131" s="18">
        <v>28.0</v>
      </c>
      <c r="D131" s="27">
        <v>2.0</v>
      </c>
      <c r="E131" s="18" t="b">
        <v>1</v>
      </c>
      <c r="G131" s="20" t="s">
        <v>46</v>
      </c>
    </row>
    <row r="132" ht="22.5" hidden="1" customHeight="1">
      <c r="A132" s="28">
        <v>154.0</v>
      </c>
      <c r="B132" s="27">
        <v>16.0</v>
      </c>
      <c r="C132" s="18">
        <v>29.0</v>
      </c>
      <c r="D132" s="27">
        <v>2.0</v>
      </c>
      <c r="E132" s="18" t="b">
        <v>0</v>
      </c>
      <c r="G132" s="20" t="s">
        <v>46</v>
      </c>
    </row>
    <row r="133" ht="22.5" hidden="1" customHeight="1">
      <c r="A133" s="28">
        <v>155.0</v>
      </c>
      <c r="B133" s="28">
        <v>17.0</v>
      </c>
      <c r="C133" s="18">
        <v>28.0</v>
      </c>
      <c r="D133" s="27">
        <v>2.0</v>
      </c>
      <c r="E133" s="18" t="b">
        <v>1</v>
      </c>
      <c r="G133" s="20" t="s">
        <v>46</v>
      </c>
    </row>
    <row r="134" ht="22.5" hidden="1" customHeight="1">
      <c r="A134" s="28">
        <v>156.0</v>
      </c>
      <c r="B134" s="27">
        <v>17.0</v>
      </c>
      <c r="C134" s="18">
        <v>29.0</v>
      </c>
      <c r="D134" s="27">
        <v>2.0</v>
      </c>
      <c r="E134" s="18" t="b">
        <v>0</v>
      </c>
      <c r="G134" s="20" t="s">
        <v>46</v>
      </c>
    </row>
    <row r="135" ht="22.5" hidden="1" customHeight="1">
      <c r="A135" s="28">
        <v>157.0</v>
      </c>
      <c r="B135" s="28">
        <v>18.0</v>
      </c>
      <c r="C135" s="18">
        <v>28.0</v>
      </c>
      <c r="D135" s="27">
        <v>2.0</v>
      </c>
      <c r="E135" s="18" t="b">
        <v>1</v>
      </c>
      <c r="G135" s="20" t="s">
        <v>46</v>
      </c>
    </row>
    <row r="136" ht="22.5" hidden="1" customHeight="1">
      <c r="A136" s="28">
        <v>158.0</v>
      </c>
      <c r="B136" s="27">
        <v>18.0</v>
      </c>
      <c r="C136" s="18">
        <v>29.0</v>
      </c>
      <c r="D136" s="27">
        <v>2.0</v>
      </c>
      <c r="E136" s="18" t="b">
        <v>0</v>
      </c>
      <c r="G136" s="20" t="s">
        <v>46</v>
      </c>
    </row>
    <row r="137" ht="22.5" hidden="1" customHeight="1">
      <c r="A137" s="28">
        <v>159.0</v>
      </c>
      <c r="B137" s="28">
        <v>19.0</v>
      </c>
      <c r="C137" s="18">
        <v>28.0</v>
      </c>
      <c r="D137" s="28">
        <v>2.0</v>
      </c>
      <c r="E137" s="18" t="b">
        <v>1</v>
      </c>
      <c r="G137" s="20" t="s">
        <v>46</v>
      </c>
    </row>
    <row r="138" ht="22.5" hidden="1" customHeight="1">
      <c r="A138" s="28">
        <v>160.0</v>
      </c>
      <c r="B138" s="27">
        <v>19.0</v>
      </c>
      <c r="C138" s="18">
        <v>29.0</v>
      </c>
      <c r="D138" s="27">
        <v>2.0</v>
      </c>
      <c r="E138" s="18" t="b">
        <v>0</v>
      </c>
      <c r="G138" s="20" t="s">
        <v>46</v>
      </c>
    </row>
    <row r="139" ht="22.5" hidden="1" customHeight="1">
      <c r="A139" s="28">
        <v>161.0</v>
      </c>
      <c r="B139" s="27">
        <v>20.0</v>
      </c>
      <c r="C139" s="18">
        <v>29.0</v>
      </c>
      <c r="D139" s="27">
        <v>2.0</v>
      </c>
      <c r="E139" s="18" t="b">
        <v>1</v>
      </c>
      <c r="G139" s="20" t="s">
        <v>46</v>
      </c>
    </row>
    <row r="140" ht="22.5" hidden="1" customHeight="1">
      <c r="A140" s="28">
        <v>162.0</v>
      </c>
      <c r="B140" s="27">
        <v>21.0</v>
      </c>
      <c r="C140" s="18">
        <v>29.0</v>
      </c>
      <c r="D140" s="27">
        <v>2.0</v>
      </c>
      <c r="E140" s="18" t="b">
        <v>1</v>
      </c>
      <c r="G140" s="20" t="s">
        <v>46</v>
      </c>
    </row>
    <row r="141" ht="22.5" hidden="1" customHeight="1">
      <c r="A141" s="28">
        <v>163.0</v>
      </c>
      <c r="B141" s="27">
        <v>22.0</v>
      </c>
      <c r="C141" s="18">
        <v>29.0</v>
      </c>
      <c r="D141" s="27">
        <v>2.0</v>
      </c>
      <c r="E141" s="18" t="b">
        <v>1</v>
      </c>
      <c r="G141" s="20" t="s">
        <v>46</v>
      </c>
    </row>
    <row r="142" ht="22.5" hidden="1" customHeight="1">
      <c r="A142" s="28">
        <v>164.0</v>
      </c>
      <c r="B142" s="27">
        <v>23.0</v>
      </c>
      <c r="C142" s="18">
        <v>29.0</v>
      </c>
      <c r="D142" s="27">
        <v>2.0</v>
      </c>
      <c r="E142" s="18" t="b">
        <v>1</v>
      </c>
      <c r="G142" s="20" t="s">
        <v>46</v>
      </c>
    </row>
    <row r="143" ht="22.5" hidden="1" customHeight="1">
      <c r="A143" s="28">
        <v>165.0</v>
      </c>
      <c r="B143" s="27">
        <v>24.0</v>
      </c>
      <c r="C143" s="18">
        <v>29.0</v>
      </c>
      <c r="D143" s="27">
        <v>2.0</v>
      </c>
      <c r="E143" s="18" t="b">
        <v>1</v>
      </c>
      <c r="G143" s="20" t="s">
        <v>46</v>
      </c>
    </row>
    <row r="144" ht="22.5" hidden="1" customHeight="1">
      <c r="A144" s="28">
        <v>166.0</v>
      </c>
      <c r="B144" s="27">
        <v>25.0</v>
      </c>
      <c r="C144" s="18">
        <v>29.0</v>
      </c>
      <c r="D144" s="27">
        <v>2.0</v>
      </c>
      <c r="E144" s="18" t="b">
        <v>1</v>
      </c>
      <c r="G144" s="20" t="s">
        <v>46</v>
      </c>
    </row>
    <row r="145" ht="22.5" hidden="1" customHeight="1">
      <c r="A145" s="28">
        <v>167.0</v>
      </c>
      <c r="B145" s="27">
        <v>26.0</v>
      </c>
      <c r="C145" s="18">
        <v>29.0</v>
      </c>
      <c r="D145" s="27">
        <v>2.0</v>
      </c>
      <c r="E145" s="18" t="b">
        <v>1</v>
      </c>
      <c r="G145" s="20" t="s">
        <v>46</v>
      </c>
    </row>
    <row r="146" ht="22.5" hidden="1" customHeight="1">
      <c r="A146" s="28">
        <v>168.0</v>
      </c>
      <c r="B146" s="27">
        <v>27.0</v>
      </c>
      <c r="C146" s="18">
        <v>29.0</v>
      </c>
      <c r="D146" s="27">
        <v>2.0</v>
      </c>
      <c r="E146" s="18" t="b">
        <v>1</v>
      </c>
      <c r="G146" s="20" t="s">
        <v>46</v>
      </c>
    </row>
    <row r="147" ht="22.5" hidden="1" customHeight="1">
      <c r="A147" s="28">
        <v>169.0</v>
      </c>
      <c r="B147" s="27">
        <v>28.0</v>
      </c>
      <c r="C147" s="18">
        <v>29.0</v>
      </c>
      <c r="D147" s="27">
        <v>2.0</v>
      </c>
      <c r="E147" s="18" t="b">
        <v>1</v>
      </c>
      <c r="G147" s="20" t="s">
        <v>46</v>
      </c>
    </row>
    <row r="148" ht="22.5" hidden="1" customHeight="1">
      <c r="A148" s="28">
        <v>170.0</v>
      </c>
      <c r="B148" s="27">
        <v>29.0</v>
      </c>
      <c r="C148" s="18">
        <v>29.0</v>
      </c>
      <c r="D148" s="27">
        <v>2.0</v>
      </c>
      <c r="E148" s="18" t="b">
        <v>1</v>
      </c>
      <c r="G148" s="20" t="s">
        <v>46</v>
      </c>
    </row>
    <row r="149" ht="22.5" hidden="1" customHeight="1">
      <c r="A149" s="28">
        <v>171.0</v>
      </c>
      <c r="B149" s="27">
        <v>30.0</v>
      </c>
      <c r="C149" s="18">
        <v>29.0</v>
      </c>
      <c r="D149" s="27">
        <v>2.0</v>
      </c>
      <c r="E149" s="18" t="b">
        <v>1</v>
      </c>
      <c r="G149" s="20" t="s">
        <v>46</v>
      </c>
    </row>
    <row r="150" ht="22.5" hidden="1" customHeight="1">
      <c r="A150" s="28">
        <v>172.0</v>
      </c>
      <c r="B150" s="27">
        <v>31.0</v>
      </c>
      <c r="C150" s="18">
        <v>29.0</v>
      </c>
      <c r="D150" s="27">
        <v>2.0</v>
      </c>
      <c r="E150" s="18" t="b">
        <v>1</v>
      </c>
      <c r="G150" s="20" t="s">
        <v>46</v>
      </c>
    </row>
    <row r="151" ht="22.5" hidden="1" customHeight="1">
      <c r="A151" s="28">
        <v>173.0</v>
      </c>
      <c r="B151" s="27">
        <v>32.0</v>
      </c>
      <c r="C151" s="18">
        <v>29.0</v>
      </c>
      <c r="D151" s="27">
        <v>2.0</v>
      </c>
      <c r="E151" s="18" t="b">
        <v>1</v>
      </c>
      <c r="G151" s="20" t="s">
        <v>46</v>
      </c>
    </row>
    <row r="152" ht="22.5" hidden="1" customHeight="1">
      <c r="A152" s="28">
        <v>174.0</v>
      </c>
      <c r="B152" s="27">
        <v>33.0</v>
      </c>
      <c r="C152" s="18">
        <v>29.0</v>
      </c>
      <c r="D152" s="27">
        <v>2.0</v>
      </c>
      <c r="E152" s="18" t="b">
        <v>1</v>
      </c>
      <c r="G152" s="20" t="s">
        <v>46</v>
      </c>
    </row>
    <row r="153" ht="22.5" hidden="1" customHeight="1">
      <c r="A153" s="28">
        <v>175.0</v>
      </c>
      <c r="B153" s="27">
        <v>34.0</v>
      </c>
      <c r="C153" s="18">
        <v>29.0</v>
      </c>
      <c r="D153" s="27">
        <v>2.0</v>
      </c>
      <c r="E153" s="18" t="b">
        <v>1</v>
      </c>
      <c r="G153" s="20" t="s">
        <v>46</v>
      </c>
    </row>
    <row r="154" ht="22.5" hidden="1" customHeight="1">
      <c r="A154" s="28">
        <v>176.0</v>
      </c>
      <c r="B154" s="27">
        <v>35.0</v>
      </c>
      <c r="C154" s="18">
        <v>29.0</v>
      </c>
      <c r="D154" s="27">
        <v>2.0</v>
      </c>
      <c r="E154" s="18" t="b">
        <v>1</v>
      </c>
      <c r="G154" s="20" t="s">
        <v>46</v>
      </c>
    </row>
    <row r="155" ht="22.5" hidden="1" customHeight="1">
      <c r="A155" s="28">
        <v>177.0</v>
      </c>
      <c r="B155" s="27">
        <v>36.0</v>
      </c>
      <c r="C155" s="18">
        <v>29.0</v>
      </c>
      <c r="D155" s="27">
        <v>2.0</v>
      </c>
      <c r="E155" s="18" t="b">
        <v>1</v>
      </c>
      <c r="G155" s="20" t="s">
        <v>46</v>
      </c>
    </row>
    <row r="156" ht="22.5" hidden="1" customHeight="1">
      <c r="A156" s="28">
        <v>178.0</v>
      </c>
      <c r="B156" s="27">
        <v>37.0</v>
      </c>
      <c r="C156" s="18">
        <v>29.0</v>
      </c>
      <c r="D156" s="27">
        <v>2.0</v>
      </c>
      <c r="E156" s="18" t="b">
        <v>1</v>
      </c>
      <c r="G156" s="20" t="s">
        <v>46</v>
      </c>
    </row>
    <row r="157" ht="22.5" hidden="1" customHeight="1">
      <c r="A157" s="28">
        <v>179.0</v>
      </c>
      <c r="B157" s="27">
        <v>38.0</v>
      </c>
      <c r="C157" s="18">
        <v>29.0</v>
      </c>
      <c r="D157" s="27">
        <v>2.0</v>
      </c>
      <c r="E157" s="18" t="b">
        <v>1</v>
      </c>
      <c r="G157" s="20" t="s">
        <v>46</v>
      </c>
    </row>
    <row r="158" ht="22.5" hidden="1" customHeight="1">
      <c r="A158" s="28">
        <v>180.0</v>
      </c>
      <c r="B158" s="27">
        <v>39.0</v>
      </c>
      <c r="C158" s="18">
        <v>29.0</v>
      </c>
      <c r="D158" s="27">
        <v>2.0</v>
      </c>
      <c r="E158" s="18" t="b">
        <v>1</v>
      </c>
      <c r="G158" s="20" t="s">
        <v>46</v>
      </c>
    </row>
    <row r="159" ht="22.5" hidden="1" customHeight="1">
      <c r="A159" s="28">
        <v>181.0</v>
      </c>
      <c r="B159" s="27">
        <v>40.0</v>
      </c>
      <c r="C159" s="18">
        <v>29.0</v>
      </c>
      <c r="D159" s="27">
        <v>2.0</v>
      </c>
      <c r="E159" s="18" t="b">
        <v>1</v>
      </c>
      <c r="G159" s="20" t="s">
        <v>46</v>
      </c>
    </row>
    <row r="160" ht="22.5" hidden="1" customHeight="1">
      <c r="A160" s="28">
        <v>182.0</v>
      </c>
      <c r="B160" s="27">
        <v>41.0</v>
      </c>
      <c r="C160" s="18">
        <v>29.0</v>
      </c>
      <c r="D160" s="27">
        <v>2.0</v>
      </c>
      <c r="E160" s="18" t="b">
        <v>1</v>
      </c>
      <c r="G160" s="20" t="s">
        <v>46</v>
      </c>
    </row>
    <row r="161" ht="22.5" hidden="1" customHeight="1">
      <c r="A161" s="28">
        <v>183.0</v>
      </c>
      <c r="B161" s="27">
        <v>42.0</v>
      </c>
      <c r="C161" s="18">
        <v>29.0</v>
      </c>
      <c r="D161" s="27">
        <v>2.0</v>
      </c>
      <c r="E161" s="18" t="b">
        <v>1</v>
      </c>
      <c r="G161" s="20" t="s">
        <v>46</v>
      </c>
    </row>
    <row r="162" ht="22.5" hidden="1" customHeight="1">
      <c r="A162" s="28">
        <v>184.0</v>
      </c>
      <c r="B162" s="27">
        <v>43.0</v>
      </c>
      <c r="C162" s="18">
        <v>29.0</v>
      </c>
      <c r="D162" s="27">
        <v>2.0</v>
      </c>
      <c r="E162" s="18" t="b">
        <v>1</v>
      </c>
      <c r="G162" s="20" t="s">
        <v>46</v>
      </c>
    </row>
    <row r="163" ht="22.5" hidden="1" customHeight="1">
      <c r="A163" s="28">
        <v>185.0</v>
      </c>
      <c r="B163" s="27">
        <v>46.0</v>
      </c>
      <c r="C163" s="18">
        <v>33.0</v>
      </c>
      <c r="D163" s="27">
        <v>2.0</v>
      </c>
      <c r="E163" s="18" t="b">
        <v>1</v>
      </c>
      <c r="G163" s="20" t="s">
        <v>46</v>
      </c>
    </row>
    <row r="164" ht="22.5" hidden="1" customHeight="1">
      <c r="A164" s="28">
        <v>186.0</v>
      </c>
      <c r="B164" s="27">
        <v>47.0</v>
      </c>
      <c r="C164" s="18">
        <v>33.0</v>
      </c>
      <c r="D164" s="27">
        <v>2.0</v>
      </c>
      <c r="E164" s="18" t="b">
        <v>1</v>
      </c>
      <c r="G164" s="20" t="s">
        <v>46</v>
      </c>
    </row>
    <row r="165" ht="22.5" hidden="1" customHeight="1">
      <c r="A165" s="28">
        <v>187.0</v>
      </c>
      <c r="B165" s="27">
        <v>49.0</v>
      </c>
      <c r="C165" s="18">
        <v>33.0</v>
      </c>
      <c r="D165" s="27">
        <v>2.0</v>
      </c>
      <c r="E165" s="18" t="b">
        <v>1</v>
      </c>
      <c r="G165" s="20" t="s">
        <v>46</v>
      </c>
    </row>
    <row r="166" ht="22.5" hidden="1" customHeight="1">
      <c r="A166" s="28">
        <v>188.0</v>
      </c>
      <c r="B166" s="27">
        <v>50.0</v>
      </c>
      <c r="C166" s="18">
        <v>33.0</v>
      </c>
      <c r="D166" s="27">
        <v>2.0</v>
      </c>
      <c r="E166" s="18" t="b">
        <v>1</v>
      </c>
      <c r="G166" s="20" t="s">
        <v>46</v>
      </c>
    </row>
    <row r="167" ht="22.5" hidden="1" customHeight="1">
      <c r="A167" s="28">
        <v>189.0</v>
      </c>
      <c r="B167" s="27">
        <v>51.0</v>
      </c>
      <c r="C167" s="18">
        <v>33.0</v>
      </c>
      <c r="D167" s="27">
        <v>2.0</v>
      </c>
      <c r="E167" s="18" t="b">
        <v>1</v>
      </c>
      <c r="G167" s="20" t="s">
        <v>46</v>
      </c>
    </row>
    <row r="168" ht="22.5" hidden="1" customHeight="1">
      <c r="A168" s="28">
        <v>190.0</v>
      </c>
      <c r="B168" s="27">
        <v>52.0</v>
      </c>
      <c r="C168" s="18">
        <v>33.0</v>
      </c>
      <c r="D168" s="27">
        <v>2.0</v>
      </c>
      <c r="E168" s="18" t="b">
        <v>1</v>
      </c>
      <c r="G168" s="20" t="s">
        <v>46</v>
      </c>
    </row>
    <row r="169" ht="22.5" hidden="1" customHeight="1">
      <c r="A169" s="28">
        <v>191.0</v>
      </c>
      <c r="B169" s="27">
        <v>53.0</v>
      </c>
      <c r="C169" s="18">
        <v>33.0</v>
      </c>
      <c r="D169" s="27">
        <v>2.0</v>
      </c>
      <c r="E169" s="18" t="b">
        <v>1</v>
      </c>
      <c r="G169" s="20" t="s">
        <v>46</v>
      </c>
    </row>
    <row r="170" ht="22.5" hidden="1" customHeight="1">
      <c r="A170" s="28">
        <v>192.0</v>
      </c>
      <c r="B170" s="27">
        <v>54.0</v>
      </c>
      <c r="C170" s="18">
        <v>33.0</v>
      </c>
      <c r="D170" s="27">
        <v>2.0</v>
      </c>
      <c r="E170" s="18" t="b">
        <v>1</v>
      </c>
      <c r="G170" s="20" t="s">
        <v>46</v>
      </c>
    </row>
    <row r="171" ht="22.5" hidden="1" customHeight="1">
      <c r="A171" s="28">
        <v>193.0</v>
      </c>
      <c r="B171" s="27">
        <v>57.0</v>
      </c>
      <c r="C171" s="18">
        <v>33.0</v>
      </c>
      <c r="D171" s="27">
        <v>2.0</v>
      </c>
      <c r="E171" s="18" t="b">
        <v>1</v>
      </c>
      <c r="G171" s="20" t="s">
        <v>46</v>
      </c>
    </row>
    <row r="172" ht="22.5" hidden="1" customHeight="1">
      <c r="A172" s="28">
        <v>194.0</v>
      </c>
      <c r="B172" s="27">
        <v>58.0</v>
      </c>
      <c r="C172" s="18">
        <v>33.0</v>
      </c>
      <c r="D172" s="27">
        <v>2.0</v>
      </c>
      <c r="E172" s="18" t="b">
        <v>1</v>
      </c>
      <c r="G172" s="20" t="s">
        <v>46</v>
      </c>
    </row>
    <row r="173" ht="22.5" hidden="1" customHeight="1">
      <c r="A173" s="28">
        <v>195.0</v>
      </c>
      <c r="B173" s="27">
        <v>59.0</v>
      </c>
      <c r="C173" s="18">
        <v>33.0</v>
      </c>
      <c r="D173" s="27">
        <v>2.0</v>
      </c>
      <c r="E173" s="18" t="b">
        <v>1</v>
      </c>
      <c r="G173" s="20" t="s">
        <v>46</v>
      </c>
    </row>
    <row r="174" ht="22.5" hidden="1" customHeight="1">
      <c r="A174" s="28">
        <v>196.0</v>
      </c>
      <c r="B174" s="27">
        <v>60.0</v>
      </c>
      <c r="C174" s="18">
        <v>33.0</v>
      </c>
      <c r="D174" s="27">
        <v>2.0</v>
      </c>
      <c r="E174" s="18" t="b">
        <v>1</v>
      </c>
      <c r="G174" s="20" t="s">
        <v>46</v>
      </c>
    </row>
    <row r="175" ht="22.5" hidden="1" customHeight="1">
      <c r="A175" s="28">
        <v>197.0</v>
      </c>
      <c r="B175" s="27">
        <v>61.0</v>
      </c>
      <c r="C175" s="18">
        <v>33.0</v>
      </c>
      <c r="D175" s="27">
        <v>2.0</v>
      </c>
      <c r="E175" s="18" t="b">
        <v>1</v>
      </c>
      <c r="G175" s="20" t="s">
        <v>46</v>
      </c>
    </row>
    <row r="176" ht="22.5" hidden="1" customHeight="1">
      <c r="A176" s="28">
        <v>198.0</v>
      </c>
      <c r="B176" s="27">
        <v>62.0</v>
      </c>
      <c r="C176" s="18">
        <v>33.0</v>
      </c>
      <c r="D176" s="27">
        <v>2.0</v>
      </c>
      <c r="E176" s="18" t="b">
        <v>1</v>
      </c>
      <c r="G176" s="20" t="s">
        <v>46</v>
      </c>
    </row>
    <row r="177" ht="22.5" hidden="1" customHeight="1">
      <c r="A177" s="28">
        <v>199.0</v>
      </c>
      <c r="B177" s="27">
        <v>63.0</v>
      </c>
      <c r="C177" s="18">
        <v>34.0</v>
      </c>
      <c r="D177" s="27">
        <v>2.0</v>
      </c>
      <c r="E177" s="18" t="b">
        <v>1</v>
      </c>
      <c r="G177" s="20" t="s">
        <v>46</v>
      </c>
    </row>
    <row r="178" ht="22.5" hidden="1" customHeight="1">
      <c r="A178" s="28">
        <v>200.0</v>
      </c>
      <c r="B178" s="27">
        <v>64.0</v>
      </c>
      <c r="C178" s="18">
        <v>34.0</v>
      </c>
      <c r="D178" s="27">
        <v>2.0</v>
      </c>
      <c r="E178" s="18" t="b">
        <v>1</v>
      </c>
      <c r="G178" s="20" t="s">
        <v>46</v>
      </c>
    </row>
    <row r="179" ht="22.5" hidden="1" customHeight="1">
      <c r="A179" s="28">
        <v>225.0</v>
      </c>
      <c r="B179" s="27">
        <v>1.0</v>
      </c>
      <c r="C179" s="18">
        <v>28.0</v>
      </c>
      <c r="D179" s="27">
        <v>3.0</v>
      </c>
      <c r="E179" s="18" t="b">
        <v>1</v>
      </c>
      <c r="G179" s="20" t="s">
        <v>46</v>
      </c>
    </row>
    <row r="180" ht="22.5" hidden="1" customHeight="1">
      <c r="A180" s="28">
        <v>226.0</v>
      </c>
      <c r="B180" s="28">
        <v>1.0</v>
      </c>
      <c r="C180" s="18">
        <v>29.0</v>
      </c>
      <c r="D180" s="27">
        <v>3.0</v>
      </c>
      <c r="E180" s="18" t="b">
        <v>0</v>
      </c>
      <c r="G180" s="20" t="s">
        <v>46</v>
      </c>
    </row>
    <row r="181" ht="22.5" hidden="1" customHeight="1">
      <c r="A181" s="28">
        <v>227.0</v>
      </c>
      <c r="B181" s="27">
        <v>2.0</v>
      </c>
      <c r="C181" s="18">
        <v>28.0</v>
      </c>
      <c r="D181" s="27">
        <v>3.0</v>
      </c>
      <c r="E181" s="18" t="b">
        <v>1</v>
      </c>
      <c r="G181" s="20" t="s">
        <v>46</v>
      </c>
    </row>
    <row r="182" ht="22.5" hidden="1" customHeight="1">
      <c r="A182" s="28">
        <v>228.0</v>
      </c>
      <c r="B182" s="28">
        <v>2.0</v>
      </c>
      <c r="C182" s="18">
        <v>29.0</v>
      </c>
      <c r="D182" s="27">
        <v>3.0</v>
      </c>
      <c r="E182" s="18" t="b">
        <v>0</v>
      </c>
      <c r="G182" s="20" t="s">
        <v>46</v>
      </c>
    </row>
    <row r="183" ht="22.5" hidden="1" customHeight="1">
      <c r="A183" s="28">
        <v>229.0</v>
      </c>
      <c r="B183" s="27">
        <v>3.0</v>
      </c>
      <c r="C183" s="18">
        <v>28.0</v>
      </c>
      <c r="D183" s="27">
        <v>3.0</v>
      </c>
      <c r="E183" s="18" t="b">
        <v>1</v>
      </c>
      <c r="G183" s="20" t="s">
        <v>46</v>
      </c>
    </row>
    <row r="184" ht="22.5" hidden="1" customHeight="1">
      <c r="A184" s="28">
        <v>230.0</v>
      </c>
      <c r="B184" s="28">
        <v>3.0</v>
      </c>
      <c r="C184" s="18">
        <v>29.0</v>
      </c>
      <c r="D184" s="27">
        <v>3.0</v>
      </c>
      <c r="E184" s="18" t="b">
        <v>0</v>
      </c>
      <c r="G184" s="20" t="s">
        <v>46</v>
      </c>
    </row>
    <row r="185" ht="22.5" hidden="1" customHeight="1">
      <c r="A185" s="28">
        <v>231.0</v>
      </c>
      <c r="B185" s="27">
        <v>4.0</v>
      </c>
      <c r="C185" s="18">
        <v>28.0</v>
      </c>
      <c r="D185" s="27">
        <v>3.0</v>
      </c>
      <c r="E185" s="18" t="b">
        <v>1</v>
      </c>
      <c r="G185" s="20" t="s">
        <v>46</v>
      </c>
    </row>
    <row r="186" ht="22.5" hidden="1" customHeight="1">
      <c r="A186" s="28">
        <v>232.0</v>
      </c>
      <c r="B186" s="28">
        <v>4.0</v>
      </c>
      <c r="C186" s="18">
        <v>29.0</v>
      </c>
      <c r="D186" s="27">
        <v>3.0</v>
      </c>
      <c r="E186" s="18" t="b">
        <v>0</v>
      </c>
      <c r="G186" s="20" t="s">
        <v>46</v>
      </c>
    </row>
    <row r="187" ht="22.5" hidden="1" customHeight="1">
      <c r="A187" s="28">
        <v>233.0</v>
      </c>
      <c r="B187" s="27">
        <v>5.0</v>
      </c>
      <c r="C187" s="18">
        <v>28.0</v>
      </c>
      <c r="D187" s="27">
        <v>3.0</v>
      </c>
      <c r="E187" s="18" t="b">
        <v>1</v>
      </c>
      <c r="G187" s="20" t="s">
        <v>46</v>
      </c>
    </row>
    <row r="188" ht="22.5" hidden="1" customHeight="1">
      <c r="A188" s="28">
        <v>234.0</v>
      </c>
      <c r="B188" s="28">
        <v>5.0</v>
      </c>
      <c r="C188" s="18">
        <v>29.0</v>
      </c>
      <c r="D188" s="27">
        <v>3.0</v>
      </c>
      <c r="E188" s="18" t="b">
        <v>0</v>
      </c>
      <c r="G188" s="20" t="s">
        <v>46</v>
      </c>
    </row>
    <row r="189" ht="22.5" hidden="1" customHeight="1">
      <c r="A189" s="28">
        <v>235.0</v>
      </c>
      <c r="B189" s="27">
        <v>6.0</v>
      </c>
      <c r="C189" s="18">
        <v>28.0</v>
      </c>
      <c r="D189" s="27">
        <v>3.0</v>
      </c>
      <c r="E189" s="18" t="b">
        <v>1</v>
      </c>
      <c r="G189" s="20" t="s">
        <v>46</v>
      </c>
    </row>
    <row r="190" ht="22.5" hidden="1" customHeight="1">
      <c r="A190" s="28">
        <v>236.0</v>
      </c>
      <c r="B190" s="28">
        <v>6.0</v>
      </c>
      <c r="C190" s="18">
        <v>29.0</v>
      </c>
      <c r="D190" s="27">
        <v>3.0</v>
      </c>
      <c r="E190" s="18" t="b">
        <v>0</v>
      </c>
      <c r="G190" s="20" t="s">
        <v>46</v>
      </c>
    </row>
    <row r="191" ht="22.5" hidden="1" customHeight="1">
      <c r="A191" s="28">
        <v>237.0</v>
      </c>
      <c r="B191" s="27">
        <v>7.0</v>
      </c>
      <c r="C191" s="18">
        <v>28.0</v>
      </c>
      <c r="D191" s="27">
        <v>3.0</v>
      </c>
      <c r="E191" s="18" t="b">
        <v>1</v>
      </c>
      <c r="G191" s="20" t="s">
        <v>46</v>
      </c>
    </row>
    <row r="192" ht="22.5" hidden="1" customHeight="1">
      <c r="A192" s="28">
        <v>238.0</v>
      </c>
      <c r="B192" s="28">
        <v>7.0</v>
      </c>
      <c r="C192" s="18">
        <v>29.0</v>
      </c>
      <c r="D192" s="27">
        <v>3.0</v>
      </c>
      <c r="E192" s="18" t="b">
        <v>0</v>
      </c>
      <c r="G192" s="20" t="s">
        <v>46</v>
      </c>
    </row>
    <row r="193" ht="22.5" hidden="1" customHeight="1">
      <c r="A193" s="28">
        <v>239.0</v>
      </c>
      <c r="B193" s="27">
        <v>8.0</v>
      </c>
      <c r="C193" s="18">
        <v>28.0</v>
      </c>
      <c r="D193" s="27">
        <v>3.0</v>
      </c>
      <c r="E193" s="18" t="b">
        <v>1</v>
      </c>
      <c r="G193" s="20" t="s">
        <v>46</v>
      </c>
    </row>
    <row r="194" ht="22.5" hidden="1" customHeight="1">
      <c r="A194" s="28">
        <v>240.0</v>
      </c>
      <c r="B194" s="28">
        <v>8.0</v>
      </c>
      <c r="C194" s="18">
        <v>29.0</v>
      </c>
      <c r="D194" s="27">
        <v>3.0</v>
      </c>
      <c r="E194" s="18" t="b">
        <v>0</v>
      </c>
      <c r="G194" s="20" t="s">
        <v>46</v>
      </c>
    </row>
    <row r="195" ht="22.5" hidden="1" customHeight="1">
      <c r="A195" s="28">
        <v>241.0</v>
      </c>
      <c r="B195" s="27">
        <v>9.0</v>
      </c>
      <c r="C195" s="18">
        <v>28.0</v>
      </c>
      <c r="D195" s="27">
        <v>3.0</v>
      </c>
      <c r="E195" s="18" t="b">
        <v>1</v>
      </c>
      <c r="G195" s="20" t="s">
        <v>46</v>
      </c>
    </row>
    <row r="196" ht="22.5" hidden="1" customHeight="1">
      <c r="A196" s="28">
        <v>242.0</v>
      </c>
      <c r="B196" s="28">
        <v>9.0</v>
      </c>
      <c r="C196" s="18">
        <v>29.0</v>
      </c>
      <c r="D196" s="27">
        <v>3.0</v>
      </c>
      <c r="E196" s="18" t="b">
        <v>0</v>
      </c>
      <c r="G196" s="20" t="s">
        <v>46</v>
      </c>
    </row>
    <row r="197" ht="22.5" hidden="1" customHeight="1">
      <c r="A197" s="28">
        <v>243.0</v>
      </c>
      <c r="B197" s="27">
        <v>10.0</v>
      </c>
      <c r="C197" s="18">
        <v>28.0</v>
      </c>
      <c r="D197" s="27">
        <v>3.0</v>
      </c>
      <c r="E197" s="18" t="b">
        <v>1</v>
      </c>
      <c r="G197" s="20" t="s">
        <v>46</v>
      </c>
    </row>
    <row r="198" ht="22.5" hidden="1" customHeight="1">
      <c r="A198" s="28">
        <v>244.0</v>
      </c>
      <c r="B198" s="28">
        <v>10.0</v>
      </c>
      <c r="C198" s="18">
        <v>29.0</v>
      </c>
      <c r="D198" s="27">
        <v>3.0</v>
      </c>
      <c r="E198" s="18" t="b">
        <v>0</v>
      </c>
      <c r="G198" s="20" t="s">
        <v>46</v>
      </c>
    </row>
    <row r="199" ht="22.5" hidden="1" customHeight="1">
      <c r="A199" s="28">
        <v>245.0</v>
      </c>
      <c r="B199" s="27">
        <v>11.0</v>
      </c>
      <c r="C199" s="18">
        <v>28.0</v>
      </c>
      <c r="D199" s="27">
        <v>3.0</v>
      </c>
      <c r="E199" s="18" t="b">
        <v>1</v>
      </c>
      <c r="G199" s="20" t="s">
        <v>46</v>
      </c>
    </row>
    <row r="200" ht="22.5" hidden="1" customHeight="1">
      <c r="A200" s="28">
        <v>246.0</v>
      </c>
      <c r="B200" s="28">
        <v>11.0</v>
      </c>
      <c r="C200" s="18">
        <v>29.0</v>
      </c>
      <c r="D200" s="27">
        <v>3.0</v>
      </c>
      <c r="E200" s="18" t="b">
        <v>0</v>
      </c>
      <c r="G200" s="20" t="s">
        <v>46</v>
      </c>
    </row>
    <row r="201" ht="22.5" hidden="1" customHeight="1">
      <c r="A201" s="28">
        <v>247.0</v>
      </c>
      <c r="B201" s="27">
        <v>12.0</v>
      </c>
      <c r="C201" s="18">
        <v>28.0</v>
      </c>
      <c r="D201" s="27">
        <v>3.0</v>
      </c>
      <c r="E201" s="18" t="b">
        <v>1</v>
      </c>
      <c r="G201" s="20" t="s">
        <v>46</v>
      </c>
    </row>
    <row r="202" ht="22.5" hidden="1" customHeight="1">
      <c r="A202" s="28">
        <v>248.0</v>
      </c>
      <c r="B202" s="28">
        <v>12.0</v>
      </c>
      <c r="C202" s="18">
        <v>29.0</v>
      </c>
      <c r="D202" s="27">
        <v>3.0</v>
      </c>
      <c r="E202" s="18" t="b">
        <v>0</v>
      </c>
      <c r="G202" s="20" t="s">
        <v>46</v>
      </c>
    </row>
    <row r="203" ht="22.5" hidden="1" customHeight="1">
      <c r="A203" s="28">
        <v>249.0</v>
      </c>
      <c r="B203" s="27">
        <v>13.0</v>
      </c>
      <c r="C203" s="18">
        <v>28.0</v>
      </c>
      <c r="D203" s="27">
        <v>3.0</v>
      </c>
      <c r="E203" s="18" t="b">
        <v>1</v>
      </c>
      <c r="G203" s="20" t="s">
        <v>46</v>
      </c>
    </row>
    <row r="204" ht="22.5" hidden="1" customHeight="1">
      <c r="A204" s="28">
        <v>250.0</v>
      </c>
      <c r="B204" s="28">
        <v>13.0</v>
      </c>
      <c r="C204" s="18">
        <v>29.0</v>
      </c>
      <c r="D204" s="27">
        <v>3.0</v>
      </c>
      <c r="E204" s="18" t="b">
        <v>0</v>
      </c>
      <c r="G204" s="20" t="s">
        <v>46</v>
      </c>
    </row>
    <row r="205" ht="22.5" hidden="1" customHeight="1">
      <c r="A205" s="28">
        <v>251.0</v>
      </c>
      <c r="B205" s="27">
        <v>14.0</v>
      </c>
      <c r="C205" s="18">
        <v>28.0</v>
      </c>
      <c r="D205" s="27">
        <v>3.0</v>
      </c>
      <c r="E205" s="18" t="b">
        <v>1</v>
      </c>
      <c r="G205" s="20" t="s">
        <v>46</v>
      </c>
    </row>
    <row r="206" ht="22.5" hidden="1" customHeight="1">
      <c r="A206" s="28">
        <v>252.0</v>
      </c>
      <c r="B206" s="28">
        <v>14.0</v>
      </c>
      <c r="C206" s="18">
        <v>29.0</v>
      </c>
      <c r="D206" s="27">
        <v>3.0</v>
      </c>
      <c r="E206" s="18" t="b">
        <v>0</v>
      </c>
      <c r="G206" s="20" t="s">
        <v>46</v>
      </c>
    </row>
    <row r="207" ht="22.5" hidden="1" customHeight="1">
      <c r="A207" s="28">
        <v>253.0</v>
      </c>
      <c r="B207" s="27">
        <v>15.0</v>
      </c>
      <c r="C207" s="18">
        <v>28.0</v>
      </c>
      <c r="D207" s="27">
        <v>3.0</v>
      </c>
      <c r="E207" s="18" t="b">
        <v>1</v>
      </c>
      <c r="G207" s="20" t="s">
        <v>46</v>
      </c>
    </row>
    <row r="208" ht="22.5" hidden="1" customHeight="1">
      <c r="A208" s="28">
        <v>254.0</v>
      </c>
      <c r="B208" s="28">
        <v>15.0</v>
      </c>
      <c r="C208" s="18">
        <v>29.0</v>
      </c>
      <c r="D208" s="27">
        <v>3.0</v>
      </c>
      <c r="E208" s="18" t="b">
        <v>0</v>
      </c>
      <c r="G208" s="20" t="s">
        <v>46</v>
      </c>
    </row>
    <row r="209" ht="22.5" hidden="1" customHeight="1">
      <c r="A209" s="28">
        <v>255.0</v>
      </c>
      <c r="B209" s="27">
        <v>16.0</v>
      </c>
      <c r="C209" s="18">
        <v>28.0</v>
      </c>
      <c r="D209" s="27">
        <v>3.0</v>
      </c>
      <c r="E209" s="18" t="b">
        <v>1</v>
      </c>
      <c r="G209" s="20" t="s">
        <v>46</v>
      </c>
    </row>
    <row r="210" ht="22.5" hidden="1" customHeight="1">
      <c r="A210" s="28">
        <v>256.0</v>
      </c>
      <c r="B210" s="28">
        <v>16.0</v>
      </c>
      <c r="C210" s="18">
        <v>29.0</v>
      </c>
      <c r="D210" s="27">
        <v>3.0</v>
      </c>
      <c r="E210" s="18" t="b">
        <v>0</v>
      </c>
      <c r="G210" s="20" t="s">
        <v>46</v>
      </c>
    </row>
    <row r="211" ht="22.5" hidden="1" customHeight="1">
      <c r="A211" s="28">
        <v>257.0</v>
      </c>
      <c r="B211" s="27">
        <v>17.0</v>
      </c>
      <c r="C211" s="18">
        <v>28.0</v>
      </c>
      <c r="D211" s="27">
        <v>3.0</v>
      </c>
      <c r="E211" s="18" t="b">
        <v>1</v>
      </c>
      <c r="G211" s="20" t="s">
        <v>46</v>
      </c>
    </row>
    <row r="212" ht="22.5" hidden="1" customHeight="1">
      <c r="A212" s="28">
        <v>258.0</v>
      </c>
      <c r="B212" s="28">
        <v>17.0</v>
      </c>
      <c r="C212" s="18">
        <v>29.0</v>
      </c>
      <c r="D212" s="27">
        <v>3.0</v>
      </c>
      <c r="E212" s="18" t="b">
        <v>0</v>
      </c>
      <c r="G212" s="20" t="s">
        <v>46</v>
      </c>
    </row>
    <row r="213" ht="22.5" hidden="1" customHeight="1">
      <c r="A213" s="28">
        <v>259.0</v>
      </c>
      <c r="B213" s="27">
        <v>18.0</v>
      </c>
      <c r="C213" s="18">
        <v>28.0</v>
      </c>
      <c r="D213" s="27">
        <v>3.0</v>
      </c>
      <c r="E213" s="18" t="b">
        <v>1</v>
      </c>
      <c r="G213" s="20" t="s">
        <v>46</v>
      </c>
    </row>
    <row r="214" ht="22.5" hidden="1" customHeight="1">
      <c r="A214" s="28">
        <v>260.0</v>
      </c>
      <c r="B214" s="28">
        <v>18.0</v>
      </c>
      <c r="C214" s="18">
        <v>29.0</v>
      </c>
      <c r="D214" s="27">
        <v>3.0</v>
      </c>
      <c r="E214" s="18" t="b">
        <v>0</v>
      </c>
      <c r="G214" s="20" t="s">
        <v>46</v>
      </c>
    </row>
    <row r="215" ht="22.5" hidden="1" customHeight="1">
      <c r="A215" s="28">
        <v>261.0</v>
      </c>
      <c r="B215" s="27">
        <v>19.0</v>
      </c>
      <c r="C215" s="18">
        <v>28.0</v>
      </c>
      <c r="D215" s="27">
        <v>3.0</v>
      </c>
      <c r="E215" s="18" t="b">
        <v>1</v>
      </c>
      <c r="G215" s="20" t="s">
        <v>46</v>
      </c>
    </row>
    <row r="216" ht="22.5" hidden="1" customHeight="1">
      <c r="A216" s="28">
        <v>262.0</v>
      </c>
      <c r="B216" s="28">
        <v>19.0</v>
      </c>
      <c r="C216" s="18">
        <v>29.0</v>
      </c>
      <c r="D216" s="28">
        <v>3.0</v>
      </c>
      <c r="E216" s="18" t="b">
        <v>0</v>
      </c>
      <c r="G216" s="20" t="s">
        <v>46</v>
      </c>
    </row>
    <row r="217" ht="22.5" hidden="1" customHeight="1">
      <c r="A217" s="28">
        <v>263.0</v>
      </c>
      <c r="B217" s="27">
        <v>20.0</v>
      </c>
      <c r="C217" s="18">
        <v>29.0</v>
      </c>
      <c r="D217" s="27">
        <v>3.0</v>
      </c>
      <c r="E217" s="18" t="b">
        <v>1</v>
      </c>
      <c r="G217" s="20" t="s">
        <v>46</v>
      </c>
    </row>
    <row r="218" ht="22.5" hidden="1" customHeight="1">
      <c r="A218" s="28">
        <v>264.0</v>
      </c>
      <c r="B218" s="27">
        <v>21.0</v>
      </c>
      <c r="C218" s="18">
        <v>29.0</v>
      </c>
      <c r="D218" s="27">
        <v>3.0</v>
      </c>
      <c r="E218" s="18" t="b">
        <v>1</v>
      </c>
      <c r="G218" s="20" t="s">
        <v>46</v>
      </c>
    </row>
    <row r="219" ht="22.5" hidden="1" customHeight="1">
      <c r="A219" s="28">
        <v>265.0</v>
      </c>
      <c r="B219" s="27">
        <v>22.0</v>
      </c>
      <c r="C219" s="18">
        <v>29.0</v>
      </c>
      <c r="D219" s="27">
        <v>3.0</v>
      </c>
      <c r="E219" s="18" t="b">
        <v>1</v>
      </c>
      <c r="G219" s="20" t="s">
        <v>46</v>
      </c>
    </row>
    <row r="220" ht="22.5" hidden="1" customHeight="1">
      <c r="A220" s="28">
        <v>266.0</v>
      </c>
      <c r="B220" s="27">
        <v>23.0</v>
      </c>
      <c r="C220" s="18">
        <v>29.0</v>
      </c>
      <c r="D220" s="27">
        <v>3.0</v>
      </c>
      <c r="E220" s="18" t="b">
        <v>1</v>
      </c>
      <c r="G220" s="20" t="s">
        <v>46</v>
      </c>
    </row>
    <row r="221" ht="22.5" hidden="1" customHeight="1">
      <c r="A221" s="28">
        <v>267.0</v>
      </c>
      <c r="B221" s="27">
        <v>24.0</v>
      </c>
      <c r="C221" s="18">
        <v>29.0</v>
      </c>
      <c r="D221" s="27">
        <v>3.0</v>
      </c>
      <c r="E221" s="18" t="b">
        <v>1</v>
      </c>
      <c r="G221" s="20" t="s">
        <v>46</v>
      </c>
    </row>
    <row r="222" ht="22.5" hidden="1" customHeight="1">
      <c r="A222" s="28">
        <v>268.0</v>
      </c>
      <c r="B222" s="27">
        <v>25.0</v>
      </c>
      <c r="C222" s="18">
        <v>29.0</v>
      </c>
      <c r="D222" s="27">
        <v>3.0</v>
      </c>
      <c r="E222" s="18" t="b">
        <v>1</v>
      </c>
      <c r="G222" s="20" t="s">
        <v>46</v>
      </c>
    </row>
    <row r="223" ht="22.5" hidden="1" customHeight="1">
      <c r="A223" s="28">
        <v>269.0</v>
      </c>
      <c r="B223" s="27">
        <v>26.0</v>
      </c>
      <c r="C223" s="18">
        <v>29.0</v>
      </c>
      <c r="D223" s="27">
        <v>3.0</v>
      </c>
      <c r="E223" s="18" t="b">
        <v>1</v>
      </c>
      <c r="G223" s="20" t="s">
        <v>46</v>
      </c>
    </row>
    <row r="224" ht="22.5" hidden="1" customHeight="1">
      <c r="A224" s="28">
        <v>270.0</v>
      </c>
      <c r="B224" s="27">
        <v>27.0</v>
      </c>
      <c r="C224" s="18">
        <v>29.0</v>
      </c>
      <c r="D224" s="27">
        <v>3.0</v>
      </c>
      <c r="E224" s="18" t="b">
        <v>1</v>
      </c>
      <c r="G224" s="20" t="s">
        <v>46</v>
      </c>
    </row>
    <row r="225" ht="22.5" hidden="1" customHeight="1">
      <c r="A225" s="28">
        <v>271.0</v>
      </c>
      <c r="B225" s="27">
        <v>28.0</v>
      </c>
      <c r="C225" s="18">
        <v>29.0</v>
      </c>
      <c r="D225" s="27">
        <v>3.0</v>
      </c>
      <c r="E225" s="18" t="b">
        <v>1</v>
      </c>
      <c r="G225" s="20" t="s">
        <v>46</v>
      </c>
    </row>
    <row r="226" ht="22.5" hidden="1" customHeight="1">
      <c r="A226" s="28">
        <v>272.0</v>
      </c>
      <c r="B226" s="27">
        <v>29.0</v>
      </c>
      <c r="C226" s="18">
        <v>29.0</v>
      </c>
      <c r="D226" s="27">
        <v>3.0</v>
      </c>
      <c r="E226" s="18" t="b">
        <v>1</v>
      </c>
      <c r="G226" s="20" t="s">
        <v>46</v>
      </c>
    </row>
    <row r="227" ht="22.5" hidden="1" customHeight="1">
      <c r="A227" s="28">
        <v>273.0</v>
      </c>
      <c r="B227" s="27">
        <v>30.0</v>
      </c>
      <c r="C227" s="18">
        <v>29.0</v>
      </c>
      <c r="D227" s="27">
        <v>3.0</v>
      </c>
      <c r="E227" s="18" t="b">
        <v>1</v>
      </c>
      <c r="G227" s="20" t="s">
        <v>46</v>
      </c>
    </row>
    <row r="228" ht="22.5" hidden="1" customHeight="1">
      <c r="A228" s="28">
        <v>274.0</v>
      </c>
      <c r="B228" s="27">
        <v>31.0</v>
      </c>
      <c r="C228" s="18">
        <v>29.0</v>
      </c>
      <c r="D228" s="27">
        <v>3.0</v>
      </c>
      <c r="E228" s="18" t="b">
        <v>1</v>
      </c>
      <c r="G228" s="20" t="s">
        <v>46</v>
      </c>
    </row>
    <row r="229" ht="22.5" hidden="1" customHeight="1">
      <c r="A229" s="28">
        <v>275.0</v>
      </c>
      <c r="B229" s="27">
        <v>32.0</v>
      </c>
      <c r="C229" s="18">
        <v>29.0</v>
      </c>
      <c r="D229" s="27">
        <v>3.0</v>
      </c>
      <c r="E229" s="18" t="b">
        <v>1</v>
      </c>
      <c r="G229" s="20" t="s">
        <v>46</v>
      </c>
    </row>
    <row r="230" ht="22.5" hidden="1" customHeight="1">
      <c r="A230" s="28">
        <v>276.0</v>
      </c>
      <c r="B230" s="27">
        <v>33.0</v>
      </c>
      <c r="C230" s="18">
        <v>29.0</v>
      </c>
      <c r="D230" s="27">
        <v>3.0</v>
      </c>
      <c r="E230" s="18" t="b">
        <v>1</v>
      </c>
      <c r="G230" s="20" t="s">
        <v>46</v>
      </c>
    </row>
    <row r="231" ht="22.5" hidden="1" customHeight="1">
      <c r="A231" s="28">
        <v>277.0</v>
      </c>
      <c r="B231" s="27">
        <v>34.0</v>
      </c>
      <c r="C231" s="18">
        <v>29.0</v>
      </c>
      <c r="D231" s="27">
        <v>3.0</v>
      </c>
      <c r="E231" s="18" t="b">
        <v>1</v>
      </c>
      <c r="G231" s="20" t="s">
        <v>46</v>
      </c>
    </row>
    <row r="232" ht="22.5" hidden="1" customHeight="1">
      <c r="A232" s="28">
        <v>278.0</v>
      </c>
      <c r="B232" s="27">
        <v>35.0</v>
      </c>
      <c r="C232" s="18">
        <v>29.0</v>
      </c>
      <c r="D232" s="27">
        <v>3.0</v>
      </c>
      <c r="E232" s="18" t="b">
        <v>1</v>
      </c>
      <c r="G232" s="20" t="s">
        <v>46</v>
      </c>
    </row>
    <row r="233" ht="22.5" hidden="1" customHeight="1">
      <c r="A233" s="28">
        <v>279.0</v>
      </c>
      <c r="B233" s="27">
        <v>36.0</v>
      </c>
      <c r="C233" s="18">
        <v>29.0</v>
      </c>
      <c r="D233" s="27">
        <v>3.0</v>
      </c>
      <c r="E233" s="18" t="b">
        <v>1</v>
      </c>
      <c r="G233" s="20" t="s">
        <v>46</v>
      </c>
    </row>
    <row r="234" ht="22.5" hidden="1" customHeight="1">
      <c r="A234" s="28">
        <v>280.0</v>
      </c>
      <c r="B234" s="27">
        <v>37.0</v>
      </c>
      <c r="C234" s="18">
        <v>29.0</v>
      </c>
      <c r="D234" s="27">
        <v>3.0</v>
      </c>
      <c r="E234" s="18" t="b">
        <v>1</v>
      </c>
      <c r="G234" s="20" t="s">
        <v>46</v>
      </c>
    </row>
    <row r="235" ht="22.5" hidden="1" customHeight="1">
      <c r="A235" s="28">
        <v>281.0</v>
      </c>
      <c r="B235" s="27">
        <v>38.0</v>
      </c>
      <c r="C235" s="18">
        <v>29.0</v>
      </c>
      <c r="D235" s="27">
        <v>3.0</v>
      </c>
      <c r="E235" s="18" t="b">
        <v>1</v>
      </c>
      <c r="G235" s="20" t="s">
        <v>46</v>
      </c>
    </row>
    <row r="236" ht="22.5" hidden="1" customHeight="1">
      <c r="A236" s="28">
        <v>282.0</v>
      </c>
      <c r="B236" s="27">
        <v>39.0</v>
      </c>
      <c r="C236" s="18">
        <v>29.0</v>
      </c>
      <c r="D236" s="27">
        <v>3.0</v>
      </c>
      <c r="E236" s="18" t="b">
        <v>1</v>
      </c>
      <c r="G236" s="20" t="s">
        <v>46</v>
      </c>
    </row>
    <row r="237" ht="22.5" hidden="1" customHeight="1">
      <c r="A237" s="28">
        <v>283.0</v>
      </c>
      <c r="B237" s="27">
        <v>40.0</v>
      </c>
      <c r="C237" s="18">
        <v>29.0</v>
      </c>
      <c r="D237" s="27">
        <v>3.0</v>
      </c>
      <c r="E237" s="18" t="b">
        <v>1</v>
      </c>
      <c r="G237" s="20" t="s">
        <v>46</v>
      </c>
    </row>
    <row r="238" ht="22.5" hidden="1" customHeight="1">
      <c r="A238" s="28">
        <v>284.0</v>
      </c>
      <c r="B238" s="27">
        <v>41.0</v>
      </c>
      <c r="C238" s="18">
        <v>29.0</v>
      </c>
      <c r="D238" s="27">
        <v>3.0</v>
      </c>
      <c r="E238" s="18" t="b">
        <v>1</v>
      </c>
      <c r="G238" s="20" t="s">
        <v>46</v>
      </c>
    </row>
    <row r="239" ht="22.5" hidden="1" customHeight="1">
      <c r="A239" s="28">
        <v>285.0</v>
      </c>
      <c r="B239" s="27">
        <v>42.0</v>
      </c>
      <c r="C239" s="18">
        <v>29.0</v>
      </c>
      <c r="D239" s="27">
        <v>3.0</v>
      </c>
      <c r="E239" s="18" t="b">
        <v>1</v>
      </c>
      <c r="G239" s="20" t="s">
        <v>46</v>
      </c>
    </row>
    <row r="240" ht="22.5" hidden="1" customHeight="1">
      <c r="A240" s="28">
        <v>286.0</v>
      </c>
      <c r="B240" s="27">
        <v>44.0</v>
      </c>
      <c r="C240" s="18">
        <v>31.0</v>
      </c>
      <c r="D240" s="27">
        <v>3.0</v>
      </c>
      <c r="E240" s="18" t="b">
        <v>1</v>
      </c>
      <c r="G240" s="20" t="s">
        <v>46</v>
      </c>
    </row>
    <row r="241" ht="22.5" hidden="1" customHeight="1">
      <c r="A241" s="28">
        <v>287.0</v>
      </c>
      <c r="B241" s="27">
        <v>46.0</v>
      </c>
      <c r="C241" s="18">
        <v>33.0</v>
      </c>
      <c r="D241" s="27">
        <v>3.0</v>
      </c>
      <c r="E241" s="18" t="b">
        <v>1</v>
      </c>
      <c r="G241" s="20" t="s">
        <v>46</v>
      </c>
    </row>
    <row r="242" ht="22.5" hidden="1" customHeight="1">
      <c r="A242" s="28">
        <v>288.0</v>
      </c>
      <c r="B242" s="27">
        <v>49.0</v>
      </c>
      <c r="C242" s="18">
        <v>33.0</v>
      </c>
      <c r="D242" s="27">
        <v>3.0</v>
      </c>
      <c r="E242" s="18" t="b">
        <v>1</v>
      </c>
      <c r="G242" s="20" t="s">
        <v>46</v>
      </c>
    </row>
    <row r="243" ht="22.5" hidden="1" customHeight="1">
      <c r="A243" s="28">
        <v>289.0</v>
      </c>
      <c r="B243" s="27">
        <v>54.0</v>
      </c>
      <c r="C243" s="18">
        <v>33.0</v>
      </c>
      <c r="D243" s="27">
        <v>3.0</v>
      </c>
      <c r="E243" s="18" t="b">
        <v>1</v>
      </c>
      <c r="G243" s="20" t="s">
        <v>46</v>
      </c>
    </row>
    <row r="244" ht="22.5" hidden="1" customHeight="1">
      <c r="A244" s="28">
        <v>290.0</v>
      </c>
      <c r="B244" s="27">
        <v>57.0</v>
      </c>
      <c r="C244" s="18">
        <v>33.0</v>
      </c>
      <c r="D244" s="27">
        <v>3.0</v>
      </c>
      <c r="E244" s="18" t="b">
        <v>1</v>
      </c>
      <c r="G244" s="20" t="s">
        <v>46</v>
      </c>
    </row>
    <row r="245" ht="22.5" hidden="1" customHeight="1">
      <c r="A245" s="28">
        <v>291.0</v>
      </c>
      <c r="B245" s="27">
        <v>58.0</v>
      </c>
      <c r="C245" s="18">
        <v>33.0</v>
      </c>
      <c r="D245" s="27">
        <v>3.0</v>
      </c>
      <c r="E245" s="18" t="b">
        <v>1</v>
      </c>
      <c r="G245" s="20" t="s">
        <v>46</v>
      </c>
    </row>
    <row r="246" ht="22.5" hidden="1" customHeight="1">
      <c r="A246" s="28">
        <v>292.0</v>
      </c>
      <c r="B246" s="27">
        <v>59.0</v>
      </c>
      <c r="C246" s="18">
        <v>33.0</v>
      </c>
      <c r="D246" s="27">
        <v>3.0</v>
      </c>
      <c r="E246" s="18" t="b">
        <v>1</v>
      </c>
      <c r="G246" s="20" t="s">
        <v>46</v>
      </c>
    </row>
    <row r="247" ht="22.5" hidden="1" customHeight="1">
      <c r="A247" s="28">
        <v>293.0</v>
      </c>
      <c r="B247" s="27">
        <v>60.0</v>
      </c>
      <c r="C247" s="18">
        <v>33.0</v>
      </c>
      <c r="D247" s="27">
        <v>3.0</v>
      </c>
      <c r="E247" s="18" t="b">
        <v>1</v>
      </c>
      <c r="G247" s="20" t="s">
        <v>46</v>
      </c>
    </row>
    <row r="248" ht="22.5" hidden="1" customHeight="1">
      <c r="A248" s="28">
        <v>294.0</v>
      </c>
      <c r="B248" s="27">
        <v>61.0</v>
      </c>
      <c r="C248" s="18">
        <v>33.0</v>
      </c>
      <c r="D248" s="27">
        <v>3.0</v>
      </c>
      <c r="E248" s="18" t="b">
        <v>1</v>
      </c>
      <c r="G248" s="20" t="s">
        <v>46</v>
      </c>
    </row>
    <row r="249" ht="22.5" hidden="1" customHeight="1">
      <c r="A249" s="28">
        <v>295.0</v>
      </c>
      <c r="B249" s="27">
        <v>63.0</v>
      </c>
      <c r="C249" s="18">
        <v>22.0</v>
      </c>
      <c r="D249" s="27">
        <v>3.0</v>
      </c>
      <c r="E249" s="18" t="b">
        <v>1</v>
      </c>
      <c r="G249" s="20" t="s">
        <v>46</v>
      </c>
    </row>
    <row r="250" ht="22.5" hidden="1" customHeight="1">
      <c r="A250" s="28">
        <v>296.0</v>
      </c>
      <c r="B250" s="27">
        <v>64.0</v>
      </c>
      <c r="C250" s="18">
        <v>34.0</v>
      </c>
      <c r="D250" s="27">
        <v>3.0</v>
      </c>
      <c r="E250" s="18" t="b">
        <v>1</v>
      </c>
      <c r="G250" s="20" t="s">
        <v>46</v>
      </c>
    </row>
    <row r="251" ht="22.5" hidden="1" customHeight="1">
      <c r="A251" s="28">
        <v>297.0</v>
      </c>
      <c r="B251" s="27">
        <v>65.0</v>
      </c>
      <c r="C251" s="18">
        <v>34.0</v>
      </c>
      <c r="D251" s="27">
        <v>3.0</v>
      </c>
      <c r="E251" s="18" t="b">
        <v>1</v>
      </c>
      <c r="G251" s="20" t="s">
        <v>46</v>
      </c>
    </row>
    <row r="252" ht="22.5" hidden="1" customHeight="1">
      <c r="A252" s="28">
        <v>298.0</v>
      </c>
      <c r="B252" s="27">
        <v>66.0</v>
      </c>
      <c r="C252" s="18">
        <v>22.0</v>
      </c>
      <c r="D252" s="27">
        <v>3.0</v>
      </c>
      <c r="E252" s="18" t="b">
        <v>1</v>
      </c>
      <c r="G252" s="20" t="s">
        <v>46</v>
      </c>
    </row>
    <row r="253" ht="22.5" hidden="1" customHeight="1">
      <c r="A253" s="28">
        <v>299.0</v>
      </c>
      <c r="B253" s="27">
        <v>67.0</v>
      </c>
      <c r="C253" s="18">
        <v>22.0</v>
      </c>
      <c r="D253" s="27">
        <v>3.0</v>
      </c>
      <c r="E253" s="18" t="b">
        <v>1</v>
      </c>
      <c r="G253" s="20" t="s">
        <v>46</v>
      </c>
    </row>
    <row r="254" ht="22.5" hidden="1" customHeight="1">
      <c r="A254" s="28">
        <v>300.0</v>
      </c>
      <c r="B254" s="27">
        <v>68.0</v>
      </c>
      <c r="C254" s="18">
        <v>22.0</v>
      </c>
      <c r="D254" s="27">
        <v>3.0</v>
      </c>
      <c r="E254" s="18" t="b">
        <v>1</v>
      </c>
      <c r="G254" s="20" t="s">
        <v>46</v>
      </c>
    </row>
    <row r="255" ht="22.5" hidden="1" customHeight="1">
      <c r="A255" s="28">
        <v>301.0</v>
      </c>
      <c r="B255" s="27">
        <v>70.0</v>
      </c>
      <c r="C255" s="18">
        <v>22.0</v>
      </c>
      <c r="D255" s="27">
        <v>3.0</v>
      </c>
      <c r="E255" s="18" t="b">
        <v>1</v>
      </c>
      <c r="G255" s="20" t="s">
        <v>46</v>
      </c>
    </row>
    <row r="256" ht="22.5" hidden="1" customHeight="1">
      <c r="A256" s="28">
        <v>302.0</v>
      </c>
      <c r="B256" s="27">
        <v>71.0</v>
      </c>
      <c r="C256" s="18">
        <v>22.0</v>
      </c>
      <c r="D256" s="27">
        <v>3.0</v>
      </c>
      <c r="E256" s="18" t="b">
        <v>1</v>
      </c>
      <c r="G256" s="20" t="s">
        <v>46</v>
      </c>
    </row>
    <row r="257" ht="22.5" hidden="1" customHeight="1">
      <c r="A257" s="28">
        <v>303.0</v>
      </c>
      <c r="B257" s="27">
        <v>72.0</v>
      </c>
      <c r="C257" s="18">
        <v>22.0</v>
      </c>
      <c r="D257" s="27">
        <v>3.0</v>
      </c>
      <c r="E257" s="18" t="b">
        <v>1</v>
      </c>
      <c r="G257" s="20" t="s">
        <v>46</v>
      </c>
    </row>
    <row r="258" ht="22.5" hidden="1" customHeight="1">
      <c r="A258" s="28">
        <v>304.0</v>
      </c>
      <c r="B258" s="27">
        <v>73.0</v>
      </c>
      <c r="C258" s="18">
        <v>22.0</v>
      </c>
      <c r="D258" s="27">
        <v>3.0</v>
      </c>
      <c r="E258" s="18" t="b">
        <v>1</v>
      </c>
      <c r="G258" s="20" t="s">
        <v>46</v>
      </c>
    </row>
    <row r="259" ht="22.5" hidden="1" customHeight="1">
      <c r="A259" s="28">
        <v>305.0</v>
      </c>
      <c r="B259" s="27">
        <v>74.0</v>
      </c>
      <c r="C259" s="18">
        <v>22.0</v>
      </c>
      <c r="D259" s="27">
        <v>3.0</v>
      </c>
      <c r="E259" s="18" t="b">
        <v>1</v>
      </c>
      <c r="G259" s="20" t="s">
        <v>46</v>
      </c>
    </row>
    <row r="260" ht="22.5" hidden="1" customHeight="1">
      <c r="A260" s="28">
        <v>306.0</v>
      </c>
      <c r="B260" s="27">
        <v>75.0</v>
      </c>
      <c r="C260" s="18">
        <v>22.0</v>
      </c>
      <c r="D260" s="27">
        <v>3.0</v>
      </c>
      <c r="E260" s="18" t="b">
        <v>1</v>
      </c>
      <c r="G260" s="20" t="s">
        <v>46</v>
      </c>
    </row>
    <row r="261" ht="22.5" hidden="1" customHeight="1">
      <c r="A261" s="28">
        <v>307.0</v>
      </c>
      <c r="B261" s="27">
        <v>76.0</v>
      </c>
      <c r="C261" s="18">
        <v>22.0</v>
      </c>
      <c r="D261" s="27">
        <v>3.0</v>
      </c>
      <c r="E261" s="18" t="b">
        <v>1</v>
      </c>
      <c r="G261" s="20" t="s">
        <v>46</v>
      </c>
    </row>
    <row r="262" ht="22.5" hidden="1" customHeight="1">
      <c r="A262" s="28">
        <v>308.0</v>
      </c>
      <c r="B262" s="27">
        <v>77.0</v>
      </c>
      <c r="C262" s="18">
        <v>22.0</v>
      </c>
      <c r="D262" s="27">
        <v>3.0</v>
      </c>
      <c r="E262" s="18" t="b">
        <v>1</v>
      </c>
      <c r="G262" s="20" t="s">
        <v>46</v>
      </c>
    </row>
    <row r="263" ht="22.5" hidden="1" customHeight="1">
      <c r="A263" s="28">
        <v>309.0</v>
      </c>
      <c r="B263" s="27">
        <v>78.0</v>
      </c>
      <c r="C263" s="18">
        <v>22.0</v>
      </c>
      <c r="D263" s="27">
        <v>3.0</v>
      </c>
      <c r="E263" s="18" t="b">
        <v>1</v>
      </c>
      <c r="G263" s="20" t="s">
        <v>46</v>
      </c>
    </row>
    <row r="264" ht="22.5" hidden="1" customHeight="1">
      <c r="A264" s="28">
        <v>310.0</v>
      </c>
      <c r="B264" s="27">
        <v>79.0</v>
      </c>
      <c r="C264" s="18">
        <v>22.0</v>
      </c>
      <c r="D264" s="27">
        <v>3.0</v>
      </c>
      <c r="E264" s="18" t="b">
        <v>1</v>
      </c>
      <c r="G264" s="20" t="s">
        <v>46</v>
      </c>
    </row>
    <row r="265" ht="22.5" hidden="1" customHeight="1">
      <c r="A265" s="28">
        <v>311.0</v>
      </c>
      <c r="B265" s="27">
        <v>80.0</v>
      </c>
      <c r="C265" s="18">
        <v>22.0</v>
      </c>
      <c r="D265" s="27">
        <v>3.0</v>
      </c>
      <c r="E265" s="18" t="b">
        <v>1</v>
      </c>
      <c r="G265" s="20" t="s">
        <v>46</v>
      </c>
    </row>
    <row r="266" ht="22.5" hidden="1" customHeight="1">
      <c r="A266" s="28">
        <v>312.0</v>
      </c>
      <c r="B266" s="27">
        <v>81.0</v>
      </c>
      <c r="C266" s="18">
        <v>22.0</v>
      </c>
      <c r="D266" s="27">
        <v>3.0</v>
      </c>
      <c r="E266" s="18" t="b">
        <v>1</v>
      </c>
      <c r="G266" s="20" t="s">
        <v>46</v>
      </c>
    </row>
    <row r="267" ht="22.5" hidden="1" customHeight="1">
      <c r="A267" s="28">
        <v>313.0</v>
      </c>
      <c r="B267" s="27">
        <v>83.0</v>
      </c>
      <c r="C267" s="18">
        <v>22.0</v>
      </c>
      <c r="D267" s="27">
        <v>3.0</v>
      </c>
      <c r="E267" s="18" t="b">
        <v>1</v>
      </c>
      <c r="G267" s="20" t="s">
        <v>46</v>
      </c>
    </row>
    <row r="268" ht="22.5" hidden="1" customHeight="1">
      <c r="A268" s="28">
        <v>314.0</v>
      </c>
      <c r="B268" s="27">
        <v>84.0</v>
      </c>
      <c r="C268" s="18">
        <v>22.0</v>
      </c>
      <c r="D268" s="27">
        <v>3.0</v>
      </c>
      <c r="E268" s="18" t="b">
        <v>1</v>
      </c>
      <c r="G268" s="20" t="s">
        <v>46</v>
      </c>
    </row>
    <row r="269" ht="22.5" hidden="1" customHeight="1">
      <c r="A269" s="28">
        <v>339.0</v>
      </c>
      <c r="B269" s="27">
        <v>109.0</v>
      </c>
      <c r="C269" s="18">
        <v>39.0</v>
      </c>
      <c r="D269" s="27">
        <v>3.0</v>
      </c>
      <c r="E269" s="18" t="b">
        <v>1</v>
      </c>
      <c r="G269" s="20" t="s">
        <v>46</v>
      </c>
    </row>
    <row r="270" ht="22.5" hidden="1" customHeight="1">
      <c r="A270" s="28">
        <v>340.0</v>
      </c>
      <c r="B270" s="27">
        <v>110.0</v>
      </c>
      <c r="C270" s="18">
        <v>29.0</v>
      </c>
      <c r="D270" s="27">
        <v>3.0</v>
      </c>
      <c r="E270" s="18" t="b">
        <v>1</v>
      </c>
      <c r="G270" s="20" t="s">
        <v>46</v>
      </c>
    </row>
    <row r="271" ht="22.5" hidden="1" customHeight="1">
      <c r="A271" s="28">
        <v>341.0</v>
      </c>
      <c r="B271" s="27">
        <v>111.0</v>
      </c>
      <c r="C271" s="18">
        <v>34.0</v>
      </c>
      <c r="D271" s="27">
        <v>3.0</v>
      </c>
      <c r="E271" s="18" t="b">
        <v>1</v>
      </c>
      <c r="G271" s="20" t="s">
        <v>46</v>
      </c>
    </row>
    <row r="272" ht="22.5" hidden="1" customHeight="1">
      <c r="A272" s="28">
        <v>342.0</v>
      </c>
      <c r="B272" s="27">
        <v>1.0</v>
      </c>
      <c r="C272" s="18">
        <v>28.0</v>
      </c>
      <c r="D272" s="27">
        <v>4.0</v>
      </c>
      <c r="E272" s="18" t="b">
        <v>1</v>
      </c>
      <c r="G272" s="20" t="s">
        <v>46</v>
      </c>
    </row>
    <row r="273" ht="22.5" hidden="1" customHeight="1">
      <c r="A273" s="28">
        <v>343.0</v>
      </c>
      <c r="B273" s="27">
        <v>1.0</v>
      </c>
      <c r="C273" s="18">
        <v>29.0</v>
      </c>
      <c r="D273" s="27">
        <v>4.0</v>
      </c>
      <c r="E273" s="18" t="b">
        <v>0</v>
      </c>
      <c r="G273" s="20" t="s">
        <v>46</v>
      </c>
    </row>
    <row r="274" ht="22.5" hidden="1" customHeight="1">
      <c r="A274" s="28">
        <v>344.0</v>
      </c>
      <c r="B274" s="27">
        <v>2.0</v>
      </c>
      <c r="C274" s="18">
        <v>28.0</v>
      </c>
      <c r="D274" s="27">
        <v>4.0</v>
      </c>
      <c r="E274" s="18" t="b">
        <v>1</v>
      </c>
      <c r="G274" s="20" t="s">
        <v>46</v>
      </c>
    </row>
    <row r="275" ht="22.5" hidden="1" customHeight="1">
      <c r="A275" s="28">
        <v>345.0</v>
      </c>
      <c r="B275" s="28">
        <v>2.0</v>
      </c>
      <c r="C275" s="18">
        <v>29.0</v>
      </c>
      <c r="D275" s="27">
        <v>4.0</v>
      </c>
      <c r="E275" s="18" t="b">
        <v>0</v>
      </c>
      <c r="G275" s="20" t="s">
        <v>46</v>
      </c>
    </row>
    <row r="276" ht="22.5" hidden="1" customHeight="1">
      <c r="A276" s="28">
        <v>346.0</v>
      </c>
      <c r="B276" s="27">
        <v>3.0</v>
      </c>
      <c r="C276" s="18">
        <v>28.0</v>
      </c>
      <c r="D276" s="27">
        <v>4.0</v>
      </c>
      <c r="E276" s="18" t="b">
        <v>1</v>
      </c>
      <c r="G276" s="20" t="s">
        <v>46</v>
      </c>
    </row>
    <row r="277" ht="22.5" hidden="1" customHeight="1">
      <c r="A277" s="28">
        <v>347.0</v>
      </c>
      <c r="B277" s="28">
        <v>3.0</v>
      </c>
      <c r="C277" s="18">
        <v>29.0</v>
      </c>
      <c r="D277" s="27">
        <v>4.0</v>
      </c>
      <c r="E277" s="18" t="b">
        <v>0</v>
      </c>
      <c r="G277" s="20" t="s">
        <v>46</v>
      </c>
    </row>
    <row r="278" ht="22.5" hidden="1" customHeight="1">
      <c r="A278" s="28">
        <v>348.0</v>
      </c>
      <c r="B278" s="27">
        <v>4.0</v>
      </c>
      <c r="C278" s="18">
        <v>28.0</v>
      </c>
      <c r="D278" s="27">
        <v>4.0</v>
      </c>
      <c r="E278" s="18" t="b">
        <v>1</v>
      </c>
      <c r="G278" s="20" t="s">
        <v>46</v>
      </c>
    </row>
    <row r="279" ht="22.5" hidden="1" customHeight="1">
      <c r="A279" s="28">
        <v>349.0</v>
      </c>
      <c r="B279" s="28">
        <v>4.0</v>
      </c>
      <c r="C279" s="18">
        <v>29.0</v>
      </c>
      <c r="D279" s="27">
        <v>4.0</v>
      </c>
      <c r="E279" s="18" t="b">
        <v>0</v>
      </c>
      <c r="G279" s="20" t="s">
        <v>46</v>
      </c>
    </row>
    <row r="280" ht="22.5" hidden="1" customHeight="1">
      <c r="A280" s="28">
        <v>350.0</v>
      </c>
      <c r="B280" s="27">
        <v>5.0</v>
      </c>
      <c r="C280" s="18">
        <v>22.0</v>
      </c>
      <c r="D280" s="27">
        <v>4.0</v>
      </c>
      <c r="E280" s="18" t="b">
        <v>1</v>
      </c>
      <c r="G280" s="20" t="s">
        <v>46</v>
      </c>
    </row>
    <row r="281" ht="22.5" hidden="1" customHeight="1">
      <c r="A281" s="28">
        <v>352.0</v>
      </c>
      <c r="B281" s="27">
        <v>6.0</v>
      </c>
      <c r="C281" s="18">
        <v>28.0</v>
      </c>
      <c r="D281" s="27">
        <v>4.0</v>
      </c>
      <c r="E281" s="18" t="b">
        <v>1</v>
      </c>
      <c r="G281" s="20" t="s">
        <v>46</v>
      </c>
    </row>
    <row r="282" ht="22.5" hidden="1" customHeight="1">
      <c r="A282" s="28">
        <v>353.0</v>
      </c>
      <c r="B282" s="28">
        <v>6.0</v>
      </c>
      <c r="C282" s="18">
        <v>29.0</v>
      </c>
      <c r="D282" s="27">
        <v>4.0</v>
      </c>
      <c r="E282" s="18" t="b">
        <v>0</v>
      </c>
      <c r="G282" s="20" t="s">
        <v>46</v>
      </c>
    </row>
    <row r="283" ht="22.5" hidden="1" customHeight="1">
      <c r="A283" s="28">
        <v>354.0</v>
      </c>
      <c r="B283" s="27">
        <v>7.0</v>
      </c>
      <c r="C283" s="18">
        <v>28.0</v>
      </c>
      <c r="D283" s="27">
        <v>4.0</v>
      </c>
      <c r="E283" s="18" t="b">
        <v>1</v>
      </c>
      <c r="G283" s="20" t="s">
        <v>46</v>
      </c>
    </row>
    <row r="284" ht="22.5" hidden="1" customHeight="1">
      <c r="A284" s="28">
        <v>355.0</v>
      </c>
      <c r="B284" s="28">
        <v>7.0</v>
      </c>
      <c r="C284" s="18">
        <v>29.0</v>
      </c>
      <c r="D284" s="27">
        <v>4.0</v>
      </c>
      <c r="E284" s="18" t="b">
        <v>0</v>
      </c>
      <c r="G284" s="20" t="s">
        <v>46</v>
      </c>
    </row>
    <row r="285" ht="22.5" hidden="1" customHeight="1">
      <c r="A285" s="28">
        <v>356.0</v>
      </c>
      <c r="B285" s="27">
        <v>8.0</v>
      </c>
      <c r="C285" s="18">
        <v>28.0</v>
      </c>
      <c r="D285" s="27">
        <v>4.0</v>
      </c>
      <c r="E285" s="18" t="b">
        <v>1</v>
      </c>
      <c r="G285" s="20" t="s">
        <v>46</v>
      </c>
    </row>
    <row r="286" ht="22.5" hidden="1" customHeight="1">
      <c r="A286" s="28">
        <v>357.0</v>
      </c>
      <c r="B286" s="28">
        <v>8.0</v>
      </c>
      <c r="C286" s="18">
        <v>29.0</v>
      </c>
      <c r="D286" s="27">
        <v>4.0</v>
      </c>
      <c r="E286" s="18" t="b">
        <v>0</v>
      </c>
      <c r="G286" s="20" t="s">
        <v>46</v>
      </c>
    </row>
    <row r="287" ht="22.5" hidden="1" customHeight="1">
      <c r="A287" s="28">
        <v>358.0</v>
      </c>
      <c r="B287" s="27">
        <v>9.0</v>
      </c>
      <c r="C287" s="18">
        <v>28.0</v>
      </c>
      <c r="D287" s="27">
        <v>4.0</v>
      </c>
      <c r="E287" s="18" t="b">
        <v>1</v>
      </c>
      <c r="G287" s="20" t="s">
        <v>46</v>
      </c>
    </row>
    <row r="288" ht="22.5" hidden="1" customHeight="1">
      <c r="A288" s="28">
        <v>359.0</v>
      </c>
      <c r="B288" s="28">
        <v>9.0</v>
      </c>
      <c r="C288" s="18">
        <v>29.0</v>
      </c>
      <c r="D288" s="27">
        <v>4.0</v>
      </c>
      <c r="E288" s="18" t="b">
        <v>0</v>
      </c>
      <c r="G288" s="20" t="s">
        <v>46</v>
      </c>
    </row>
    <row r="289" ht="22.5" hidden="1" customHeight="1">
      <c r="A289" s="28">
        <v>360.0</v>
      </c>
      <c r="B289" s="27">
        <v>10.0</v>
      </c>
      <c r="C289" s="18">
        <v>28.0</v>
      </c>
      <c r="D289" s="27">
        <v>4.0</v>
      </c>
      <c r="E289" s="18" t="b">
        <v>1</v>
      </c>
      <c r="G289" s="20" t="s">
        <v>46</v>
      </c>
    </row>
    <row r="290" ht="22.5" hidden="1" customHeight="1">
      <c r="A290" s="28">
        <v>361.0</v>
      </c>
      <c r="B290" s="28">
        <v>10.0</v>
      </c>
      <c r="C290" s="18">
        <v>29.0</v>
      </c>
      <c r="D290" s="27">
        <v>4.0</v>
      </c>
      <c r="E290" s="18" t="b">
        <v>0</v>
      </c>
      <c r="G290" s="20" t="s">
        <v>46</v>
      </c>
    </row>
    <row r="291" ht="22.5" hidden="1" customHeight="1">
      <c r="A291" s="28">
        <v>362.0</v>
      </c>
      <c r="B291" s="27">
        <v>11.0</v>
      </c>
      <c r="C291" s="18">
        <v>28.0</v>
      </c>
      <c r="D291" s="27">
        <v>4.0</v>
      </c>
      <c r="E291" s="18" t="b">
        <v>1</v>
      </c>
      <c r="G291" s="20" t="s">
        <v>46</v>
      </c>
    </row>
    <row r="292" ht="22.5" hidden="1" customHeight="1">
      <c r="A292" s="28">
        <v>363.0</v>
      </c>
      <c r="B292" s="28">
        <v>11.0</v>
      </c>
      <c r="C292" s="18">
        <v>29.0</v>
      </c>
      <c r="D292" s="27">
        <v>4.0</v>
      </c>
      <c r="E292" s="18" t="b">
        <v>0</v>
      </c>
      <c r="G292" s="20" t="s">
        <v>46</v>
      </c>
    </row>
    <row r="293" ht="22.5" hidden="1" customHeight="1">
      <c r="A293" s="28">
        <v>364.0</v>
      </c>
      <c r="B293" s="27">
        <v>12.0</v>
      </c>
      <c r="C293" s="18">
        <v>28.0</v>
      </c>
      <c r="D293" s="27">
        <v>4.0</v>
      </c>
      <c r="E293" s="18" t="b">
        <v>1</v>
      </c>
      <c r="G293" s="20" t="s">
        <v>46</v>
      </c>
    </row>
    <row r="294" ht="22.5" hidden="1" customHeight="1">
      <c r="A294" s="28">
        <v>365.0</v>
      </c>
      <c r="B294" s="28">
        <v>12.0</v>
      </c>
      <c r="C294" s="18">
        <v>29.0</v>
      </c>
      <c r="D294" s="27">
        <v>4.0</v>
      </c>
      <c r="E294" s="18" t="b">
        <v>0</v>
      </c>
      <c r="G294" s="20" t="s">
        <v>46</v>
      </c>
    </row>
    <row r="295" ht="22.5" hidden="1" customHeight="1">
      <c r="A295" s="28">
        <v>366.0</v>
      </c>
      <c r="B295" s="27">
        <v>13.0</v>
      </c>
      <c r="C295" s="18">
        <v>28.0</v>
      </c>
      <c r="D295" s="27">
        <v>4.0</v>
      </c>
      <c r="E295" s="18" t="b">
        <v>1</v>
      </c>
      <c r="G295" s="20" t="s">
        <v>46</v>
      </c>
    </row>
    <row r="296" ht="22.5" hidden="1" customHeight="1">
      <c r="A296" s="28">
        <v>367.0</v>
      </c>
      <c r="B296" s="28">
        <v>13.0</v>
      </c>
      <c r="C296" s="18">
        <v>29.0</v>
      </c>
      <c r="D296" s="27">
        <v>4.0</v>
      </c>
      <c r="E296" s="18" t="b">
        <v>0</v>
      </c>
      <c r="G296" s="20" t="s">
        <v>46</v>
      </c>
    </row>
    <row r="297" ht="22.5" hidden="1" customHeight="1">
      <c r="A297" s="28">
        <v>368.0</v>
      </c>
      <c r="B297" s="27">
        <v>14.0</v>
      </c>
      <c r="C297" s="18">
        <v>28.0</v>
      </c>
      <c r="D297" s="27">
        <v>4.0</v>
      </c>
      <c r="E297" s="18" t="b">
        <v>1</v>
      </c>
      <c r="G297" s="20" t="s">
        <v>46</v>
      </c>
    </row>
    <row r="298" ht="22.5" hidden="1" customHeight="1">
      <c r="A298" s="28">
        <v>369.0</v>
      </c>
      <c r="B298" s="28">
        <v>14.0</v>
      </c>
      <c r="C298" s="18">
        <v>29.0</v>
      </c>
      <c r="D298" s="27">
        <v>4.0</v>
      </c>
      <c r="E298" s="18" t="b">
        <v>0</v>
      </c>
      <c r="G298" s="20" t="s">
        <v>46</v>
      </c>
    </row>
    <row r="299" ht="22.5" hidden="1" customHeight="1">
      <c r="A299" s="28">
        <v>370.0</v>
      </c>
      <c r="B299" s="27">
        <v>15.0</v>
      </c>
      <c r="C299" s="18">
        <v>28.0</v>
      </c>
      <c r="D299" s="27">
        <v>4.0</v>
      </c>
      <c r="E299" s="18" t="b">
        <v>1</v>
      </c>
      <c r="G299" s="20" t="s">
        <v>46</v>
      </c>
    </row>
    <row r="300" ht="22.5" hidden="1" customHeight="1">
      <c r="A300" s="28">
        <v>371.0</v>
      </c>
      <c r="B300" s="28">
        <v>15.0</v>
      </c>
      <c r="C300" s="18">
        <v>29.0</v>
      </c>
      <c r="D300" s="27">
        <v>4.0</v>
      </c>
      <c r="E300" s="18" t="b">
        <v>0</v>
      </c>
      <c r="G300" s="20" t="s">
        <v>46</v>
      </c>
    </row>
    <row r="301" ht="22.5" hidden="1" customHeight="1">
      <c r="A301" s="28">
        <v>372.0</v>
      </c>
      <c r="B301" s="27">
        <v>16.0</v>
      </c>
      <c r="C301" s="18">
        <v>28.0</v>
      </c>
      <c r="D301" s="27">
        <v>4.0</v>
      </c>
      <c r="E301" s="18" t="b">
        <v>1</v>
      </c>
      <c r="G301" s="20" t="s">
        <v>46</v>
      </c>
    </row>
    <row r="302" ht="22.5" hidden="1" customHeight="1">
      <c r="A302" s="28">
        <v>373.0</v>
      </c>
      <c r="B302" s="28">
        <v>16.0</v>
      </c>
      <c r="C302" s="18">
        <v>29.0</v>
      </c>
      <c r="D302" s="27">
        <v>4.0</v>
      </c>
      <c r="E302" s="18" t="b">
        <v>0</v>
      </c>
      <c r="G302" s="20" t="s">
        <v>46</v>
      </c>
    </row>
    <row r="303" ht="22.5" hidden="1" customHeight="1">
      <c r="A303" s="28">
        <v>374.0</v>
      </c>
      <c r="B303" s="27">
        <v>17.0</v>
      </c>
      <c r="C303" s="18">
        <v>28.0</v>
      </c>
      <c r="D303" s="27">
        <v>4.0</v>
      </c>
      <c r="E303" s="18" t="b">
        <v>1</v>
      </c>
      <c r="G303" s="20" t="s">
        <v>46</v>
      </c>
    </row>
    <row r="304" ht="22.5" hidden="1" customHeight="1">
      <c r="A304" s="28">
        <v>375.0</v>
      </c>
      <c r="B304" s="28">
        <v>17.0</v>
      </c>
      <c r="C304" s="18">
        <v>29.0</v>
      </c>
      <c r="D304" s="27">
        <v>4.0</v>
      </c>
      <c r="E304" s="18" t="b">
        <v>0</v>
      </c>
      <c r="G304" s="20" t="s">
        <v>46</v>
      </c>
    </row>
    <row r="305" ht="22.5" hidden="1" customHeight="1">
      <c r="A305" s="28">
        <v>376.0</v>
      </c>
      <c r="B305" s="27">
        <v>18.0</v>
      </c>
      <c r="C305" s="18">
        <v>28.0</v>
      </c>
      <c r="D305" s="27">
        <v>4.0</v>
      </c>
      <c r="E305" s="18" t="b">
        <v>1</v>
      </c>
      <c r="G305" s="20" t="s">
        <v>46</v>
      </c>
    </row>
    <row r="306" ht="22.5" hidden="1" customHeight="1">
      <c r="A306" s="28">
        <v>377.0</v>
      </c>
      <c r="B306" s="28">
        <v>18.0</v>
      </c>
      <c r="C306" s="18">
        <v>29.0</v>
      </c>
      <c r="D306" s="27">
        <v>4.0</v>
      </c>
      <c r="E306" s="18" t="b">
        <v>0</v>
      </c>
      <c r="G306" s="20" t="s">
        <v>46</v>
      </c>
    </row>
    <row r="307" ht="22.5" hidden="1" customHeight="1">
      <c r="A307" s="28">
        <v>378.0</v>
      </c>
      <c r="B307" s="27">
        <v>19.0</v>
      </c>
      <c r="C307" s="18">
        <v>28.0</v>
      </c>
      <c r="D307" s="27">
        <v>4.0</v>
      </c>
      <c r="E307" s="18" t="b">
        <v>1</v>
      </c>
      <c r="G307" s="20" t="s">
        <v>46</v>
      </c>
    </row>
    <row r="308" ht="22.5" hidden="1" customHeight="1">
      <c r="A308" s="28">
        <v>379.0</v>
      </c>
      <c r="B308" s="27">
        <v>20.0</v>
      </c>
      <c r="C308" s="18">
        <v>29.0</v>
      </c>
      <c r="D308" s="27">
        <v>4.0</v>
      </c>
      <c r="E308" s="18" t="b">
        <v>1</v>
      </c>
      <c r="G308" s="20" t="s">
        <v>46</v>
      </c>
    </row>
    <row r="309" ht="22.5" hidden="1" customHeight="1">
      <c r="A309" s="28">
        <v>380.0</v>
      </c>
      <c r="B309" s="27">
        <v>21.0</v>
      </c>
      <c r="C309" s="18">
        <v>29.0</v>
      </c>
      <c r="D309" s="27">
        <v>4.0</v>
      </c>
      <c r="E309" s="18" t="b">
        <v>1</v>
      </c>
      <c r="G309" s="20" t="s">
        <v>46</v>
      </c>
    </row>
    <row r="310" ht="22.5" hidden="1" customHeight="1">
      <c r="A310" s="28">
        <v>381.0</v>
      </c>
      <c r="B310" s="27">
        <v>22.0</v>
      </c>
      <c r="C310" s="18">
        <v>29.0</v>
      </c>
      <c r="D310" s="27">
        <v>4.0</v>
      </c>
      <c r="E310" s="18" t="b">
        <v>1</v>
      </c>
      <c r="G310" s="20" t="s">
        <v>46</v>
      </c>
    </row>
    <row r="311" ht="22.5" hidden="1" customHeight="1">
      <c r="A311" s="28">
        <v>382.0</v>
      </c>
      <c r="B311" s="27">
        <v>23.0</v>
      </c>
      <c r="C311" s="18">
        <v>29.0</v>
      </c>
      <c r="D311" s="27">
        <v>4.0</v>
      </c>
      <c r="E311" s="18" t="b">
        <v>1</v>
      </c>
      <c r="G311" s="20" t="s">
        <v>46</v>
      </c>
    </row>
    <row r="312" ht="22.5" hidden="1" customHeight="1">
      <c r="A312" s="28">
        <v>383.0</v>
      </c>
      <c r="B312" s="27">
        <v>24.0</v>
      </c>
      <c r="C312" s="18">
        <v>29.0</v>
      </c>
      <c r="D312" s="27">
        <v>4.0</v>
      </c>
      <c r="E312" s="18" t="b">
        <v>1</v>
      </c>
      <c r="G312" s="20" t="s">
        <v>46</v>
      </c>
    </row>
    <row r="313" ht="22.5" hidden="1" customHeight="1">
      <c r="A313" s="28">
        <v>384.0</v>
      </c>
      <c r="B313" s="27">
        <v>25.0</v>
      </c>
      <c r="C313" s="18">
        <v>29.0</v>
      </c>
      <c r="D313" s="27">
        <v>4.0</v>
      </c>
      <c r="E313" s="18" t="b">
        <v>1</v>
      </c>
      <c r="G313" s="20" t="s">
        <v>46</v>
      </c>
    </row>
    <row r="314" ht="22.5" hidden="1" customHeight="1">
      <c r="A314" s="28">
        <v>385.0</v>
      </c>
      <c r="B314" s="27">
        <v>26.0</v>
      </c>
      <c r="C314" s="18">
        <v>29.0</v>
      </c>
      <c r="D314" s="27">
        <v>4.0</v>
      </c>
      <c r="E314" s="18" t="b">
        <v>1</v>
      </c>
      <c r="G314" s="20" t="s">
        <v>46</v>
      </c>
    </row>
    <row r="315" ht="22.5" hidden="1" customHeight="1">
      <c r="A315" s="28">
        <v>386.0</v>
      </c>
      <c r="B315" s="27">
        <v>27.0</v>
      </c>
      <c r="C315" s="18">
        <v>29.0</v>
      </c>
      <c r="D315" s="27">
        <v>4.0</v>
      </c>
      <c r="E315" s="18" t="b">
        <v>1</v>
      </c>
      <c r="G315" s="20" t="s">
        <v>46</v>
      </c>
    </row>
    <row r="316" ht="22.5" hidden="1" customHeight="1">
      <c r="A316" s="28">
        <v>387.0</v>
      </c>
      <c r="B316" s="27">
        <v>28.0</v>
      </c>
      <c r="C316" s="18">
        <v>29.0</v>
      </c>
      <c r="D316" s="27">
        <v>4.0</v>
      </c>
      <c r="E316" s="18" t="b">
        <v>1</v>
      </c>
      <c r="G316" s="20" t="s">
        <v>46</v>
      </c>
    </row>
    <row r="317" ht="22.5" hidden="1" customHeight="1">
      <c r="A317" s="28">
        <v>388.0</v>
      </c>
      <c r="B317" s="27">
        <v>29.0</v>
      </c>
      <c r="C317" s="18">
        <v>22.0</v>
      </c>
      <c r="D317" s="27">
        <v>4.0</v>
      </c>
      <c r="E317" s="18" t="b">
        <v>1</v>
      </c>
      <c r="G317" s="20" t="s">
        <v>46</v>
      </c>
    </row>
    <row r="318" ht="22.5" hidden="1" customHeight="1">
      <c r="A318" s="28">
        <v>389.0</v>
      </c>
      <c r="B318" s="27">
        <v>30.0</v>
      </c>
      <c r="C318" s="18">
        <v>22.0</v>
      </c>
      <c r="D318" s="27">
        <v>4.0</v>
      </c>
      <c r="E318" s="18" t="b">
        <v>1</v>
      </c>
      <c r="G318" s="20" t="s">
        <v>46</v>
      </c>
    </row>
    <row r="319" ht="22.5" hidden="1" customHeight="1">
      <c r="A319" s="28">
        <v>390.0</v>
      </c>
      <c r="B319" s="27">
        <v>31.0</v>
      </c>
      <c r="C319" s="18">
        <v>29.0</v>
      </c>
      <c r="D319" s="27">
        <v>4.0</v>
      </c>
      <c r="E319" s="18" t="b">
        <v>1</v>
      </c>
      <c r="G319" s="20" t="s">
        <v>46</v>
      </c>
    </row>
    <row r="320" ht="22.5" hidden="1" customHeight="1">
      <c r="A320" s="28">
        <v>391.0</v>
      </c>
      <c r="B320" s="27">
        <v>32.0</v>
      </c>
      <c r="C320" s="18">
        <v>22.0</v>
      </c>
      <c r="D320" s="27">
        <v>4.0</v>
      </c>
      <c r="E320" s="18" t="b">
        <v>1</v>
      </c>
      <c r="G320" s="20" t="s">
        <v>46</v>
      </c>
    </row>
    <row r="321" ht="22.5" hidden="1" customHeight="1">
      <c r="A321" s="28">
        <v>392.0</v>
      </c>
      <c r="B321" s="27">
        <v>33.0</v>
      </c>
      <c r="C321" s="18">
        <v>29.0</v>
      </c>
      <c r="D321" s="27">
        <v>4.0</v>
      </c>
      <c r="E321" s="18" t="b">
        <v>1</v>
      </c>
      <c r="G321" s="20" t="s">
        <v>46</v>
      </c>
    </row>
    <row r="322" ht="22.5" hidden="1" customHeight="1">
      <c r="A322" s="28">
        <v>393.0</v>
      </c>
      <c r="B322" s="27">
        <v>34.0</v>
      </c>
      <c r="C322" s="18">
        <v>29.0</v>
      </c>
      <c r="D322" s="27">
        <v>4.0</v>
      </c>
      <c r="E322" s="18" t="b">
        <v>1</v>
      </c>
      <c r="G322" s="20" t="s">
        <v>46</v>
      </c>
    </row>
    <row r="323" ht="22.5" hidden="1" customHeight="1">
      <c r="A323" s="28">
        <v>394.0</v>
      </c>
      <c r="B323" s="27">
        <v>35.0</v>
      </c>
      <c r="C323" s="18">
        <v>29.0</v>
      </c>
      <c r="D323" s="27">
        <v>4.0</v>
      </c>
      <c r="E323" s="18" t="b">
        <v>1</v>
      </c>
      <c r="G323" s="20" t="s">
        <v>46</v>
      </c>
    </row>
    <row r="324" ht="22.5" hidden="1" customHeight="1">
      <c r="A324" s="28">
        <v>395.0</v>
      </c>
      <c r="B324" s="27">
        <v>36.0</v>
      </c>
      <c r="C324" s="18">
        <v>29.0</v>
      </c>
      <c r="D324" s="27">
        <v>4.0</v>
      </c>
      <c r="E324" s="18" t="b">
        <v>1</v>
      </c>
      <c r="G324" s="20" t="s">
        <v>46</v>
      </c>
    </row>
    <row r="325" ht="22.5" hidden="1" customHeight="1">
      <c r="A325" s="28">
        <v>396.0</v>
      </c>
      <c r="B325" s="27">
        <v>37.0</v>
      </c>
      <c r="C325" s="18">
        <v>29.0</v>
      </c>
      <c r="D325" s="27">
        <v>4.0</v>
      </c>
      <c r="E325" s="18" t="b">
        <v>1</v>
      </c>
      <c r="G325" s="20" t="s">
        <v>46</v>
      </c>
    </row>
    <row r="326" ht="22.5" hidden="1" customHeight="1">
      <c r="A326" s="28">
        <v>397.0</v>
      </c>
      <c r="B326" s="27">
        <v>38.0</v>
      </c>
      <c r="C326" s="18">
        <v>29.0</v>
      </c>
      <c r="D326" s="27">
        <v>4.0</v>
      </c>
      <c r="E326" s="18" t="b">
        <v>1</v>
      </c>
      <c r="G326" s="20" t="s">
        <v>46</v>
      </c>
    </row>
    <row r="327" ht="22.5" hidden="1" customHeight="1">
      <c r="A327" s="28">
        <v>398.0</v>
      </c>
      <c r="B327" s="27">
        <v>40.0</v>
      </c>
      <c r="C327" s="18">
        <v>29.0</v>
      </c>
      <c r="D327" s="27">
        <v>4.0</v>
      </c>
      <c r="E327" s="18" t="b">
        <v>1</v>
      </c>
      <c r="G327" s="20" t="s">
        <v>46</v>
      </c>
    </row>
    <row r="328" ht="22.5" hidden="1" customHeight="1">
      <c r="A328" s="28">
        <v>399.0</v>
      </c>
      <c r="B328" s="27">
        <v>41.0</v>
      </c>
      <c r="C328" s="18">
        <v>29.0</v>
      </c>
      <c r="D328" s="27">
        <v>4.0</v>
      </c>
      <c r="E328" s="18" t="b">
        <v>1</v>
      </c>
      <c r="G328" s="20" t="s">
        <v>46</v>
      </c>
    </row>
    <row r="329" ht="22.5" hidden="1" customHeight="1">
      <c r="A329" s="28">
        <v>400.0</v>
      </c>
      <c r="B329" s="27">
        <v>42.0</v>
      </c>
      <c r="C329" s="18">
        <v>29.0</v>
      </c>
      <c r="D329" s="27">
        <v>4.0</v>
      </c>
      <c r="E329" s="18" t="b">
        <v>1</v>
      </c>
      <c r="G329" s="20" t="s">
        <v>46</v>
      </c>
    </row>
    <row r="330" ht="22.5" hidden="1" customHeight="1">
      <c r="A330" s="28">
        <v>401.0</v>
      </c>
      <c r="B330" s="27">
        <v>44.0</v>
      </c>
      <c r="C330" s="18">
        <v>31.0</v>
      </c>
      <c r="D330" s="27">
        <v>4.0</v>
      </c>
      <c r="E330" s="18" t="b">
        <v>1</v>
      </c>
      <c r="G330" s="20" t="s">
        <v>46</v>
      </c>
    </row>
    <row r="331" ht="22.5" hidden="1" customHeight="1">
      <c r="A331" s="28">
        <v>402.0</v>
      </c>
      <c r="B331" s="27">
        <v>63.0</v>
      </c>
      <c r="C331" s="18">
        <v>34.0</v>
      </c>
      <c r="D331" s="27">
        <v>4.0</v>
      </c>
      <c r="E331" s="18" t="b">
        <v>1</v>
      </c>
      <c r="G331" s="20" t="s">
        <v>46</v>
      </c>
    </row>
    <row r="332" ht="22.5" hidden="1" customHeight="1">
      <c r="A332" s="28">
        <v>403.0</v>
      </c>
      <c r="B332" s="27">
        <v>64.0</v>
      </c>
      <c r="C332" s="18">
        <v>34.0</v>
      </c>
      <c r="D332" s="27">
        <v>4.0</v>
      </c>
      <c r="E332" s="18" t="b">
        <v>1</v>
      </c>
      <c r="G332" s="20" t="s">
        <v>46</v>
      </c>
    </row>
    <row r="333" ht="22.5" hidden="1" customHeight="1">
      <c r="A333" s="28">
        <v>404.0</v>
      </c>
      <c r="B333" s="27">
        <v>65.0</v>
      </c>
      <c r="C333" s="18">
        <v>22.0</v>
      </c>
      <c r="D333" s="27">
        <v>4.0</v>
      </c>
      <c r="E333" s="18" t="b">
        <v>1</v>
      </c>
      <c r="G333" s="20" t="s">
        <v>46</v>
      </c>
    </row>
    <row r="334" ht="22.5" hidden="1" customHeight="1">
      <c r="A334" s="28">
        <v>405.0</v>
      </c>
      <c r="B334" s="27">
        <v>70.0</v>
      </c>
      <c r="C334" s="18">
        <v>22.0</v>
      </c>
      <c r="D334" s="27">
        <v>4.0</v>
      </c>
      <c r="E334" s="18" t="b">
        <v>1</v>
      </c>
      <c r="G334" s="20" t="s">
        <v>46</v>
      </c>
    </row>
    <row r="335" ht="22.5" hidden="1" customHeight="1">
      <c r="A335" s="28">
        <v>406.0</v>
      </c>
      <c r="B335" s="27">
        <v>76.0</v>
      </c>
      <c r="C335" s="18">
        <v>22.0</v>
      </c>
      <c r="D335" s="27">
        <v>4.0</v>
      </c>
      <c r="E335" s="18" t="b">
        <v>1</v>
      </c>
      <c r="G335" s="20" t="s">
        <v>46</v>
      </c>
    </row>
    <row r="336" ht="22.5" hidden="1" customHeight="1">
      <c r="A336" s="28">
        <v>407.0</v>
      </c>
      <c r="B336" s="27">
        <v>77.0</v>
      </c>
      <c r="C336" s="18">
        <v>22.0</v>
      </c>
      <c r="D336" s="27">
        <v>4.0</v>
      </c>
      <c r="E336" s="18" t="b">
        <v>1</v>
      </c>
      <c r="G336" s="20" t="s">
        <v>46</v>
      </c>
    </row>
    <row r="337" ht="22.5" hidden="1" customHeight="1">
      <c r="A337" s="28">
        <v>408.0</v>
      </c>
      <c r="B337" s="27">
        <v>78.0</v>
      </c>
      <c r="C337" s="18">
        <v>22.0</v>
      </c>
      <c r="D337" s="27">
        <v>4.0</v>
      </c>
      <c r="E337" s="18" t="b">
        <v>1</v>
      </c>
      <c r="G337" s="20" t="s">
        <v>46</v>
      </c>
    </row>
    <row r="338" ht="22.5" hidden="1" customHeight="1">
      <c r="A338" s="28">
        <v>409.0</v>
      </c>
      <c r="B338" s="27">
        <v>79.0</v>
      </c>
      <c r="C338" s="18">
        <v>22.0</v>
      </c>
      <c r="D338" s="27">
        <v>4.0</v>
      </c>
      <c r="E338" s="18" t="b">
        <v>1</v>
      </c>
      <c r="G338" s="20" t="s">
        <v>46</v>
      </c>
    </row>
    <row r="339" ht="22.5" hidden="1" customHeight="1">
      <c r="A339" s="28">
        <v>410.0</v>
      </c>
      <c r="B339" s="27">
        <v>80.0</v>
      </c>
      <c r="C339" s="18">
        <v>22.0</v>
      </c>
      <c r="D339" s="27">
        <v>4.0</v>
      </c>
      <c r="E339" s="18" t="b">
        <v>1</v>
      </c>
      <c r="G339" s="20" t="s">
        <v>46</v>
      </c>
    </row>
    <row r="340" ht="22.5" hidden="1" customHeight="1">
      <c r="A340" s="28">
        <v>411.0</v>
      </c>
      <c r="B340" s="27">
        <v>83.0</v>
      </c>
      <c r="C340" s="18">
        <v>22.0</v>
      </c>
      <c r="D340" s="27">
        <v>4.0</v>
      </c>
      <c r="E340" s="18" t="b">
        <v>1</v>
      </c>
      <c r="G340" s="20" t="s">
        <v>46</v>
      </c>
    </row>
    <row r="341" ht="22.5" hidden="1" customHeight="1">
      <c r="A341" s="28">
        <v>412.0</v>
      </c>
      <c r="B341" s="27">
        <v>84.0</v>
      </c>
      <c r="C341" s="18">
        <v>22.0</v>
      </c>
      <c r="D341" s="27">
        <v>4.0</v>
      </c>
      <c r="E341" s="18" t="b">
        <v>1</v>
      </c>
      <c r="G341" s="20" t="s">
        <v>46</v>
      </c>
    </row>
    <row r="342" ht="22.5" hidden="1" customHeight="1">
      <c r="A342" s="28">
        <v>437.0</v>
      </c>
      <c r="B342" s="28">
        <v>111.0</v>
      </c>
      <c r="C342" s="18">
        <v>22.0</v>
      </c>
      <c r="D342" s="28">
        <v>4.0</v>
      </c>
      <c r="E342" s="18" t="b">
        <v>1</v>
      </c>
      <c r="G342" s="20" t="s">
        <v>46</v>
      </c>
    </row>
    <row r="343" ht="22.5" hidden="1" customHeight="1">
      <c r="A343" s="18">
        <v>438.0</v>
      </c>
      <c r="B343" s="28">
        <v>19.0</v>
      </c>
      <c r="C343" s="18">
        <v>29.0</v>
      </c>
      <c r="D343" s="28">
        <v>4.0</v>
      </c>
      <c r="E343" s="18" t="b">
        <v>0</v>
      </c>
      <c r="G343" s="20" t="s">
        <v>46</v>
      </c>
    </row>
    <row r="344" ht="22.5" hidden="1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20" t="s">
        <v>46</v>
      </c>
    </row>
    <row r="345" ht="22.5" hidden="1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20" t="s">
        <v>46</v>
      </c>
    </row>
    <row r="346" ht="22.5" hidden="1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20" t="s">
        <v>46</v>
      </c>
    </row>
    <row r="347" ht="22.5" hidden="1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20" t="s">
        <v>46</v>
      </c>
    </row>
    <row r="348" ht="22.5" hidden="1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20" t="s">
        <v>46</v>
      </c>
    </row>
    <row r="349" ht="22.5" hidden="1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20" t="s">
        <v>46</v>
      </c>
    </row>
    <row r="350" ht="22.5" hidden="1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20" t="s">
        <v>46</v>
      </c>
    </row>
    <row r="351" ht="22.5" hidden="1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20" t="s">
        <v>46</v>
      </c>
    </row>
    <row r="352" ht="22.5" hidden="1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20" t="s">
        <v>46</v>
      </c>
    </row>
    <row r="353" ht="22.5" hidden="1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20" t="s">
        <v>46</v>
      </c>
    </row>
    <row r="354" ht="22.5" hidden="1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20" t="s">
        <v>46</v>
      </c>
    </row>
    <row r="355" ht="22.5" hidden="1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20" t="s">
        <v>46</v>
      </c>
    </row>
    <row r="356" ht="22.5" hidden="1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20" t="s">
        <v>46</v>
      </c>
    </row>
    <row r="357" ht="22.5" hidden="1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20" t="s">
        <v>46</v>
      </c>
    </row>
    <row r="358" ht="22.5" hidden="1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20" t="s">
        <v>46</v>
      </c>
    </row>
    <row r="359" ht="22.5" hidden="1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20" t="s">
        <v>46</v>
      </c>
    </row>
    <row r="360" ht="22.5" hidden="1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20" t="s">
        <v>46</v>
      </c>
    </row>
    <row r="361" ht="22.5" hidden="1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20" t="s">
        <v>46</v>
      </c>
    </row>
    <row r="362" ht="22.5" hidden="1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20" t="s">
        <v>46</v>
      </c>
    </row>
    <row r="363" ht="22.5" hidden="1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20" t="s">
        <v>46</v>
      </c>
    </row>
    <row r="364" ht="22.5" hidden="1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20" t="s">
        <v>46</v>
      </c>
    </row>
    <row r="365" ht="22.5" hidden="1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20" t="s">
        <v>46</v>
      </c>
    </row>
    <row r="366" ht="22.5" hidden="1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20" t="s">
        <v>46</v>
      </c>
    </row>
    <row r="367" ht="22.5" hidden="1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20" t="s">
        <v>46</v>
      </c>
    </row>
    <row r="368" ht="22.5" hidden="1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20" t="s">
        <v>46</v>
      </c>
    </row>
    <row r="369" ht="22.5" hidden="1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20" t="s">
        <v>46</v>
      </c>
    </row>
    <row r="370" ht="22.5" hidden="1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20" t="s">
        <v>46</v>
      </c>
    </row>
    <row r="371" ht="22.5" hidden="1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20" t="s">
        <v>46</v>
      </c>
    </row>
    <row r="372" ht="22.5" hidden="1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20" t="s">
        <v>46</v>
      </c>
    </row>
    <row r="373" ht="22.5" hidden="1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20" t="s">
        <v>46</v>
      </c>
    </row>
    <row r="374" ht="22.5" hidden="1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20" t="s">
        <v>46</v>
      </c>
    </row>
    <row r="375" ht="22.5" hidden="1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20" t="s">
        <v>46</v>
      </c>
    </row>
    <row r="376" ht="22.5" hidden="1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20" t="s">
        <v>46</v>
      </c>
    </row>
    <row r="377" ht="22.5" hidden="1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20" t="s">
        <v>46</v>
      </c>
    </row>
    <row r="378" ht="22.5" hidden="1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20" t="s">
        <v>46</v>
      </c>
    </row>
    <row r="379" ht="22.5" hidden="1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20" t="s">
        <v>46</v>
      </c>
    </row>
    <row r="380" ht="22.5" hidden="1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20" t="s">
        <v>46</v>
      </c>
    </row>
    <row r="381" ht="22.5" hidden="1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20" t="s">
        <v>46</v>
      </c>
    </row>
    <row r="382" ht="22.5" hidden="1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20" t="s">
        <v>46</v>
      </c>
    </row>
    <row r="383" ht="22.5" hidden="1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20" t="s">
        <v>46</v>
      </c>
    </row>
    <row r="384" ht="22.5" hidden="1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20" t="s">
        <v>46</v>
      </c>
    </row>
    <row r="385" ht="22.5" hidden="1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20" t="s">
        <v>46</v>
      </c>
    </row>
    <row r="386" ht="22.5" hidden="1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20" t="s">
        <v>46</v>
      </c>
    </row>
    <row r="387" ht="22.5" hidden="1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20" t="s">
        <v>46</v>
      </c>
    </row>
    <row r="388" ht="22.5" hidden="1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20" t="s">
        <v>46</v>
      </c>
    </row>
    <row r="389" ht="22.5" hidden="1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20" t="s">
        <v>46</v>
      </c>
    </row>
    <row r="390" ht="22.5" hidden="1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20" t="s">
        <v>46</v>
      </c>
    </row>
    <row r="391" ht="22.5" hidden="1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20" t="s">
        <v>46</v>
      </c>
    </row>
    <row r="392" ht="22.5" hidden="1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20" t="s">
        <v>46</v>
      </c>
    </row>
    <row r="393" ht="22.5" hidden="1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20" t="s">
        <v>46</v>
      </c>
    </row>
    <row r="394" ht="22.5" hidden="1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20" t="s">
        <v>46</v>
      </c>
    </row>
    <row r="395" ht="22.5" hidden="1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20" t="s">
        <v>46</v>
      </c>
    </row>
    <row r="396" ht="22.5" hidden="1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20" t="s">
        <v>46</v>
      </c>
    </row>
    <row r="397" ht="22.5" hidden="1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20" t="s">
        <v>46</v>
      </c>
    </row>
    <row r="398" ht="22.5" hidden="1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20" t="s">
        <v>46</v>
      </c>
    </row>
    <row r="399" ht="22.5" hidden="1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20" t="s">
        <v>46</v>
      </c>
    </row>
    <row r="400" ht="22.5" hidden="1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20" t="s">
        <v>46</v>
      </c>
    </row>
    <row r="401" ht="22.5" hidden="1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20" t="s">
        <v>46</v>
      </c>
    </row>
    <row r="402" ht="22.5" hidden="1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20" t="s">
        <v>46</v>
      </c>
    </row>
    <row r="403" ht="22.5" hidden="1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20" t="s">
        <v>46</v>
      </c>
    </row>
    <row r="404" ht="22.5" hidden="1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20" t="s">
        <v>46</v>
      </c>
    </row>
    <row r="405" ht="22.5" hidden="1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20" t="s">
        <v>46</v>
      </c>
    </row>
    <row r="406" ht="22.5" hidden="1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20" t="s">
        <v>46</v>
      </c>
    </row>
    <row r="407" ht="22.5" hidden="1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20" t="s">
        <v>46</v>
      </c>
    </row>
    <row r="408" ht="22.5" hidden="1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20" t="s">
        <v>46</v>
      </c>
    </row>
    <row r="409" ht="22.5" hidden="1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20" t="s">
        <v>46</v>
      </c>
    </row>
    <row r="410" ht="22.5" hidden="1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20" t="s">
        <v>46</v>
      </c>
    </row>
    <row r="411" ht="22.5" hidden="1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20" t="s">
        <v>46</v>
      </c>
    </row>
    <row r="412" ht="22.5" hidden="1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20" t="s">
        <v>46</v>
      </c>
    </row>
    <row r="413" ht="22.5" hidden="1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20" t="s">
        <v>46</v>
      </c>
    </row>
    <row r="414" ht="22.5" hidden="1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20" t="s">
        <v>46</v>
      </c>
    </row>
    <row r="415" ht="22.5" hidden="1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20" t="s">
        <v>46</v>
      </c>
    </row>
    <row r="416" ht="22.5" hidden="1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20" t="s">
        <v>46</v>
      </c>
    </row>
    <row r="417" ht="22.5" hidden="1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20" t="s">
        <v>46</v>
      </c>
    </row>
    <row r="418" ht="22.5" hidden="1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20" t="s">
        <v>46</v>
      </c>
    </row>
    <row r="419" ht="22.5" hidden="1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20" t="s">
        <v>46</v>
      </c>
    </row>
    <row r="420" ht="22.5" hidden="1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20" t="s">
        <v>46</v>
      </c>
    </row>
    <row r="421" ht="22.5" hidden="1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20" t="s">
        <v>46</v>
      </c>
    </row>
    <row r="422" ht="22.5" hidden="1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20" t="s">
        <v>46</v>
      </c>
    </row>
    <row r="423" ht="22.5" hidden="1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20" t="s">
        <v>46</v>
      </c>
    </row>
    <row r="424" ht="22.5" hidden="1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20" t="s">
        <v>46</v>
      </c>
    </row>
    <row r="425" ht="22.5" hidden="1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20" t="s">
        <v>46</v>
      </c>
    </row>
    <row r="426" ht="22.5" hidden="1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20" t="s">
        <v>46</v>
      </c>
    </row>
    <row r="427" ht="22.5" hidden="1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20" t="s">
        <v>46</v>
      </c>
    </row>
    <row r="428" ht="22.5" hidden="1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20" t="s">
        <v>46</v>
      </c>
    </row>
    <row r="429" ht="22.5" hidden="1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20" t="s">
        <v>46</v>
      </c>
    </row>
    <row r="430" ht="22.5" hidden="1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20" t="s">
        <v>46</v>
      </c>
    </row>
    <row r="431" ht="22.5" hidden="1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20" t="s">
        <v>46</v>
      </c>
    </row>
    <row r="432" ht="22.5" hidden="1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20" t="s">
        <v>46</v>
      </c>
    </row>
    <row r="433" ht="22.5" hidden="1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20" t="s">
        <v>46</v>
      </c>
    </row>
    <row r="434" ht="22.5" hidden="1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20" t="s">
        <v>46</v>
      </c>
    </row>
    <row r="435" ht="22.5" hidden="1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20" t="s">
        <v>46</v>
      </c>
    </row>
    <row r="436" ht="22.5" hidden="1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20" t="s">
        <v>46</v>
      </c>
    </row>
    <row r="437" ht="22.5" hidden="1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20" t="s">
        <v>46</v>
      </c>
    </row>
    <row r="438" ht="22.5" hidden="1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20" t="s">
        <v>46</v>
      </c>
    </row>
    <row r="439" ht="22.5" hidden="1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20" t="s">
        <v>46</v>
      </c>
    </row>
    <row r="440" ht="22.5" hidden="1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20" t="s">
        <v>46</v>
      </c>
    </row>
    <row r="441" ht="22.5" hidden="1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20" t="s">
        <v>46</v>
      </c>
    </row>
    <row r="442" ht="22.5" hidden="1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20" t="s">
        <v>46</v>
      </c>
    </row>
    <row r="443" ht="22.5" hidden="1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20" t="s">
        <v>46</v>
      </c>
    </row>
    <row r="444" ht="22.5" hidden="1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20" t="s">
        <v>46</v>
      </c>
    </row>
    <row r="445" ht="22.5" hidden="1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20" t="s">
        <v>46</v>
      </c>
    </row>
    <row r="446" ht="22.5" hidden="1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20" t="s">
        <v>46</v>
      </c>
    </row>
    <row r="447" ht="22.5" hidden="1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20" t="s">
        <v>46</v>
      </c>
    </row>
    <row r="448" ht="22.5" hidden="1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20" t="s">
        <v>46</v>
      </c>
    </row>
    <row r="449" ht="22.5" hidden="1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20" t="s">
        <v>46</v>
      </c>
    </row>
    <row r="450" ht="22.5" hidden="1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20" t="s">
        <v>46</v>
      </c>
    </row>
    <row r="451" ht="22.5" hidden="1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20" t="s">
        <v>46</v>
      </c>
    </row>
    <row r="452" ht="22.5" hidden="1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20" t="s">
        <v>46</v>
      </c>
    </row>
    <row r="453" ht="22.5" hidden="1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20" t="s">
        <v>46</v>
      </c>
    </row>
    <row r="454" ht="22.5" hidden="1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20" t="s">
        <v>46</v>
      </c>
    </row>
    <row r="455" ht="22.5" hidden="1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20" t="s">
        <v>46</v>
      </c>
    </row>
    <row r="456" ht="22.5" hidden="1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20" t="s">
        <v>46</v>
      </c>
    </row>
    <row r="457" ht="22.5" hidden="1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20" t="s">
        <v>46</v>
      </c>
    </row>
    <row r="458" ht="22.5" hidden="1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20" t="s">
        <v>46</v>
      </c>
    </row>
    <row r="459" ht="22.5" hidden="1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20" t="s">
        <v>46</v>
      </c>
    </row>
    <row r="460" ht="22.5" hidden="1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20" t="s">
        <v>46</v>
      </c>
    </row>
    <row r="461" ht="22.5" hidden="1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20" t="s">
        <v>46</v>
      </c>
    </row>
    <row r="462" ht="22.5" hidden="1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20" t="s">
        <v>46</v>
      </c>
    </row>
    <row r="463" ht="22.5" hidden="1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20" t="s">
        <v>46</v>
      </c>
    </row>
    <row r="464" ht="22.5" hidden="1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20" t="s">
        <v>46</v>
      </c>
    </row>
    <row r="465" ht="22.5" hidden="1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20" t="s">
        <v>46</v>
      </c>
    </row>
    <row r="466" ht="22.5" hidden="1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20" t="s">
        <v>46</v>
      </c>
    </row>
    <row r="467" ht="22.5" hidden="1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20" t="s">
        <v>46</v>
      </c>
    </row>
    <row r="468" ht="22.5" hidden="1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20" t="s">
        <v>46</v>
      </c>
    </row>
    <row r="469" ht="22.5" hidden="1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20" t="s">
        <v>46</v>
      </c>
    </row>
    <row r="470" ht="22.5" hidden="1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20" t="s">
        <v>46</v>
      </c>
    </row>
    <row r="471" ht="22.5" hidden="1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20" t="s">
        <v>46</v>
      </c>
    </row>
    <row r="472" ht="22.5" hidden="1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20" t="s">
        <v>46</v>
      </c>
    </row>
    <row r="473" ht="22.5" hidden="1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20" t="s">
        <v>46</v>
      </c>
    </row>
    <row r="474" ht="22.5" hidden="1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20" t="s">
        <v>46</v>
      </c>
    </row>
    <row r="475" ht="22.5" hidden="1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20" t="s">
        <v>46</v>
      </c>
    </row>
    <row r="476" ht="22.5" hidden="1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20" t="s">
        <v>46</v>
      </c>
    </row>
    <row r="477" ht="22.5" hidden="1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20" t="s">
        <v>46</v>
      </c>
    </row>
    <row r="478" ht="22.5" hidden="1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20" t="s">
        <v>46</v>
      </c>
    </row>
    <row r="479" ht="22.5" hidden="1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20" t="s">
        <v>46</v>
      </c>
    </row>
    <row r="480" ht="22.5" hidden="1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20" t="s">
        <v>46</v>
      </c>
    </row>
    <row r="481" ht="22.5" hidden="1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20" t="s">
        <v>46</v>
      </c>
    </row>
    <row r="482" ht="22.5" hidden="1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20" t="s">
        <v>46</v>
      </c>
    </row>
    <row r="483" ht="22.5" hidden="1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20" t="s">
        <v>46</v>
      </c>
    </row>
    <row r="484" ht="22.5" hidden="1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20" t="s">
        <v>46</v>
      </c>
    </row>
    <row r="485" ht="22.5" hidden="1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20" t="s">
        <v>46</v>
      </c>
    </row>
    <row r="486" ht="22.5" hidden="1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20" t="s">
        <v>46</v>
      </c>
    </row>
    <row r="487" ht="22.5" hidden="1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20" t="s">
        <v>46</v>
      </c>
    </row>
    <row r="488" ht="22.5" hidden="1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20" t="s">
        <v>46</v>
      </c>
    </row>
    <row r="489" ht="22.5" hidden="1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20" t="s">
        <v>46</v>
      </c>
    </row>
    <row r="490" ht="22.5" hidden="1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20" t="s">
        <v>46</v>
      </c>
    </row>
    <row r="491" ht="22.5" hidden="1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20" t="s">
        <v>46</v>
      </c>
    </row>
    <row r="492" ht="22.5" hidden="1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20" t="s">
        <v>46</v>
      </c>
    </row>
    <row r="493" ht="22.5" hidden="1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20" t="s">
        <v>46</v>
      </c>
    </row>
    <row r="494" ht="22.5" hidden="1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20" t="s">
        <v>46</v>
      </c>
    </row>
    <row r="495" ht="22.5" hidden="1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20" t="s">
        <v>46</v>
      </c>
    </row>
    <row r="496" ht="22.5" hidden="1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20" t="s">
        <v>46</v>
      </c>
    </row>
    <row r="497" ht="22.5" hidden="1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20" t="s">
        <v>46</v>
      </c>
    </row>
    <row r="498" ht="22.5" hidden="1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20" t="s">
        <v>46</v>
      </c>
    </row>
    <row r="499" ht="22.5" hidden="1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20" t="s">
        <v>46</v>
      </c>
    </row>
    <row r="500" ht="22.5" hidden="1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20" t="s">
        <v>46</v>
      </c>
    </row>
    <row r="501" ht="22.5" hidden="1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20" t="s">
        <v>46</v>
      </c>
    </row>
    <row r="502" ht="22.5" hidden="1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20" t="s">
        <v>46</v>
      </c>
    </row>
    <row r="503" ht="22.5" hidden="1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20" t="s">
        <v>46</v>
      </c>
    </row>
    <row r="504" ht="22.5" hidden="1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20" t="s">
        <v>46</v>
      </c>
    </row>
    <row r="505" ht="22.5" hidden="1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20" t="s">
        <v>46</v>
      </c>
    </row>
    <row r="506" ht="22.5" hidden="1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20" t="s">
        <v>46</v>
      </c>
    </row>
    <row r="507" ht="22.5" hidden="1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20" t="s">
        <v>46</v>
      </c>
    </row>
    <row r="508" ht="22.5" hidden="1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20" t="s">
        <v>46</v>
      </c>
    </row>
    <row r="509" ht="22.5" hidden="1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20" t="s">
        <v>46</v>
      </c>
    </row>
    <row r="510" ht="22.5" hidden="1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20" t="s">
        <v>46</v>
      </c>
    </row>
    <row r="511" ht="22.5" hidden="1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20" t="s">
        <v>46</v>
      </c>
    </row>
    <row r="512" ht="22.5" hidden="1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20" t="s">
        <v>46</v>
      </c>
    </row>
    <row r="513" ht="22.5" hidden="1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20" t="s">
        <v>46</v>
      </c>
    </row>
    <row r="514" ht="22.5" hidden="1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20" t="s">
        <v>46</v>
      </c>
    </row>
    <row r="515" ht="22.5" hidden="1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20" t="s">
        <v>46</v>
      </c>
    </row>
    <row r="516" ht="22.5" hidden="1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20" t="s">
        <v>46</v>
      </c>
    </row>
    <row r="517" ht="22.5" hidden="1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20" t="s">
        <v>46</v>
      </c>
    </row>
    <row r="518" ht="22.5" hidden="1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20" t="s">
        <v>46</v>
      </c>
    </row>
    <row r="519" ht="22.5" hidden="1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20" t="s">
        <v>46</v>
      </c>
    </row>
    <row r="520" ht="22.5" hidden="1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20" t="s">
        <v>46</v>
      </c>
    </row>
    <row r="521" ht="22.5" hidden="1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20" t="s">
        <v>46</v>
      </c>
    </row>
    <row r="522" ht="22.5" hidden="1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20" t="s">
        <v>46</v>
      </c>
    </row>
    <row r="523" ht="22.5" hidden="1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20" t="s">
        <v>46</v>
      </c>
    </row>
    <row r="524" ht="22.5" hidden="1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20" t="s">
        <v>46</v>
      </c>
    </row>
    <row r="525" ht="22.5" hidden="1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20" t="s">
        <v>46</v>
      </c>
    </row>
    <row r="526" ht="22.5" hidden="1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20" t="s">
        <v>46</v>
      </c>
    </row>
    <row r="527" ht="22.5" hidden="1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20" t="s">
        <v>46</v>
      </c>
    </row>
    <row r="528" ht="22.5" hidden="1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20" t="s">
        <v>46</v>
      </c>
    </row>
    <row r="529" ht="22.5" hidden="1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20" t="s">
        <v>46</v>
      </c>
    </row>
    <row r="530" ht="22.5" hidden="1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20" t="s">
        <v>46</v>
      </c>
    </row>
    <row r="531" ht="22.5" hidden="1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20" t="s">
        <v>46</v>
      </c>
    </row>
    <row r="532" ht="22.5" hidden="1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20" t="s">
        <v>46</v>
      </c>
    </row>
    <row r="533" ht="22.5" hidden="1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20" t="s">
        <v>46</v>
      </c>
    </row>
    <row r="534" ht="22.5" hidden="1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20" t="s">
        <v>46</v>
      </c>
    </row>
    <row r="535" ht="22.5" hidden="1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20" t="s">
        <v>46</v>
      </c>
    </row>
    <row r="536" ht="22.5" hidden="1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20" t="s">
        <v>46</v>
      </c>
    </row>
    <row r="537" ht="22.5" hidden="1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20" t="s">
        <v>46</v>
      </c>
    </row>
    <row r="538" ht="22.5" hidden="1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20" t="s">
        <v>46</v>
      </c>
    </row>
    <row r="539" ht="22.5" hidden="1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20" t="s">
        <v>46</v>
      </c>
    </row>
    <row r="540" ht="22.5" hidden="1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20" t="s">
        <v>46</v>
      </c>
    </row>
    <row r="541" ht="22.5" hidden="1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20" t="s">
        <v>46</v>
      </c>
    </row>
    <row r="542" ht="22.5" hidden="1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20" t="s">
        <v>46</v>
      </c>
    </row>
    <row r="543" ht="22.5" hidden="1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20" t="s">
        <v>46</v>
      </c>
    </row>
    <row r="544" ht="22.5" hidden="1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20" t="s">
        <v>46</v>
      </c>
    </row>
    <row r="545" ht="22.5" hidden="1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20" t="s">
        <v>46</v>
      </c>
    </row>
    <row r="546" ht="22.5" hidden="1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20" t="s">
        <v>46</v>
      </c>
    </row>
    <row r="547" ht="22.5" hidden="1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20" t="s">
        <v>46</v>
      </c>
    </row>
    <row r="548" ht="22.5" hidden="1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20" t="s">
        <v>46</v>
      </c>
    </row>
    <row r="549" ht="22.5" hidden="1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20" t="s">
        <v>46</v>
      </c>
    </row>
    <row r="550" ht="22.5" hidden="1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20" t="s">
        <v>46</v>
      </c>
    </row>
    <row r="551" ht="22.5" hidden="1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20" t="s">
        <v>46</v>
      </c>
    </row>
    <row r="552" ht="22.5" hidden="1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20" t="s">
        <v>46</v>
      </c>
    </row>
    <row r="553" ht="22.5" hidden="1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20" t="s">
        <v>46</v>
      </c>
    </row>
    <row r="554" ht="22.5" hidden="1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20" t="s">
        <v>46</v>
      </c>
    </row>
    <row r="555" ht="22.5" hidden="1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20" t="s">
        <v>46</v>
      </c>
    </row>
    <row r="556" ht="22.5" hidden="1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20" t="s">
        <v>46</v>
      </c>
    </row>
    <row r="557" ht="22.5" hidden="1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20" t="s">
        <v>46</v>
      </c>
    </row>
    <row r="558" ht="22.5" hidden="1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20" t="s">
        <v>46</v>
      </c>
    </row>
    <row r="559" ht="22.5" hidden="1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20" t="s">
        <v>46</v>
      </c>
    </row>
    <row r="560" ht="22.5" hidden="1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20" t="s">
        <v>46</v>
      </c>
    </row>
    <row r="561" ht="22.5" hidden="1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20" t="s">
        <v>46</v>
      </c>
    </row>
    <row r="562" ht="22.5" hidden="1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20" t="s">
        <v>46</v>
      </c>
    </row>
    <row r="563" ht="22.5" hidden="1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20" t="s">
        <v>46</v>
      </c>
    </row>
    <row r="564" ht="22.5" hidden="1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20" t="s">
        <v>46</v>
      </c>
    </row>
    <row r="565" ht="22.5" hidden="1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20" t="s">
        <v>46</v>
      </c>
    </row>
    <row r="566" ht="22.5" hidden="1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20" t="s">
        <v>46</v>
      </c>
    </row>
    <row r="567" ht="22.5" hidden="1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20" t="s">
        <v>46</v>
      </c>
    </row>
    <row r="568" ht="22.5" hidden="1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20" t="s">
        <v>46</v>
      </c>
    </row>
    <row r="569" ht="22.5" hidden="1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20" t="s">
        <v>46</v>
      </c>
    </row>
    <row r="570" ht="22.5" hidden="1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20" t="s">
        <v>46</v>
      </c>
    </row>
    <row r="571" ht="22.5" hidden="1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20" t="s">
        <v>46</v>
      </c>
    </row>
    <row r="572" ht="22.5" hidden="1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20" t="s">
        <v>46</v>
      </c>
    </row>
    <row r="573" ht="22.5" hidden="1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20" t="s">
        <v>46</v>
      </c>
    </row>
    <row r="574" ht="22.5" hidden="1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20" t="s">
        <v>46</v>
      </c>
    </row>
    <row r="575" ht="22.5" hidden="1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20" t="s">
        <v>46</v>
      </c>
    </row>
    <row r="576" ht="22.5" hidden="1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20" t="s">
        <v>46</v>
      </c>
    </row>
    <row r="577" ht="22.5" hidden="1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20" t="s">
        <v>46</v>
      </c>
    </row>
    <row r="578" ht="22.5" hidden="1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20" t="s">
        <v>46</v>
      </c>
    </row>
    <row r="579" ht="22.5" hidden="1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20" t="s">
        <v>46</v>
      </c>
    </row>
    <row r="580" ht="22.5" hidden="1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20" t="s">
        <v>46</v>
      </c>
    </row>
    <row r="581" ht="22.5" hidden="1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20" t="s">
        <v>46</v>
      </c>
    </row>
    <row r="582" ht="22.5" hidden="1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20" t="s">
        <v>46</v>
      </c>
    </row>
    <row r="583" ht="22.5" hidden="1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20" t="s">
        <v>46</v>
      </c>
    </row>
    <row r="584" ht="22.5" hidden="1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20" t="s">
        <v>46</v>
      </c>
    </row>
    <row r="585" ht="22.5" hidden="1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20" t="s">
        <v>46</v>
      </c>
    </row>
    <row r="586" ht="22.5" hidden="1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20" t="s">
        <v>46</v>
      </c>
    </row>
    <row r="587" ht="22.5" hidden="1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20" t="s">
        <v>46</v>
      </c>
    </row>
    <row r="588" ht="22.5" hidden="1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20" t="s">
        <v>46</v>
      </c>
    </row>
    <row r="589" ht="22.5" hidden="1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20" t="s">
        <v>46</v>
      </c>
    </row>
    <row r="590" ht="22.5" hidden="1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20" t="s">
        <v>46</v>
      </c>
    </row>
    <row r="591" ht="22.5" hidden="1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20" t="s">
        <v>46</v>
      </c>
    </row>
    <row r="592" ht="22.5" hidden="1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20" t="s">
        <v>46</v>
      </c>
    </row>
    <row r="593" ht="22.5" hidden="1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20" t="s">
        <v>46</v>
      </c>
    </row>
    <row r="594" ht="22.5" hidden="1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20" t="s">
        <v>46</v>
      </c>
    </row>
    <row r="595" ht="22.5" hidden="1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20" t="s">
        <v>46</v>
      </c>
    </row>
    <row r="596" ht="22.5" hidden="1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20" t="s">
        <v>46</v>
      </c>
    </row>
    <row r="597" ht="22.5" hidden="1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20" t="s">
        <v>46</v>
      </c>
    </row>
    <row r="598" ht="22.5" hidden="1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20" t="s">
        <v>46</v>
      </c>
    </row>
    <row r="599" ht="22.5" hidden="1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20" t="s">
        <v>46</v>
      </c>
    </row>
    <row r="600" ht="22.5" hidden="1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20" t="s">
        <v>46</v>
      </c>
    </row>
    <row r="601" ht="22.5" hidden="1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20" t="s">
        <v>46</v>
      </c>
    </row>
    <row r="602" ht="22.5" hidden="1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20" t="s">
        <v>46</v>
      </c>
    </row>
    <row r="603" ht="22.5" hidden="1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20" t="s">
        <v>46</v>
      </c>
    </row>
    <row r="604" ht="22.5" hidden="1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20" t="s">
        <v>46</v>
      </c>
    </row>
    <row r="605" ht="22.5" hidden="1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20" t="s">
        <v>46</v>
      </c>
    </row>
    <row r="606" ht="22.5" hidden="1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20" t="s">
        <v>46</v>
      </c>
    </row>
    <row r="607" ht="22.5" hidden="1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20" t="s">
        <v>46</v>
      </c>
    </row>
    <row r="608" ht="22.5" hidden="1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20" t="s">
        <v>46</v>
      </c>
    </row>
    <row r="609" ht="22.5" hidden="1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20" t="s">
        <v>46</v>
      </c>
    </row>
    <row r="610" ht="22.5" hidden="1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20" t="s">
        <v>46</v>
      </c>
    </row>
    <row r="611" ht="22.5" hidden="1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20" t="s">
        <v>46</v>
      </c>
    </row>
    <row r="612" ht="22.5" hidden="1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20" t="s">
        <v>46</v>
      </c>
    </row>
    <row r="613" ht="22.5" hidden="1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20" t="s">
        <v>46</v>
      </c>
    </row>
    <row r="614" ht="22.5" hidden="1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20" t="s">
        <v>46</v>
      </c>
    </row>
    <row r="615" ht="22.5" hidden="1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20" t="s">
        <v>46</v>
      </c>
    </row>
    <row r="616" ht="22.5" hidden="1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20" t="s">
        <v>46</v>
      </c>
    </row>
    <row r="617" ht="22.5" hidden="1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20" t="s">
        <v>46</v>
      </c>
    </row>
    <row r="618" ht="22.5" hidden="1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20" t="s">
        <v>46</v>
      </c>
    </row>
    <row r="619" ht="22.5" hidden="1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20" t="s">
        <v>46</v>
      </c>
    </row>
    <row r="620" ht="22.5" hidden="1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20" t="s">
        <v>46</v>
      </c>
    </row>
    <row r="621" ht="22.5" hidden="1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20" t="s">
        <v>46</v>
      </c>
    </row>
    <row r="622" ht="22.5" hidden="1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20" t="s">
        <v>46</v>
      </c>
    </row>
    <row r="623" ht="22.5" hidden="1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20" t="s">
        <v>46</v>
      </c>
    </row>
    <row r="624" ht="22.5" hidden="1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20" t="s">
        <v>46</v>
      </c>
    </row>
    <row r="625" ht="22.5" hidden="1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20" t="s">
        <v>46</v>
      </c>
    </row>
    <row r="626" ht="22.5" hidden="1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20" t="s">
        <v>46</v>
      </c>
    </row>
    <row r="627" ht="22.5" hidden="1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20" t="s">
        <v>46</v>
      </c>
    </row>
    <row r="628" ht="22.5" hidden="1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20" t="s">
        <v>46</v>
      </c>
    </row>
    <row r="629" ht="22.5" hidden="1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20" t="s">
        <v>46</v>
      </c>
    </row>
    <row r="630" ht="22.5" hidden="1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20" t="s">
        <v>46</v>
      </c>
    </row>
    <row r="631" ht="22.5" hidden="1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20" t="s">
        <v>46</v>
      </c>
    </row>
    <row r="632" ht="22.5" hidden="1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20" t="s">
        <v>46</v>
      </c>
    </row>
    <row r="633" ht="22.5" hidden="1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20" t="s">
        <v>46</v>
      </c>
    </row>
    <row r="634" ht="22.5" hidden="1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20" t="s">
        <v>46</v>
      </c>
    </row>
    <row r="635" ht="22.5" hidden="1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20" t="s">
        <v>46</v>
      </c>
    </row>
    <row r="636" ht="22.5" hidden="1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20" t="s">
        <v>46</v>
      </c>
    </row>
    <row r="637" ht="22.5" hidden="1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20" t="s">
        <v>46</v>
      </c>
    </row>
    <row r="638" ht="22.5" hidden="1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20" t="s">
        <v>46</v>
      </c>
    </row>
    <row r="639" ht="22.5" hidden="1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20" t="s">
        <v>46</v>
      </c>
    </row>
    <row r="640" ht="22.5" hidden="1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20" t="s">
        <v>46</v>
      </c>
    </row>
    <row r="641" ht="22.5" hidden="1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20" t="s">
        <v>46</v>
      </c>
    </row>
    <row r="642" ht="22.5" hidden="1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20" t="s">
        <v>46</v>
      </c>
    </row>
    <row r="643" ht="22.5" hidden="1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20" t="s">
        <v>46</v>
      </c>
    </row>
    <row r="644" ht="22.5" hidden="1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20" t="s">
        <v>46</v>
      </c>
    </row>
    <row r="645" ht="22.5" hidden="1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20" t="s">
        <v>46</v>
      </c>
    </row>
    <row r="646" ht="22.5" hidden="1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20" t="s">
        <v>46</v>
      </c>
    </row>
    <row r="647" ht="22.5" hidden="1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20" t="s">
        <v>46</v>
      </c>
    </row>
    <row r="648" ht="22.5" hidden="1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20" t="s">
        <v>46</v>
      </c>
    </row>
    <row r="649" ht="22.5" hidden="1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20" t="s">
        <v>46</v>
      </c>
    </row>
    <row r="650" ht="22.5" hidden="1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20" t="s">
        <v>46</v>
      </c>
    </row>
    <row r="651" ht="22.5" hidden="1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20" t="s">
        <v>46</v>
      </c>
    </row>
    <row r="652" ht="22.5" hidden="1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20" t="s">
        <v>46</v>
      </c>
    </row>
    <row r="653" ht="22.5" hidden="1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20" t="s">
        <v>46</v>
      </c>
    </row>
    <row r="654" ht="22.5" hidden="1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20" t="s">
        <v>46</v>
      </c>
    </row>
    <row r="655" ht="22.5" hidden="1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20" t="s">
        <v>46</v>
      </c>
    </row>
    <row r="656" ht="22.5" hidden="1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20" t="s">
        <v>46</v>
      </c>
    </row>
    <row r="657" ht="22.5" hidden="1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20" t="s">
        <v>46</v>
      </c>
    </row>
    <row r="658" ht="22.5" hidden="1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20" t="s">
        <v>46</v>
      </c>
    </row>
    <row r="659" ht="22.5" hidden="1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20" t="s">
        <v>46</v>
      </c>
    </row>
    <row r="660" ht="22.5" hidden="1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20" t="s">
        <v>46</v>
      </c>
    </row>
    <row r="661" ht="22.5" hidden="1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20" t="s">
        <v>46</v>
      </c>
    </row>
    <row r="662" ht="22.5" hidden="1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20" t="s">
        <v>46</v>
      </c>
    </row>
    <row r="663" ht="22.5" hidden="1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20" t="s">
        <v>46</v>
      </c>
    </row>
    <row r="664" ht="22.5" hidden="1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20" t="s">
        <v>46</v>
      </c>
    </row>
    <row r="665" ht="22.5" hidden="1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20" t="s">
        <v>46</v>
      </c>
    </row>
    <row r="666" ht="22.5" hidden="1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20" t="s">
        <v>46</v>
      </c>
    </row>
    <row r="667" ht="22.5" hidden="1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20" t="s">
        <v>46</v>
      </c>
    </row>
    <row r="668" ht="22.5" hidden="1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20" t="s">
        <v>46</v>
      </c>
    </row>
    <row r="669" ht="22.5" hidden="1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20" t="s">
        <v>46</v>
      </c>
    </row>
    <row r="670" ht="22.5" hidden="1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20" t="s">
        <v>46</v>
      </c>
    </row>
    <row r="671" ht="22.5" hidden="1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20" t="s">
        <v>46</v>
      </c>
    </row>
    <row r="672" ht="22.5" hidden="1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20" t="s">
        <v>46</v>
      </c>
    </row>
    <row r="673" ht="22.5" hidden="1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20" t="s">
        <v>46</v>
      </c>
    </row>
    <row r="674" ht="22.5" hidden="1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20" t="s">
        <v>46</v>
      </c>
    </row>
    <row r="675" ht="22.5" hidden="1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20" t="s">
        <v>46</v>
      </c>
    </row>
    <row r="676" ht="22.5" hidden="1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20" t="s">
        <v>46</v>
      </c>
    </row>
    <row r="677" ht="22.5" hidden="1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20" t="s">
        <v>46</v>
      </c>
    </row>
    <row r="678" ht="22.5" hidden="1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20" t="s">
        <v>46</v>
      </c>
    </row>
    <row r="679" ht="22.5" hidden="1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20" t="s">
        <v>46</v>
      </c>
    </row>
    <row r="680" ht="22.5" hidden="1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20" t="s">
        <v>46</v>
      </c>
    </row>
    <row r="681" ht="22.5" hidden="1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20" t="s">
        <v>46</v>
      </c>
    </row>
    <row r="682" ht="22.5" hidden="1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20" t="s">
        <v>46</v>
      </c>
    </row>
    <row r="683" ht="22.5" hidden="1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20" t="s">
        <v>46</v>
      </c>
    </row>
    <row r="684" ht="22.5" hidden="1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20" t="s">
        <v>46</v>
      </c>
    </row>
    <row r="685" ht="22.5" hidden="1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20" t="s">
        <v>46</v>
      </c>
    </row>
    <row r="686" ht="22.5" hidden="1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20" t="s">
        <v>46</v>
      </c>
    </row>
    <row r="687" ht="22.5" hidden="1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20" t="s">
        <v>46</v>
      </c>
    </row>
    <row r="688" ht="22.5" hidden="1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20" t="s">
        <v>46</v>
      </c>
    </row>
    <row r="689" ht="22.5" hidden="1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20" t="s">
        <v>46</v>
      </c>
    </row>
    <row r="690" ht="22.5" hidden="1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20" t="s">
        <v>46</v>
      </c>
    </row>
    <row r="691" ht="22.5" hidden="1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20" t="s">
        <v>46</v>
      </c>
    </row>
    <row r="692" ht="22.5" hidden="1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20" t="s">
        <v>46</v>
      </c>
    </row>
    <row r="693" ht="22.5" hidden="1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20" t="s">
        <v>46</v>
      </c>
    </row>
    <row r="694" ht="22.5" hidden="1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20" t="s">
        <v>46</v>
      </c>
    </row>
    <row r="695" ht="22.5" hidden="1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20" t="s">
        <v>46</v>
      </c>
    </row>
    <row r="696" ht="22.5" hidden="1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20" t="s">
        <v>46</v>
      </c>
    </row>
    <row r="697" ht="22.5" hidden="1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20" t="s">
        <v>46</v>
      </c>
    </row>
    <row r="698" ht="22.5" hidden="1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20" t="s">
        <v>46</v>
      </c>
    </row>
    <row r="699" ht="22.5" hidden="1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20" t="s">
        <v>46</v>
      </c>
    </row>
    <row r="700" ht="22.5" hidden="1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20" t="s">
        <v>46</v>
      </c>
    </row>
    <row r="701" ht="22.5" hidden="1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20" t="s">
        <v>46</v>
      </c>
    </row>
    <row r="702" ht="22.5" hidden="1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20" t="s">
        <v>46</v>
      </c>
    </row>
    <row r="703" ht="22.5" hidden="1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20" t="s">
        <v>46</v>
      </c>
    </row>
    <row r="704" ht="22.5" hidden="1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20" t="s">
        <v>46</v>
      </c>
    </row>
    <row r="705" ht="22.5" hidden="1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20" t="s">
        <v>46</v>
      </c>
    </row>
    <row r="706" ht="22.5" hidden="1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20" t="s">
        <v>46</v>
      </c>
    </row>
    <row r="707" ht="22.5" hidden="1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20" t="s">
        <v>46</v>
      </c>
    </row>
    <row r="708" ht="22.5" hidden="1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20" t="s">
        <v>46</v>
      </c>
    </row>
    <row r="709" ht="22.5" hidden="1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20" t="s">
        <v>46</v>
      </c>
    </row>
    <row r="710" ht="22.5" hidden="1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20" t="s">
        <v>46</v>
      </c>
    </row>
    <row r="711" ht="22.5" hidden="1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20" t="s">
        <v>46</v>
      </c>
    </row>
    <row r="712" ht="22.5" hidden="1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20" t="s">
        <v>46</v>
      </c>
    </row>
    <row r="713" ht="22.5" hidden="1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20" t="s">
        <v>46</v>
      </c>
    </row>
    <row r="714" ht="22.5" hidden="1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20" t="s">
        <v>46</v>
      </c>
    </row>
    <row r="715" ht="22.5" hidden="1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20" t="s">
        <v>46</v>
      </c>
    </row>
    <row r="716" ht="22.5" hidden="1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20" t="s">
        <v>46</v>
      </c>
    </row>
    <row r="717" ht="22.5" hidden="1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20" t="s">
        <v>46</v>
      </c>
    </row>
    <row r="718" ht="22.5" hidden="1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20" t="s">
        <v>46</v>
      </c>
    </row>
    <row r="719" ht="22.5" hidden="1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20" t="s">
        <v>46</v>
      </c>
    </row>
    <row r="720" ht="22.5" hidden="1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20" t="s">
        <v>46</v>
      </c>
    </row>
    <row r="721" ht="22.5" hidden="1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20" t="s">
        <v>46</v>
      </c>
    </row>
    <row r="722" ht="22.5" hidden="1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20" t="s">
        <v>46</v>
      </c>
    </row>
    <row r="723" ht="22.5" hidden="1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20" t="s">
        <v>46</v>
      </c>
    </row>
    <row r="724" ht="22.5" hidden="1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20" t="s">
        <v>46</v>
      </c>
    </row>
    <row r="725" ht="22.5" hidden="1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20" t="s">
        <v>46</v>
      </c>
    </row>
    <row r="726" ht="22.5" hidden="1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20" t="s">
        <v>46</v>
      </c>
    </row>
    <row r="727" ht="22.5" hidden="1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20" t="s">
        <v>46</v>
      </c>
    </row>
    <row r="728" ht="22.5" hidden="1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20" t="s">
        <v>46</v>
      </c>
    </row>
    <row r="729" ht="22.5" hidden="1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20" t="s">
        <v>46</v>
      </c>
    </row>
    <row r="730" ht="22.5" hidden="1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20" t="s">
        <v>46</v>
      </c>
    </row>
    <row r="731" ht="22.5" hidden="1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20" t="s">
        <v>46</v>
      </c>
    </row>
    <row r="732" ht="22.5" hidden="1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20" t="s">
        <v>46</v>
      </c>
    </row>
    <row r="733" ht="22.5" hidden="1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20" t="s">
        <v>46</v>
      </c>
    </row>
    <row r="734" ht="22.5" hidden="1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20" t="s">
        <v>46</v>
      </c>
    </row>
    <row r="735" ht="22.5" hidden="1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20" t="s">
        <v>46</v>
      </c>
    </row>
    <row r="736" ht="22.5" hidden="1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20" t="s">
        <v>46</v>
      </c>
    </row>
    <row r="737" ht="22.5" hidden="1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20" t="s">
        <v>46</v>
      </c>
    </row>
    <row r="738" ht="22.5" hidden="1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20" t="s">
        <v>46</v>
      </c>
    </row>
    <row r="739" ht="22.5" hidden="1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20" t="s">
        <v>46</v>
      </c>
    </row>
    <row r="740" ht="22.5" hidden="1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20" t="s">
        <v>46</v>
      </c>
    </row>
    <row r="741" ht="22.5" hidden="1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20" t="s">
        <v>46</v>
      </c>
    </row>
    <row r="742" ht="22.5" hidden="1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20" t="s">
        <v>46</v>
      </c>
    </row>
    <row r="743" ht="22.5" hidden="1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20" t="s">
        <v>46</v>
      </c>
    </row>
    <row r="744" ht="22.5" hidden="1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20" t="s">
        <v>46</v>
      </c>
    </row>
    <row r="745" ht="22.5" hidden="1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20" t="s">
        <v>46</v>
      </c>
    </row>
    <row r="746" ht="22.5" hidden="1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20" t="s">
        <v>46</v>
      </c>
    </row>
    <row r="747" ht="22.5" hidden="1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20" t="s">
        <v>46</v>
      </c>
    </row>
    <row r="748" ht="22.5" hidden="1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20" t="s">
        <v>46</v>
      </c>
    </row>
    <row r="749" ht="22.5" hidden="1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20" t="s">
        <v>46</v>
      </c>
    </row>
    <row r="750" ht="22.5" hidden="1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20" t="s">
        <v>46</v>
      </c>
    </row>
    <row r="751" ht="22.5" hidden="1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20" t="s">
        <v>46</v>
      </c>
    </row>
    <row r="752" ht="22.5" hidden="1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20" t="s">
        <v>46</v>
      </c>
    </row>
    <row r="753" ht="22.5" hidden="1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20" t="s">
        <v>46</v>
      </c>
    </row>
    <row r="754" ht="22.5" hidden="1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20" t="s">
        <v>46</v>
      </c>
    </row>
    <row r="755" ht="22.5" hidden="1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20" t="s">
        <v>46</v>
      </c>
    </row>
    <row r="756" ht="22.5" hidden="1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20" t="s">
        <v>46</v>
      </c>
    </row>
    <row r="757" ht="22.5" hidden="1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20" t="s">
        <v>46</v>
      </c>
    </row>
    <row r="758" ht="22.5" hidden="1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20" t="s">
        <v>46</v>
      </c>
    </row>
    <row r="759" ht="22.5" hidden="1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20" t="s">
        <v>46</v>
      </c>
    </row>
    <row r="760" ht="22.5" hidden="1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20" t="s">
        <v>46</v>
      </c>
    </row>
    <row r="761" ht="22.5" hidden="1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20" t="s">
        <v>46</v>
      </c>
    </row>
    <row r="762" ht="22.5" hidden="1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20" t="s">
        <v>46</v>
      </c>
    </row>
    <row r="763" ht="22.5" hidden="1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20" t="s">
        <v>46</v>
      </c>
    </row>
    <row r="764" ht="22.5" hidden="1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20" t="s">
        <v>46</v>
      </c>
    </row>
    <row r="765" ht="22.5" hidden="1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20" t="s">
        <v>46</v>
      </c>
    </row>
    <row r="766" ht="22.5" hidden="1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20" t="s">
        <v>46</v>
      </c>
    </row>
    <row r="767" ht="22.5" hidden="1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20" t="s">
        <v>46</v>
      </c>
    </row>
    <row r="768" ht="22.5" hidden="1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20" t="s">
        <v>46</v>
      </c>
    </row>
    <row r="769" ht="22.5" hidden="1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20" t="s">
        <v>46</v>
      </c>
    </row>
    <row r="770" ht="22.5" hidden="1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20" t="s">
        <v>46</v>
      </c>
    </row>
    <row r="771" ht="22.5" hidden="1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20" t="s">
        <v>46</v>
      </c>
    </row>
    <row r="772" ht="22.5" hidden="1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20" t="s">
        <v>46</v>
      </c>
    </row>
    <row r="773" ht="22.5" hidden="1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20" t="s">
        <v>46</v>
      </c>
    </row>
    <row r="774" ht="22.5" hidden="1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20" t="s">
        <v>46</v>
      </c>
    </row>
    <row r="775" ht="22.5" hidden="1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20" t="s">
        <v>46</v>
      </c>
    </row>
    <row r="776" ht="22.5" hidden="1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20" t="s">
        <v>46</v>
      </c>
    </row>
    <row r="777" ht="22.5" hidden="1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20" t="s">
        <v>46</v>
      </c>
    </row>
    <row r="778" ht="22.5" hidden="1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20" t="s">
        <v>46</v>
      </c>
    </row>
    <row r="779" ht="22.5" hidden="1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20" t="s">
        <v>46</v>
      </c>
    </row>
    <row r="780" ht="22.5" hidden="1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20" t="s">
        <v>46</v>
      </c>
    </row>
    <row r="781" ht="22.5" hidden="1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20" t="s">
        <v>46</v>
      </c>
    </row>
    <row r="782" ht="22.5" hidden="1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20" t="s">
        <v>46</v>
      </c>
    </row>
    <row r="783" ht="22.5" hidden="1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20" t="s">
        <v>46</v>
      </c>
    </row>
    <row r="784" ht="22.5" hidden="1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20" t="s">
        <v>46</v>
      </c>
    </row>
    <row r="785" ht="22.5" hidden="1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20" t="s">
        <v>46</v>
      </c>
    </row>
    <row r="786" ht="22.5" hidden="1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20" t="s">
        <v>46</v>
      </c>
    </row>
    <row r="787" ht="22.5" hidden="1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20" t="s">
        <v>46</v>
      </c>
    </row>
    <row r="788" ht="22.5" hidden="1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20" t="s">
        <v>46</v>
      </c>
    </row>
    <row r="789" ht="22.5" hidden="1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20" t="s">
        <v>46</v>
      </c>
    </row>
    <row r="790" ht="22.5" hidden="1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20" t="s">
        <v>46</v>
      </c>
    </row>
    <row r="791" ht="22.5" hidden="1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20" t="s">
        <v>46</v>
      </c>
    </row>
    <row r="792" ht="22.5" hidden="1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20" t="s">
        <v>46</v>
      </c>
    </row>
    <row r="793" ht="22.5" hidden="1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20" t="s">
        <v>46</v>
      </c>
    </row>
    <row r="794" ht="22.5" hidden="1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20" t="s">
        <v>46</v>
      </c>
    </row>
    <row r="795" ht="22.5" hidden="1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20" t="s">
        <v>46</v>
      </c>
    </row>
    <row r="796" ht="22.5" hidden="1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20" t="s">
        <v>46</v>
      </c>
    </row>
    <row r="797" ht="22.5" hidden="1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20" t="s">
        <v>46</v>
      </c>
    </row>
    <row r="798" ht="22.5" hidden="1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20" t="s">
        <v>46</v>
      </c>
    </row>
    <row r="799" ht="22.5" hidden="1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20" t="s">
        <v>46</v>
      </c>
    </row>
    <row r="800" ht="22.5" hidden="1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20" t="s">
        <v>46</v>
      </c>
    </row>
    <row r="801" ht="22.5" hidden="1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20" t="s">
        <v>46</v>
      </c>
    </row>
    <row r="802" ht="22.5" hidden="1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20" t="s">
        <v>46</v>
      </c>
    </row>
    <row r="803" ht="22.5" hidden="1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20" t="s">
        <v>46</v>
      </c>
    </row>
    <row r="804" ht="22.5" hidden="1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20" t="s">
        <v>46</v>
      </c>
    </row>
    <row r="805" ht="22.5" hidden="1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20" t="s">
        <v>46</v>
      </c>
    </row>
    <row r="806" ht="22.5" hidden="1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20" t="s">
        <v>46</v>
      </c>
    </row>
    <row r="807" ht="22.5" hidden="1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20" t="s">
        <v>46</v>
      </c>
    </row>
    <row r="808" ht="22.5" hidden="1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20" t="s">
        <v>46</v>
      </c>
    </row>
    <row r="809" ht="22.5" hidden="1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20" t="s">
        <v>46</v>
      </c>
    </row>
    <row r="810" ht="22.5" hidden="1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20" t="s">
        <v>46</v>
      </c>
    </row>
    <row r="811" ht="22.5" hidden="1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20" t="s">
        <v>46</v>
      </c>
    </row>
    <row r="812" ht="22.5" hidden="1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20" t="s">
        <v>46</v>
      </c>
    </row>
    <row r="813" ht="22.5" hidden="1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20" t="s">
        <v>46</v>
      </c>
    </row>
    <row r="814" ht="22.5" hidden="1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20" t="s">
        <v>46</v>
      </c>
    </row>
    <row r="815" ht="22.5" hidden="1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20" t="s">
        <v>46</v>
      </c>
    </row>
    <row r="816" ht="22.5" hidden="1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20" t="s">
        <v>46</v>
      </c>
    </row>
    <row r="817" ht="22.5" hidden="1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20" t="s">
        <v>46</v>
      </c>
    </row>
    <row r="818" ht="22.5" hidden="1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20" t="s">
        <v>46</v>
      </c>
    </row>
    <row r="819" ht="22.5" hidden="1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20" t="s">
        <v>46</v>
      </c>
    </row>
    <row r="820" ht="22.5" hidden="1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20" t="s">
        <v>46</v>
      </c>
    </row>
    <row r="821" ht="22.5" hidden="1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20" t="s">
        <v>46</v>
      </c>
    </row>
    <row r="822" ht="22.5" hidden="1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20" t="s">
        <v>46</v>
      </c>
    </row>
    <row r="823" ht="22.5" hidden="1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20" t="s">
        <v>46</v>
      </c>
    </row>
    <row r="824" ht="22.5" hidden="1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20" t="s">
        <v>46</v>
      </c>
    </row>
    <row r="825" ht="22.5" hidden="1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20" t="s">
        <v>46</v>
      </c>
    </row>
    <row r="826" ht="22.5" hidden="1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20" t="s">
        <v>46</v>
      </c>
    </row>
    <row r="827" ht="22.5" hidden="1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20" t="s">
        <v>46</v>
      </c>
    </row>
    <row r="828" ht="22.5" hidden="1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20" t="s">
        <v>46</v>
      </c>
    </row>
    <row r="829" ht="22.5" hidden="1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20" t="s">
        <v>46</v>
      </c>
    </row>
    <row r="830" ht="22.5" hidden="1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20" t="s">
        <v>46</v>
      </c>
    </row>
    <row r="831" ht="22.5" hidden="1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20" t="s">
        <v>46</v>
      </c>
    </row>
    <row r="832" ht="22.5" hidden="1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20" t="s">
        <v>46</v>
      </c>
    </row>
    <row r="833" ht="22.5" hidden="1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20" t="s">
        <v>46</v>
      </c>
    </row>
    <row r="834" ht="22.5" hidden="1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20" t="s">
        <v>46</v>
      </c>
    </row>
    <row r="835" ht="22.5" hidden="1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20" t="s">
        <v>46</v>
      </c>
    </row>
    <row r="836" ht="22.5" hidden="1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20" t="s">
        <v>46</v>
      </c>
    </row>
    <row r="837" ht="22.5" hidden="1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20" t="s">
        <v>46</v>
      </c>
    </row>
    <row r="838" ht="22.5" hidden="1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20" t="s">
        <v>46</v>
      </c>
    </row>
    <row r="839" ht="22.5" hidden="1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20" t="s">
        <v>46</v>
      </c>
    </row>
    <row r="840" ht="22.5" hidden="1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20" t="s">
        <v>46</v>
      </c>
    </row>
    <row r="841" ht="22.5" hidden="1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20" t="s">
        <v>46</v>
      </c>
    </row>
    <row r="842" ht="22.5" hidden="1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20" t="s">
        <v>46</v>
      </c>
    </row>
    <row r="843" ht="22.5" hidden="1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20" t="s">
        <v>46</v>
      </c>
    </row>
    <row r="844" ht="22.5" hidden="1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20" t="s">
        <v>46</v>
      </c>
    </row>
    <row r="845" ht="22.5" hidden="1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20" t="s">
        <v>46</v>
      </c>
    </row>
    <row r="846" ht="22.5" hidden="1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20" t="s">
        <v>46</v>
      </c>
    </row>
    <row r="847" ht="22.5" hidden="1" customHeight="1">
      <c r="A847" s="18">
        <v>943.0</v>
      </c>
      <c r="B847" s="18">
        <v>76.0</v>
      </c>
      <c r="C847" s="18">
        <v>34.0</v>
      </c>
      <c r="D847" s="18">
        <v>12.0</v>
      </c>
      <c r="E847" s="18" t="b">
        <v>1</v>
      </c>
      <c r="G847" s="20" t="s">
        <v>46</v>
      </c>
    </row>
    <row r="848" ht="22.5" hidden="1" customHeight="1">
      <c r="A848" s="18">
        <v>944.0</v>
      </c>
      <c r="B848" s="18">
        <v>78.0</v>
      </c>
      <c r="C848" s="18">
        <v>34.0</v>
      </c>
      <c r="D848" s="18">
        <v>12.0</v>
      </c>
      <c r="E848" s="18" t="b">
        <v>1</v>
      </c>
      <c r="G848" s="20" t="s">
        <v>46</v>
      </c>
    </row>
    <row r="849" ht="22.5" hidden="1" customHeight="1">
      <c r="A849" s="18">
        <v>945.0</v>
      </c>
      <c r="B849" s="18">
        <v>80.0</v>
      </c>
      <c r="C849" s="18">
        <v>34.0</v>
      </c>
      <c r="D849" s="18">
        <v>12.0</v>
      </c>
      <c r="E849" s="18" t="b">
        <v>1</v>
      </c>
      <c r="G849" s="20" t="s">
        <v>46</v>
      </c>
    </row>
    <row r="850" ht="22.5" hidden="1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20" t="s">
        <v>46</v>
      </c>
    </row>
    <row r="851" ht="22.5" hidden="1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20" t="s">
        <v>46</v>
      </c>
    </row>
    <row r="852" ht="22.5" hidden="1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20" t="s">
        <v>46</v>
      </c>
    </row>
    <row r="853" ht="22.5" hidden="1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20" t="s">
        <v>46</v>
      </c>
    </row>
    <row r="854" ht="22.5" hidden="1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20" t="s">
        <v>46</v>
      </c>
    </row>
    <row r="855" ht="22.5" hidden="1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20" t="s">
        <v>46</v>
      </c>
    </row>
    <row r="856" ht="22.5" hidden="1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20" t="s">
        <v>46</v>
      </c>
    </row>
    <row r="857" ht="22.5" hidden="1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20" t="s">
        <v>46</v>
      </c>
    </row>
    <row r="858" ht="22.5" hidden="1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20" t="s">
        <v>46</v>
      </c>
    </row>
    <row r="859" ht="22.5" hidden="1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20" t="s">
        <v>46</v>
      </c>
    </row>
    <row r="860" ht="22.5" hidden="1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20" t="s">
        <v>46</v>
      </c>
    </row>
    <row r="861" ht="22.5" hidden="1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20" t="s">
        <v>46</v>
      </c>
    </row>
    <row r="862" ht="22.5" hidden="1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20" t="s">
        <v>46</v>
      </c>
    </row>
    <row r="863" ht="22.5" hidden="1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20" t="s">
        <v>46</v>
      </c>
    </row>
    <row r="864" ht="22.5" hidden="1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20" t="s">
        <v>46</v>
      </c>
    </row>
    <row r="865" ht="22.5" hidden="1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20" t="s">
        <v>46</v>
      </c>
    </row>
    <row r="866" ht="22.5" hidden="1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20" t="s">
        <v>46</v>
      </c>
    </row>
    <row r="867" ht="22.5" hidden="1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20" t="s">
        <v>46</v>
      </c>
    </row>
    <row r="868" ht="22.5" hidden="1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20" t="s">
        <v>46</v>
      </c>
    </row>
    <row r="869" ht="22.5" hidden="1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20" t="s">
        <v>46</v>
      </c>
    </row>
    <row r="870" ht="22.5" hidden="1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20" t="s">
        <v>46</v>
      </c>
    </row>
    <row r="871" ht="22.5" hidden="1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20" t="s">
        <v>46</v>
      </c>
    </row>
    <row r="872" ht="22.5" hidden="1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20" t="s">
        <v>46</v>
      </c>
    </row>
    <row r="873" ht="22.5" hidden="1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20" t="s">
        <v>46</v>
      </c>
    </row>
    <row r="874" ht="22.5" hidden="1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20" t="s">
        <v>46</v>
      </c>
    </row>
    <row r="875" ht="22.5" hidden="1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20" t="s">
        <v>46</v>
      </c>
    </row>
    <row r="876" ht="22.5" hidden="1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20" t="s">
        <v>46</v>
      </c>
    </row>
    <row r="877" ht="22.5" hidden="1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20" t="s">
        <v>46</v>
      </c>
    </row>
    <row r="878" ht="22.5" hidden="1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20" t="s">
        <v>46</v>
      </c>
    </row>
    <row r="879" ht="22.5" hidden="1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20" t="s">
        <v>46</v>
      </c>
    </row>
    <row r="880" ht="22.5" hidden="1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20" t="s">
        <v>46</v>
      </c>
    </row>
    <row r="881" ht="22.5" hidden="1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20" t="s">
        <v>46</v>
      </c>
    </row>
    <row r="882" ht="22.5" hidden="1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20" t="s">
        <v>46</v>
      </c>
    </row>
    <row r="883" ht="22.5" hidden="1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20" t="s">
        <v>46</v>
      </c>
    </row>
    <row r="884" ht="22.5" hidden="1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20" t="s">
        <v>46</v>
      </c>
    </row>
    <row r="885" ht="22.5" hidden="1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20" t="s">
        <v>46</v>
      </c>
    </row>
    <row r="886" ht="22.5" hidden="1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20" t="s">
        <v>46</v>
      </c>
    </row>
    <row r="887" ht="22.5" hidden="1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20" t="s">
        <v>46</v>
      </c>
    </row>
    <row r="888" ht="22.5" hidden="1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20" t="s">
        <v>46</v>
      </c>
    </row>
    <row r="889" ht="22.5" hidden="1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20" t="s">
        <v>46</v>
      </c>
    </row>
    <row r="890" ht="22.5" hidden="1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20" t="s">
        <v>46</v>
      </c>
    </row>
    <row r="891" ht="22.5" hidden="1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20" t="s">
        <v>46</v>
      </c>
    </row>
    <row r="892" ht="22.5" hidden="1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20" t="s">
        <v>46</v>
      </c>
    </row>
    <row r="893" ht="22.5" hidden="1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20" t="s">
        <v>46</v>
      </c>
    </row>
    <row r="894" ht="22.5" hidden="1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20" t="s">
        <v>46</v>
      </c>
    </row>
    <row r="895" ht="22.5" hidden="1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20" t="s">
        <v>46</v>
      </c>
    </row>
    <row r="896" ht="22.5" hidden="1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20" t="s">
        <v>46</v>
      </c>
    </row>
    <row r="897" ht="22.5" hidden="1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20" t="s">
        <v>46</v>
      </c>
    </row>
    <row r="898" ht="22.5" hidden="1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20" t="s">
        <v>46</v>
      </c>
    </row>
    <row r="899" ht="22.5" hidden="1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20" t="s">
        <v>46</v>
      </c>
    </row>
    <row r="900" ht="22.5" hidden="1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20" t="s">
        <v>46</v>
      </c>
    </row>
    <row r="901" ht="22.5" hidden="1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20" t="s">
        <v>46</v>
      </c>
    </row>
    <row r="902" ht="22.5" hidden="1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20" t="s">
        <v>46</v>
      </c>
    </row>
    <row r="903" ht="22.5" hidden="1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20" t="s">
        <v>46</v>
      </c>
    </row>
    <row r="904" ht="22.5" hidden="1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20" t="s">
        <v>46</v>
      </c>
    </row>
    <row r="905" ht="22.5" hidden="1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20" t="s">
        <v>46</v>
      </c>
    </row>
    <row r="906" ht="22.5" hidden="1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20" t="s">
        <v>46</v>
      </c>
    </row>
    <row r="907" ht="22.5" hidden="1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20" t="s">
        <v>46</v>
      </c>
    </row>
    <row r="908" ht="22.5" hidden="1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20" t="s">
        <v>46</v>
      </c>
    </row>
    <row r="909" ht="22.5" hidden="1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20" t="s">
        <v>46</v>
      </c>
    </row>
    <row r="910" ht="22.5" hidden="1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20" t="s">
        <v>46</v>
      </c>
    </row>
    <row r="911" ht="22.5" hidden="1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20" t="s">
        <v>46</v>
      </c>
    </row>
    <row r="912" ht="22.5" hidden="1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20" t="s">
        <v>46</v>
      </c>
    </row>
    <row r="913" ht="22.5" hidden="1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20" t="s">
        <v>46</v>
      </c>
    </row>
    <row r="914" ht="22.5" hidden="1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20" t="s">
        <v>46</v>
      </c>
    </row>
    <row r="915" ht="22.5" hidden="1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20" t="s">
        <v>46</v>
      </c>
    </row>
    <row r="916" ht="22.5" hidden="1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20" t="s">
        <v>46</v>
      </c>
    </row>
    <row r="917" ht="22.5" hidden="1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20" t="s">
        <v>46</v>
      </c>
    </row>
    <row r="918" ht="22.5" hidden="1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20" t="s">
        <v>46</v>
      </c>
    </row>
    <row r="919" ht="22.5" hidden="1" customHeight="1">
      <c r="A919" s="18">
        <v>1016.0</v>
      </c>
      <c r="B919" s="18">
        <v>74.0</v>
      </c>
      <c r="C919" s="18">
        <v>22.0</v>
      </c>
      <c r="D919" s="18">
        <v>13.0</v>
      </c>
      <c r="E919" s="18" t="b">
        <v>1</v>
      </c>
      <c r="G919" s="20" t="s">
        <v>46</v>
      </c>
    </row>
    <row r="920" ht="22.5" hidden="1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20" t="s">
        <v>46</v>
      </c>
    </row>
    <row r="921" ht="22.5" hidden="1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20" t="s">
        <v>46</v>
      </c>
    </row>
    <row r="922" ht="22.5" hidden="1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20" t="s">
        <v>46</v>
      </c>
    </row>
    <row r="923" ht="22.5" hidden="1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20" t="s">
        <v>46</v>
      </c>
    </row>
    <row r="924" ht="22.5" hidden="1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20" t="s">
        <v>46</v>
      </c>
    </row>
    <row r="925" ht="22.5" hidden="1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20" t="s">
        <v>46</v>
      </c>
    </row>
    <row r="926" ht="22.5" hidden="1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20" t="s">
        <v>46</v>
      </c>
    </row>
    <row r="927" ht="22.5" hidden="1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20" t="s">
        <v>46</v>
      </c>
    </row>
    <row r="928" ht="22.5" hidden="1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20" t="s">
        <v>46</v>
      </c>
    </row>
    <row r="929" ht="22.5" hidden="1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20" t="s">
        <v>46</v>
      </c>
    </row>
    <row r="930" ht="22.5" hidden="1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20" t="s">
        <v>46</v>
      </c>
    </row>
    <row r="931" ht="22.5" hidden="1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20" t="s">
        <v>46</v>
      </c>
    </row>
    <row r="932" ht="22.5" hidden="1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20" t="s">
        <v>46</v>
      </c>
    </row>
    <row r="933" ht="22.5" hidden="1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20" t="s">
        <v>46</v>
      </c>
    </row>
    <row r="934" ht="22.5" hidden="1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20" t="s">
        <v>46</v>
      </c>
    </row>
    <row r="935" ht="22.5" hidden="1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20" t="s">
        <v>46</v>
      </c>
    </row>
    <row r="936" ht="22.5" hidden="1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20" t="s">
        <v>46</v>
      </c>
    </row>
    <row r="937" ht="22.5" hidden="1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20" t="s">
        <v>46</v>
      </c>
    </row>
    <row r="938" ht="22.5" hidden="1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20" t="s">
        <v>46</v>
      </c>
    </row>
    <row r="939" ht="22.5" hidden="1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20" t="s">
        <v>46</v>
      </c>
    </row>
    <row r="940" ht="22.5" hidden="1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20" t="s">
        <v>46</v>
      </c>
    </row>
    <row r="941" ht="22.5" hidden="1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20" t="s">
        <v>46</v>
      </c>
    </row>
    <row r="942" ht="22.5" hidden="1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20" t="s">
        <v>46</v>
      </c>
    </row>
    <row r="943" ht="22.5" hidden="1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20" t="s">
        <v>46</v>
      </c>
    </row>
    <row r="944" ht="22.5" hidden="1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20" t="s">
        <v>46</v>
      </c>
    </row>
    <row r="945" ht="22.5" hidden="1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20" t="s">
        <v>46</v>
      </c>
    </row>
    <row r="946" ht="22.5" hidden="1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20" t="s">
        <v>46</v>
      </c>
    </row>
    <row r="947" ht="22.5" hidden="1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20" t="s">
        <v>46</v>
      </c>
    </row>
    <row r="948" ht="22.5" hidden="1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20" t="s">
        <v>46</v>
      </c>
    </row>
    <row r="949" ht="22.5" hidden="1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20" t="s">
        <v>46</v>
      </c>
    </row>
    <row r="950" ht="22.5" hidden="1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20" t="s">
        <v>46</v>
      </c>
    </row>
    <row r="951" ht="22.5" hidden="1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20" t="s">
        <v>46</v>
      </c>
    </row>
    <row r="952" ht="22.5" hidden="1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20" t="s">
        <v>46</v>
      </c>
    </row>
    <row r="953" ht="22.5" hidden="1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20" t="s">
        <v>46</v>
      </c>
    </row>
    <row r="954" ht="22.5" hidden="1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20" t="s">
        <v>46</v>
      </c>
    </row>
    <row r="955" ht="22.5" hidden="1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20" t="s">
        <v>46</v>
      </c>
    </row>
    <row r="956" ht="22.5" hidden="1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20" t="s">
        <v>46</v>
      </c>
    </row>
    <row r="957" ht="22.5" hidden="1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20" t="s">
        <v>46</v>
      </c>
    </row>
    <row r="958" ht="22.5" hidden="1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20" t="s">
        <v>46</v>
      </c>
    </row>
    <row r="959" ht="22.5" hidden="1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20" t="s">
        <v>46</v>
      </c>
    </row>
    <row r="960" ht="22.5" hidden="1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20" t="s">
        <v>46</v>
      </c>
    </row>
    <row r="961" ht="22.5" hidden="1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20" t="s">
        <v>46</v>
      </c>
    </row>
    <row r="962" ht="22.5" hidden="1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20" t="s">
        <v>46</v>
      </c>
    </row>
    <row r="963" ht="22.5" hidden="1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20" t="s">
        <v>46</v>
      </c>
    </row>
    <row r="964" ht="22.5" hidden="1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20" t="s">
        <v>46</v>
      </c>
    </row>
    <row r="965" ht="22.5" hidden="1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20" t="s">
        <v>46</v>
      </c>
    </row>
    <row r="966" ht="22.5" hidden="1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20" t="s">
        <v>46</v>
      </c>
    </row>
    <row r="967" ht="22.5" hidden="1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20" t="s">
        <v>46</v>
      </c>
    </row>
    <row r="968" ht="22.5" hidden="1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20" t="s">
        <v>46</v>
      </c>
    </row>
    <row r="969" ht="22.5" hidden="1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20" t="s">
        <v>46</v>
      </c>
    </row>
    <row r="970" ht="22.5" hidden="1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20" t="s">
        <v>46</v>
      </c>
    </row>
    <row r="971" ht="22.5" hidden="1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20" t="s">
        <v>46</v>
      </c>
    </row>
    <row r="972" ht="22.5" hidden="1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20" t="s">
        <v>46</v>
      </c>
    </row>
    <row r="973" ht="22.5" hidden="1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20" t="s">
        <v>46</v>
      </c>
    </row>
    <row r="974" ht="22.5" hidden="1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20" t="s">
        <v>46</v>
      </c>
    </row>
    <row r="975" ht="22.5" hidden="1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20" t="s">
        <v>46</v>
      </c>
    </row>
    <row r="976" ht="22.5" hidden="1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20" t="s">
        <v>46</v>
      </c>
    </row>
    <row r="977" ht="22.5" hidden="1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20" t="s">
        <v>46</v>
      </c>
    </row>
    <row r="978" ht="22.5" hidden="1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20" t="s">
        <v>46</v>
      </c>
    </row>
    <row r="979" ht="22.5" hidden="1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20" t="s">
        <v>46</v>
      </c>
    </row>
    <row r="980" ht="22.5" hidden="1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20" t="s">
        <v>46</v>
      </c>
    </row>
    <row r="981" ht="22.5" hidden="1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20" t="s">
        <v>46</v>
      </c>
    </row>
    <row r="982" ht="22.5" hidden="1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20" t="s">
        <v>46</v>
      </c>
    </row>
    <row r="983" ht="22.5" hidden="1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20" t="s">
        <v>46</v>
      </c>
    </row>
    <row r="984" ht="22.5" hidden="1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20" t="s">
        <v>46</v>
      </c>
    </row>
    <row r="985" ht="22.5" hidden="1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20" t="s">
        <v>46</v>
      </c>
    </row>
    <row r="986" ht="22.5" hidden="1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20" t="s">
        <v>46</v>
      </c>
    </row>
    <row r="987" ht="22.5" hidden="1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20" t="s">
        <v>46</v>
      </c>
    </row>
    <row r="988" ht="22.5" hidden="1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20" t="s">
        <v>46</v>
      </c>
    </row>
    <row r="989" ht="22.5" hidden="1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20" t="s">
        <v>46</v>
      </c>
    </row>
    <row r="990" ht="22.5" hidden="1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20" t="s">
        <v>46</v>
      </c>
    </row>
    <row r="991" ht="22.5" hidden="1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20" t="s">
        <v>46</v>
      </c>
    </row>
    <row r="992" ht="22.5" hidden="1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20" t="s">
        <v>46</v>
      </c>
    </row>
    <row r="993" ht="22.5" hidden="1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20" t="s">
        <v>46</v>
      </c>
    </row>
    <row r="994" ht="22.5" hidden="1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20" t="s">
        <v>46</v>
      </c>
    </row>
    <row r="995" ht="22.5" hidden="1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20" t="s">
        <v>46</v>
      </c>
    </row>
    <row r="996" ht="22.5" hidden="1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20" t="s">
        <v>46</v>
      </c>
    </row>
    <row r="997" ht="22.5" hidden="1" customHeight="1">
      <c r="A997" s="18">
        <v>1094.0</v>
      </c>
      <c r="B997" s="18">
        <v>60.0</v>
      </c>
      <c r="C997" s="18">
        <v>33.0</v>
      </c>
      <c r="D997" s="18">
        <v>14.0</v>
      </c>
      <c r="E997" s="18" t="b">
        <v>1</v>
      </c>
      <c r="G997" s="20" t="s">
        <v>46</v>
      </c>
    </row>
    <row r="998" ht="22.5" hidden="1" customHeight="1">
      <c r="A998" s="18">
        <v>1095.0</v>
      </c>
      <c r="B998" s="18">
        <v>61.0</v>
      </c>
      <c r="C998" s="18">
        <v>33.0</v>
      </c>
      <c r="D998" s="18">
        <v>14.0</v>
      </c>
      <c r="E998" s="18" t="b">
        <v>1</v>
      </c>
      <c r="G998" s="20" t="s">
        <v>46</v>
      </c>
    </row>
    <row r="999" ht="22.5" hidden="1" customHeight="1">
      <c r="A999" s="18">
        <v>1096.0</v>
      </c>
      <c r="B999" s="18">
        <v>62.0</v>
      </c>
      <c r="C999" s="18">
        <v>33.0</v>
      </c>
      <c r="D999" s="18">
        <v>14.0</v>
      </c>
      <c r="E999" s="18" t="b">
        <v>1</v>
      </c>
      <c r="G999" s="20" t="s">
        <v>46</v>
      </c>
    </row>
    <row r="1000" ht="22.5" hidden="1" customHeight="1">
      <c r="A1000" s="18">
        <v>1097.0</v>
      </c>
      <c r="B1000" s="18">
        <v>63.0</v>
      </c>
      <c r="C1000" s="18">
        <v>22.0</v>
      </c>
      <c r="D1000" s="18">
        <v>14.0</v>
      </c>
      <c r="E1000" s="18" t="b">
        <v>1</v>
      </c>
      <c r="G1000" s="20" t="s">
        <v>46</v>
      </c>
    </row>
    <row r="1001" ht="22.5" hidden="1" customHeight="1">
      <c r="A1001" s="18">
        <v>1098.0</v>
      </c>
      <c r="B1001" s="18">
        <v>64.0</v>
      </c>
      <c r="C1001" s="18">
        <v>22.0</v>
      </c>
      <c r="D1001" s="18">
        <v>14.0</v>
      </c>
      <c r="E1001" s="18" t="b">
        <v>1</v>
      </c>
      <c r="G1001" s="20" t="s">
        <v>46</v>
      </c>
    </row>
    <row r="1002" ht="22.5" hidden="1" customHeight="1">
      <c r="A1002" s="18">
        <v>1099.0</v>
      </c>
      <c r="B1002" s="18">
        <v>65.0</v>
      </c>
      <c r="C1002" s="18">
        <v>28.0</v>
      </c>
      <c r="D1002" s="18">
        <v>14.0</v>
      </c>
      <c r="E1002" s="18" t="b">
        <v>1</v>
      </c>
      <c r="G1002" s="20" t="s">
        <v>46</v>
      </c>
    </row>
    <row r="1003" ht="22.5" hidden="1" customHeight="1">
      <c r="A1003" s="18">
        <v>1100.0</v>
      </c>
      <c r="B1003" s="18">
        <v>65.0</v>
      </c>
      <c r="C1003" s="18">
        <v>29.0</v>
      </c>
      <c r="D1003" s="18">
        <v>14.0</v>
      </c>
      <c r="E1003" s="18" t="b">
        <v>0</v>
      </c>
      <c r="G1003" s="20" t="s">
        <v>46</v>
      </c>
    </row>
    <row r="1004" ht="22.5" hidden="1" customHeight="1">
      <c r="A1004" s="18">
        <v>1101.0</v>
      </c>
      <c r="B1004" s="18">
        <v>111.0</v>
      </c>
      <c r="C1004" s="18">
        <v>28.0</v>
      </c>
      <c r="D1004" s="18">
        <v>14.0</v>
      </c>
      <c r="E1004" s="18" t="b">
        <v>1</v>
      </c>
      <c r="G1004" s="20" t="s">
        <v>46</v>
      </c>
    </row>
    <row r="1005" ht="22.5" hidden="1" customHeight="1">
      <c r="A1005" s="18">
        <v>1102.0</v>
      </c>
      <c r="B1005" s="18">
        <v>111.0</v>
      </c>
      <c r="C1005" s="18">
        <v>29.0</v>
      </c>
      <c r="D1005" s="18">
        <v>14.0</v>
      </c>
      <c r="E1005" s="18" t="b">
        <v>0</v>
      </c>
      <c r="G1005" s="20" t="s">
        <v>46</v>
      </c>
    </row>
    <row r="1006" ht="22.5" hidden="1" customHeight="1">
      <c r="A1006" s="18">
        <v>1103.0</v>
      </c>
      <c r="B1006" s="18">
        <v>74.0</v>
      </c>
      <c r="C1006" s="18">
        <v>29.0</v>
      </c>
      <c r="D1006" s="18">
        <v>14.0</v>
      </c>
      <c r="E1006" s="18" t="b">
        <v>1</v>
      </c>
      <c r="G1006" s="20" t="s">
        <v>46</v>
      </c>
    </row>
    <row r="1007" ht="22.5" hidden="1" customHeight="1">
      <c r="A1007" s="18">
        <v>1104.0</v>
      </c>
      <c r="B1007" s="18">
        <v>75.0</v>
      </c>
      <c r="C1007" s="18">
        <v>22.0</v>
      </c>
      <c r="D1007" s="18">
        <v>14.0</v>
      </c>
      <c r="E1007" s="18" t="b">
        <v>1</v>
      </c>
      <c r="G1007" s="20" t="s">
        <v>46</v>
      </c>
    </row>
    <row r="1008" ht="22.5" hidden="1" customHeight="1">
      <c r="A1008" s="18">
        <v>1105.0</v>
      </c>
      <c r="B1008" s="18">
        <v>76.0</v>
      </c>
      <c r="C1008" s="18">
        <v>22.0</v>
      </c>
      <c r="D1008" s="18">
        <v>14.0</v>
      </c>
      <c r="E1008" s="18" t="b">
        <v>1</v>
      </c>
      <c r="G1008" s="20" t="s">
        <v>46</v>
      </c>
    </row>
    <row r="1009" ht="22.5" hidden="1" customHeight="1">
      <c r="A1009" s="18">
        <v>1106.0</v>
      </c>
      <c r="B1009" s="18">
        <v>77.0</v>
      </c>
      <c r="C1009" s="18">
        <v>22.0</v>
      </c>
      <c r="D1009" s="18">
        <v>14.0</v>
      </c>
      <c r="E1009" s="18" t="b">
        <v>1</v>
      </c>
      <c r="G1009" s="20" t="s">
        <v>46</v>
      </c>
    </row>
    <row r="1010" ht="22.5" hidden="1" customHeight="1">
      <c r="A1010" s="18">
        <v>1107.0</v>
      </c>
      <c r="B1010" s="18">
        <v>78.0</v>
      </c>
      <c r="C1010" s="18">
        <v>22.0</v>
      </c>
      <c r="D1010" s="18">
        <v>14.0</v>
      </c>
      <c r="E1010" s="18" t="b">
        <v>1</v>
      </c>
      <c r="G1010" s="20" t="s">
        <v>46</v>
      </c>
    </row>
    <row r="1011" ht="22.5" hidden="1" customHeight="1">
      <c r="A1011" s="18">
        <v>1108.0</v>
      </c>
      <c r="B1011" s="18">
        <v>79.0</v>
      </c>
      <c r="C1011" s="18">
        <v>22.0</v>
      </c>
      <c r="D1011" s="18">
        <v>14.0</v>
      </c>
      <c r="E1011" s="18" t="b">
        <v>1</v>
      </c>
      <c r="G1011" s="20" t="s">
        <v>46</v>
      </c>
    </row>
    <row r="1012" ht="22.5" hidden="1" customHeight="1">
      <c r="A1012" s="18">
        <v>1109.0</v>
      </c>
      <c r="B1012" s="18">
        <v>80.0</v>
      </c>
      <c r="C1012" s="18">
        <v>22.0</v>
      </c>
      <c r="D1012" s="18">
        <v>14.0</v>
      </c>
      <c r="E1012" s="18" t="b">
        <v>1</v>
      </c>
      <c r="G1012" s="20" t="s">
        <v>46</v>
      </c>
    </row>
    <row r="1013" ht="22.5" hidden="1" customHeight="1">
      <c r="A1013" s="18">
        <v>1110.0</v>
      </c>
      <c r="B1013" s="18">
        <v>81.0</v>
      </c>
      <c r="C1013" s="18">
        <v>22.0</v>
      </c>
      <c r="D1013" s="18">
        <v>14.0</v>
      </c>
      <c r="E1013" s="18" t="b">
        <v>1</v>
      </c>
      <c r="G1013" s="20" t="s">
        <v>46</v>
      </c>
    </row>
    <row r="1014" ht="22.5" hidden="1" customHeight="1">
      <c r="A1014" s="18">
        <v>1111.0</v>
      </c>
      <c r="B1014" s="18">
        <v>83.0</v>
      </c>
      <c r="C1014" s="18">
        <v>28.0</v>
      </c>
      <c r="D1014" s="18">
        <v>14.0</v>
      </c>
      <c r="E1014" s="18" t="b">
        <v>1</v>
      </c>
      <c r="G1014" s="20" t="s">
        <v>46</v>
      </c>
    </row>
    <row r="1015" ht="22.5" hidden="1" customHeight="1">
      <c r="A1015" s="18">
        <v>1112.0</v>
      </c>
      <c r="B1015" s="18">
        <v>83.0</v>
      </c>
      <c r="C1015" s="18">
        <v>29.0</v>
      </c>
      <c r="D1015" s="18">
        <v>14.0</v>
      </c>
      <c r="E1015" s="18" t="b">
        <v>0</v>
      </c>
      <c r="G1015" s="20" t="s">
        <v>46</v>
      </c>
    </row>
    <row r="1016" ht="22.5" hidden="1" customHeight="1">
      <c r="A1016" s="18">
        <v>1113.0</v>
      </c>
      <c r="B1016" s="18">
        <v>84.0</v>
      </c>
      <c r="C1016" s="18">
        <v>22.0</v>
      </c>
      <c r="D1016" s="18">
        <v>14.0</v>
      </c>
      <c r="E1016" s="18" t="b">
        <v>1</v>
      </c>
      <c r="G1016" s="20" t="s">
        <v>46</v>
      </c>
    </row>
    <row r="1017" ht="22.5" hidden="1" customHeight="1">
      <c r="A1017" s="18">
        <v>1114.0</v>
      </c>
      <c r="B1017" s="18">
        <v>1.0</v>
      </c>
      <c r="C1017" s="18">
        <v>28.0</v>
      </c>
      <c r="D1017" s="18">
        <v>15.0</v>
      </c>
      <c r="E1017" s="18" t="b">
        <v>1</v>
      </c>
      <c r="G1017" s="20" t="s">
        <v>46</v>
      </c>
    </row>
    <row r="1018" ht="22.5" hidden="1" customHeight="1">
      <c r="A1018" s="18">
        <v>1115.0</v>
      </c>
      <c r="B1018" s="18">
        <v>1.0</v>
      </c>
      <c r="C1018" s="18">
        <v>29.0</v>
      </c>
      <c r="D1018" s="18">
        <v>15.0</v>
      </c>
      <c r="E1018" s="18" t="b">
        <v>0</v>
      </c>
      <c r="G1018" s="20" t="s">
        <v>46</v>
      </c>
    </row>
    <row r="1019" ht="22.5" hidden="1" customHeight="1">
      <c r="A1019" s="18">
        <v>1116.0</v>
      </c>
      <c r="B1019" s="18">
        <v>2.0</v>
      </c>
      <c r="C1019" s="18">
        <v>28.0</v>
      </c>
      <c r="D1019" s="18">
        <v>15.0</v>
      </c>
      <c r="E1019" s="18" t="b">
        <v>1</v>
      </c>
      <c r="G1019" s="20" t="s">
        <v>46</v>
      </c>
    </row>
    <row r="1020" ht="22.5" hidden="1" customHeight="1">
      <c r="A1020" s="18">
        <v>1117.0</v>
      </c>
      <c r="B1020" s="18">
        <v>2.0</v>
      </c>
      <c r="C1020" s="18">
        <v>29.0</v>
      </c>
      <c r="D1020" s="18">
        <v>15.0</v>
      </c>
      <c r="E1020" s="18" t="b">
        <v>0</v>
      </c>
      <c r="G1020" s="20" t="s">
        <v>46</v>
      </c>
    </row>
    <row r="1021" ht="22.5" hidden="1" customHeight="1">
      <c r="A1021" s="18">
        <v>1118.0</v>
      </c>
      <c r="B1021" s="18">
        <v>3.0</v>
      </c>
      <c r="C1021" s="18">
        <v>28.0</v>
      </c>
      <c r="D1021" s="18">
        <v>15.0</v>
      </c>
      <c r="E1021" s="18" t="b">
        <v>1</v>
      </c>
      <c r="G1021" s="20" t="s">
        <v>46</v>
      </c>
    </row>
    <row r="1022" ht="22.5" hidden="1" customHeight="1">
      <c r="A1022" s="18">
        <v>1119.0</v>
      </c>
      <c r="B1022" s="18">
        <v>3.0</v>
      </c>
      <c r="C1022" s="18">
        <v>29.0</v>
      </c>
      <c r="D1022" s="18">
        <v>15.0</v>
      </c>
      <c r="E1022" s="18" t="b">
        <v>0</v>
      </c>
      <c r="G1022" s="20" t="s">
        <v>46</v>
      </c>
    </row>
    <row r="1023" ht="22.5" hidden="1" customHeight="1">
      <c r="A1023" s="18">
        <v>1120.0</v>
      </c>
      <c r="B1023" s="18">
        <v>4.0</v>
      </c>
      <c r="C1023" s="18">
        <v>28.0</v>
      </c>
      <c r="D1023" s="18">
        <v>15.0</v>
      </c>
      <c r="E1023" s="18" t="b">
        <v>1</v>
      </c>
      <c r="G1023" s="20" t="s">
        <v>46</v>
      </c>
    </row>
    <row r="1024" ht="22.5" hidden="1" customHeight="1">
      <c r="A1024" s="18">
        <v>1121.0</v>
      </c>
      <c r="B1024" s="18">
        <v>4.0</v>
      </c>
      <c r="C1024" s="18">
        <v>29.0</v>
      </c>
      <c r="D1024" s="18">
        <v>15.0</v>
      </c>
      <c r="E1024" s="18" t="b">
        <v>0</v>
      </c>
      <c r="G1024" s="20" t="s">
        <v>46</v>
      </c>
    </row>
    <row r="1025" ht="22.5" hidden="1" customHeight="1">
      <c r="A1025" s="18">
        <v>1122.0</v>
      </c>
      <c r="B1025" s="18">
        <v>5.0</v>
      </c>
      <c r="C1025" s="18">
        <v>28.0</v>
      </c>
      <c r="D1025" s="18">
        <v>15.0</v>
      </c>
      <c r="E1025" s="18" t="b">
        <v>1</v>
      </c>
      <c r="G1025" s="20" t="s">
        <v>46</v>
      </c>
    </row>
    <row r="1026" ht="22.5" hidden="1" customHeight="1">
      <c r="A1026" s="18">
        <v>1123.0</v>
      </c>
      <c r="B1026" s="18">
        <v>5.0</v>
      </c>
      <c r="C1026" s="18">
        <v>29.0</v>
      </c>
      <c r="D1026" s="18">
        <v>15.0</v>
      </c>
      <c r="E1026" s="18" t="b">
        <v>0</v>
      </c>
      <c r="G1026" s="20" t="s">
        <v>46</v>
      </c>
    </row>
    <row r="1027" ht="22.5" hidden="1" customHeight="1">
      <c r="A1027" s="18">
        <v>1124.0</v>
      </c>
      <c r="B1027" s="18">
        <v>6.0</v>
      </c>
      <c r="C1027" s="18">
        <v>28.0</v>
      </c>
      <c r="D1027" s="18">
        <v>15.0</v>
      </c>
      <c r="E1027" s="18" t="b">
        <v>1</v>
      </c>
      <c r="G1027" s="20" t="s">
        <v>46</v>
      </c>
    </row>
    <row r="1028" ht="22.5" hidden="1" customHeight="1">
      <c r="A1028" s="18">
        <v>1125.0</v>
      </c>
      <c r="B1028" s="18">
        <v>6.0</v>
      </c>
      <c r="C1028" s="18">
        <v>29.0</v>
      </c>
      <c r="D1028" s="18">
        <v>15.0</v>
      </c>
      <c r="E1028" s="18" t="b">
        <v>0</v>
      </c>
      <c r="G1028" s="20" t="s">
        <v>46</v>
      </c>
    </row>
    <row r="1029" ht="22.5" hidden="1" customHeight="1">
      <c r="A1029" s="18">
        <v>1126.0</v>
      </c>
      <c r="B1029" s="18">
        <v>7.0</v>
      </c>
      <c r="C1029" s="18">
        <v>28.0</v>
      </c>
      <c r="D1029" s="18">
        <v>15.0</v>
      </c>
      <c r="E1029" s="18" t="b">
        <v>1</v>
      </c>
      <c r="G1029" s="20" t="s">
        <v>46</v>
      </c>
    </row>
    <row r="1030" ht="22.5" hidden="1" customHeight="1">
      <c r="A1030" s="18">
        <v>1127.0</v>
      </c>
      <c r="B1030" s="18">
        <v>7.0</v>
      </c>
      <c r="C1030" s="18">
        <v>29.0</v>
      </c>
      <c r="D1030" s="18">
        <v>15.0</v>
      </c>
      <c r="E1030" s="18" t="b">
        <v>0</v>
      </c>
      <c r="G1030" s="20" t="s">
        <v>46</v>
      </c>
    </row>
    <row r="1031" ht="22.5" hidden="1" customHeight="1">
      <c r="A1031" s="18">
        <v>1128.0</v>
      </c>
      <c r="B1031" s="18">
        <v>8.0</v>
      </c>
      <c r="C1031" s="18">
        <v>28.0</v>
      </c>
      <c r="D1031" s="18">
        <v>15.0</v>
      </c>
      <c r="E1031" s="18" t="b">
        <v>1</v>
      </c>
      <c r="G1031" s="20" t="s">
        <v>46</v>
      </c>
    </row>
    <row r="1032" ht="22.5" hidden="1" customHeight="1">
      <c r="A1032" s="18">
        <v>1129.0</v>
      </c>
      <c r="B1032" s="18">
        <v>8.0</v>
      </c>
      <c r="C1032" s="18">
        <v>29.0</v>
      </c>
      <c r="D1032" s="18">
        <v>15.0</v>
      </c>
      <c r="E1032" s="18" t="b">
        <v>0</v>
      </c>
      <c r="G1032" s="20" t="s">
        <v>46</v>
      </c>
    </row>
    <row r="1033" ht="22.5" hidden="1" customHeight="1">
      <c r="A1033" s="18">
        <v>1130.0</v>
      </c>
      <c r="B1033" s="18">
        <v>9.0</v>
      </c>
      <c r="C1033" s="18">
        <v>28.0</v>
      </c>
      <c r="D1033" s="18">
        <v>15.0</v>
      </c>
      <c r="E1033" s="18" t="b">
        <v>1</v>
      </c>
      <c r="G1033" s="20" t="s">
        <v>46</v>
      </c>
    </row>
    <row r="1034" ht="22.5" hidden="1" customHeight="1">
      <c r="A1034" s="18">
        <v>1131.0</v>
      </c>
      <c r="B1034" s="18">
        <v>9.0</v>
      </c>
      <c r="C1034" s="18">
        <v>29.0</v>
      </c>
      <c r="D1034" s="18">
        <v>15.0</v>
      </c>
      <c r="E1034" s="18" t="b">
        <v>0</v>
      </c>
      <c r="G1034" s="20" t="s">
        <v>46</v>
      </c>
    </row>
    <row r="1035" ht="22.5" hidden="1" customHeight="1">
      <c r="A1035" s="18">
        <v>1132.0</v>
      </c>
      <c r="B1035" s="18">
        <v>10.0</v>
      </c>
      <c r="C1035" s="18">
        <v>28.0</v>
      </c>
      <c r="D1035" s="18">
        <v>15.0</v>
      </c>
      <c r="E1035" s="18" t="b">
        <v>1</v>
      </c>
      <c r="G1035" s="20" t="s">
        <v>46</v>
      </c>
    </row>
    <row r="1036" ht="22.5" hidden="1" customHeight="1">
      <c r="A1036" s="18">
        <v>1133.0</v>
      </c>
      <c r="B1036" s="18">
        <v>10.0</v>
      </c>
      <c r="C1036" s="18">
        <v>29.0</v>
      </c>
      <c r="D1036" s="18">
        <v>15.0</v>
      </c>
      <c r="E1036" s="18" t="b">
        <v>0</v>
      </c>
      <c r="G1036" s="20" t="s">
        <v>46</v>
      </c>
    </row>
    <row r="1037" ht="22.5" hidden="1" customHeight="1">
      <c r="A1037" s="18">
        <v>1134.0</v>
      </c>
      <c r="B1037" s="18">
        <v>11.0</v>
      </c>
      <c r="C1037" s="18">
        <v>28.0</v>
      </c>
      <c r="D1037" s="18">
        <v>15.0</v>
      </c>
      <c r="E1037" s="18" t="b">
        <v>1</v>
      </c>
      <c r="G1037" s="20" t="s">
        <v>46</v>
      </c>
    </row>
    <row r="1038" ht="22.5" hidden="1" customHeight="1">
      <c r="A1038" s="18">
        <v>1135.0</v>
      </c>
      <c r="B1038" s="18">
        <v>11.0</v>
      </c>
      <c r="C1038" s="18">
        <v>29.0</v>
      </c>
      <c r="D1038" s="18">
        <v>15.0</v>
      </c>
      <c r="E1038" s="18" t="b">
        <v>0</v>
      </c>
      <c r="G1038" s="20" t="s">
        <v>46</v>
      </c>
    </row>
    <row r="1039" ht="22.5" hidden="1" customHeight="1">
      <c r="A1039" s="18">
        <v>1136.0</v>
      </c>
      <c r="B1039" s="18">
        <v>12.0</v>
      </c>
      <c r="C1039" s="18">
        <v>28.0</v>
      </c>
      <c r="D1039" s="18">
        <v>15.0</v>
      </c>
      <c r="E1039" s="18" t="b">
        <v>1</v>
      </c>
      <c r="G1039" s="20" t="s">
        <v>46</v>
      </c>
    </row>
    <row r="1040" ht="22.5" hidden="1" customHeight="1">
      <c r="A1040" s="18">
        <v>1137.0</v>
      </c>
      <c r="B1040" s="18">
        <v>12.0</v>
      </c>
      <c r="C1040" s="18">
        <v>29.0</v>
      </c>
      <c r="D1040" s="18">
        <v>15.0</v>
      </c>
      <c r="E1040" s="18" t="b">
        <v>0</v>
      </c>
      <c r="G1040" s="20" t="s">
        <v>46</v>
      </c>
    </row>
    <row r="1041" ht="22.5" hidden="1" customHeight="1">
      <c r="A1041" s="18">
        <v>1138.0</v>
      </c>
      <c r="B1041" s="18">
        <v>13.0</v>
      </c>
      <c r="C1041" s="18">
        <v>28.0</v>
      </c>
      <c r="D1041" s="18">
        <v>15.0</v>
      </c>
      <c r="E1041" s="18" t="b">
        <v>1</v>
      </c>
      <c r="G1041" s="20" t="s">
        <v>46</v>
      </c>
    </row>
    <row r="1042" ht="22.5" hidden="1" customHeight="1">
      <c r="A1042" s="18">
        <v>1139.0</v>
      </c>
      <c r="B1042" s="18">
        <v>13.0</v>
      </c>
      <c r="C1042" s="18">
        <v>29.0</v>
      </c>
      <c r="D1042" s="18">
        <v>15.0</v>
      </c>
      <c r="E1042" s="18" t="b">
        <v>0</v>
      </c>
      <c r="G1042" s="20" t="s">
        <v>46</v>
      </c>
    </row>
    <row r="1043" ht="22.5" hidden="1" customHeight="1">
      <c r="A1043" s="18">
        <v>1140.0</v>
      </c>
      <c r="B1043" s="18">
        <v>14.0</v>
      </c>
      <c r="C1043" s="18">
        <v>28.0</v>
      </c>
      <c r="D1043" s="18">
        <v>15.0</v>
      </c>
      <c r="E1043" s="18" t="b">
        <v>1</v>
      </c>
      <c r="G1043" s="20" t="s">
        <v>46</v>
      </c>
    </row>
    <row r="1044" ht="22.5" hidden="1" customHeight="1">
      <c r="A1044" s="18">
        <v>1141.0</v>
      </c>
      <c r="B1044" s="18">
        <v>14.0</v>
      </c>
      <c r="C1044" s="18">
        <v>29.0</v>
      </c>
      <c r="D1044" s="18">
        <v>15.0</v>
      </c>
      <c r="E1044" s="18" t="b">
        <v>0</v>
      </c>
      <c r="G1044" s="20" t="s">
        <v>46</v>
      </c>
    </row>
    <row r="1045" ht="22.5" hidden="1" customHeight="1">
      <c r="A1045" s="18">
        <v>1142.0</v>
      </c>
      <c r="B1045" s="18">
        <v>15.0</v>
      </c>
      <c r="C1045" s="18">
        <v>28.0</v>
      </c>
      <c r="D1045" s="18">
        <v>15.0</v>
      </c>
      <c r="E1045" s="18" t="b">
        <v>1</v>
      </c>
      <c r="G1045" s="20" t="s">
        <v>46</v>
      </c>
    </row>
    <row r="1046" ht="22.5" hidden="1" customHeight="1">
      <c r="A1046" s="18">
        <v>1143.0</v>
      </c>
      <c r="B1046" s="18">
        <v>15.0</v>
      </c>
      <c r="C1046" s="18">
        <v>29.0</v>
      </c>
      <c r="D1046" s="18">
        <v>15.0</v>
      </c>
      <c r="E1046" s="18" t="b">
        <v>0</v>
      </c>
      <c r="G1046" s="20" t="s">
        <v>46</v>
      </c>
    </row>
    <row r="1047" ht="22.5" hidden="1" customHeight="1">
      <c r="A1047" s="18">
        <v>1144.0</v>
      </c>
      <c r="B1047" s="18">
        <v>16.0</v>
      </c>
      <c r="C1047" s="18">
        <v>28.0</v>
      </c>
      <c r="D1047" s="18">
        <v>15.0</v>
      </c>
      <c r="E1047" s="18" t="b">
        <v>1</v>
      </c>
      <c r="G1047" s="20" t="s">
        <v>46</v>
      </c>
    </row>
    <row r="1048" ht="22.5" hidden="1" customHeight="1">
      <c r="A1048" s="18">
        <v>1145.0</v>
      </c>
      <c r="B1048" s="18">
        <v>16.0</v>
      </c>
      <c r="C1048" s="18">
        <v>29.0</v>
      </c>
      <c r="D1048" s="18">
        <v>15.0</v>
      </c>
      <c r="E1048" s="18" t="b">
        <v>0</v>
      </c>
      <c r="G1048" s="20" t="s">
        <v>46</v>
      </c>
    </row>
    <row r="1049" ht="22.5" hidden="1" customHeight="1">
      <c r="A1049" s="18">
        <v>1146.0</v>
      </c>
      <c r="B1049" s="18">
        <v>17.0</v>
      </c>
      <c r="C1049" s="18">
        <v>28.0</v>
      </c>
      <c r="D1049" s="18">
        <v>15.0</v>
      </c>
      <c r="E1049" s="18" t="b">
        <v>1</v>
      </c>
      <c r="G1049" s="20" t="s">
        <v>46</v>
      </c>
    </row>
    <row r="1050" ht="22.5" hidden="1" customHeight="1">
      <c r="A1050" s="18">
        <v>1147.0</v>
      </c>
      <c r="B1050" s="18">
        <v>17.0</v>
      </c>
      <c r="C1050" s="18">
        <v>29.0</v>
      </c>
      <c r="D1050" s="18">
        <v>15.0</v>
      </c>
      <c r="E1050" s="18" t="b">
        <v>0</v>
      </c>
      <c r="G1050" s="20" t="s">
        <v>46</v>
      </c>
    </row>
    <row r="1051" ht="22.5" hidden="1" customHeight="1">
      <c r="A1051" s="18">
        <v>1148.0</v>
      </c>
      <c r="B1051" s="18">
        <v>18.0</v>
      </c>
      <c r="C1051" s="18">
        <v>28.0</v>
      </c>
      <c r="D1051" s="18">
        <v>15.0</v>
      </c>
      <c r="E1051" s="18" t="b">
        <v>1</v>
      </c>
      <c r="G1051" s="20" t="s">
        <v>46</v>
      </c>
    </row>
    <row r="1052" ht="22.5" hidden="1" customHeight="1">
      <c r="A1052" s="18">
        <v>1149.0</v>
      </c>
      <c r="B1052" s="18">
        <v>18.0</v>
      </c>
      <c r="C1052" s="18">
        <v>29.0</v>
      </c>
      <c r="D1052" s="18">
        <v>15.0</v>
      </c>
      <c r="E1052" s="18" t="b">
        <v>0</v>
      </c>
      <c r="G1052" s="20" t="s">
        <v>46</v>
      </c>
    </row>
    <row r="1053" ht="22.5" hidden="1" customHeight="1">
      <c r="A1053" s="18">
        <v>1150.0</v>
      </c>
      <c r="B1053" s="18">
        <v>19.0</v>
      </c>
      <c r="C1053" s="18">
        <v>28.0</v>
      </c>
      <c r="D1053" s="18">
        <v>15.0</v>
      </c>
      <c r="E1053" s="18" t="b">
        <v>1</v>
      </c>
      <c r="G1053" s="20" t="s">
        <v>46</v>
      </c>
    </row>
    <row r="1054" ht="22.5" hidden="1" customHeight="1">
      <c r="A1054" s="18">
        <v>1151.0</v>
      </c>
      <c r="B1054" s="18">
        <v>19.0</v>
      </c>
      <c r="C1054" s="18">
        <v>29.0</v>
      </c>
      <c r="D1054" s="18">
        <v>15.0</v>
      </c>
      <c r="E1054" s="18" t="b">
        <v>0</v>
      </c>
      <c r="G1054" s="20" t="s">
        <v>46</v>
      </c>
    </row>
    <row r="1055" ht="22.5" hidden="1" customHeight="1">
      <c r="A1055" s="18">
        <v>1152.0</v>
      </c>
      <c r="B1055" s="18">
        <v>20.0</v>
      </c>
      <c r="C1055" s="18">
        <v>29.0</v>
      </c>
      <c r="D1055" s="18">
        <v>15.0</v>
      </c>
      <c r="E1055" s="18" t="b">
        <v>1</v>
      </c>
      <c r="G1055" s="20" t="s">
        <v>46</v>
      </c>
    </row>
    <row r="1056" ht="22.5" hidden="1" customHeight="1">
      <c r="A1056" s="18">
        <v>1153.0</v>
      </c>
      <c r="B1056" s="18">
        <v>21.0</v>
      </c>
      <c r="C1056" s="18">
        <v>29.0</v>
      </c>
      <c r="D1056" s="18">
        <v>15.0</v>
      </c>
      <c r="E1056" s="18" t="b">
        <v>1</v>
      </c>
      <c r="G1056" s="20" t="s">
        <v>46</v>
      </c>
    </row>
    <row r="1057" ht="22.5" hidden="1" customHeight="1">
      <c r="A1057" s="18">
        <v>1154.0</v>
      </c>
      <c r="B1057" s="18">
        <v>22.0</v>
      </c>
      <c r="C1057" s="18">
        <v>29.0</v>
      </c>
      <c r="D1057" s="18">
        <v>15.0</v>
      </c>
      <c r="E1057" s="18" t="b">
        <v>1</v>
      </c>
      <c r="G1057" s="20" t="s">
        <v>46</v>
      </c>
    </row>
    <row r="1058" ht="22.5" hidden="1" customHeight="1">
      <c r="A1058" s="18">
        <v>1155.0</v>
      </c>
      <c r="B1058" s="18">
        <v>23.0</v>
      </c>
      <c r="C1058" s="18">
        <v>29.0</v>
      </c>
      <c r="D1058" s="18">
        <v>15.0</v>
      </c>
      <c r="E1058" s="18" t="b">
        <v>1</v>
      </c>
      <c r="G1058" s="20" t="s">
        <v>46</v>
      </c>
    </row>
    <row r="1059" ht="22.5" hidden="1" customHeight="1">
      <c r="A1059" s="18">
        <v>1156.0</v>
      </c>
      <c r="B1059" s="18">
        <v>24.0</v>
      </c>
      <c r="C1059" s="18">
        <v>29.0</v>
      </c>
      <c r="D1059" s="18">
        <v>15.0</v>
      </c>
      <c r="E1059" s="18" t="b">
        <v>1</v>
      </c>
      <c r="G1059" s="20" t="s">
        <v>46</v>
      </c>
    </row>
    <row r="1060" ht="22.5" hidden="1" customHeight="1">
      <c r="A1060" s="18">
        <v>1157.0</v>
      </c>
      <c r="B1060" s="18">
        <v>25.0</v>
      </c>
      <c r="C1060" s="18">
        <v>29.0</v>
      </c>
      <c r="D1060" s="18">
        <v>15.0</v>
      </c>
      <c r="E1060" s="18" t="b">
        <v>1</v>
      </c>
      <c r="G1060" s="20" t="s">
        <v>46</v>
      </c>
    </row>
    <row r="1061" ht="22.5" hidden="1" customHeight="1">
      <c r="A1061" s="18">
        <v>1158.0</v>
      </c>
      <c r="B1061" s="18">
        <v>26.0</v>
      </c>
      <c r="C1061" s="18">
        <v>29.0</v>
      </c>
      <c r="D1061" s="18">
        <v>15.0</v>
      </c>
      <c r="E1061" s="18" t="b">
        <v>1</v>
      </c>
      <c r="G1061" s="20" t="s">
        <v>46</v>
      </c>
    </row>
    <row r="1062" ht="22.5" hidden="1" customHeight="1">
      <c r="A1062" s="18">
        <v>1159.0</v>
      </c>
      <c r="B1062" s="18">
        <v>27.0</v>
      </c>
      <c r="C1062" s="18">
        <v>29.0</v>
      </c>
      <c r="D1062" s="18">
        <v>15.0</v>
      </c>
      <c r="E1062" s="18" t="b">
        <v>1</v>
      </c>
      <c r="G1062" s="20" t="s">
        <v>46</v>
      </c>
    </row>
    <row r="1063" ht="22.5" hidden="1" customHeight="1">
      <c r="A1063" s="18">
        <v>1160.0</v>
      </c>
      <c r="B1063" s="18">
        <v>28.0</v>
      </c>
      <c r="C1063" s="18">
        <v>29.0</v>
      </c>
      <c r="D1063" s="18">
        <v>15.0</v>
      </c>
      <c r="E1063" s="18" t="b">
        <v>1</v>
      </c>
      <c r="G1063" s="20" t="s">
        <v>46</v>
      </c>
    </row>
    <row r="1064" ht="22.5" hidden="1" customHeight="1">
      <c r="A1064" s="18">
        <v>1161.0</v>
      </c>
      <c r="B1064" s="18">
        <v>29.0</v>
      </c>
      <c r="C1064" s="18">
        <v>29.0</v>
      </c>
      <c r="D1064" s="18">
        <v>15.0</v>
      </c>
      <c r="E1064" s="18" t="b">
        <v>1</v>
      </c>
      <c r="G1064" s="20" t="s">
        <v>46</v>
      </c>
    </row>
    <row r="1065" ht="22.5" hidden="1" customHeight="1">
      <c r="A1065" s="18">
        <v>1162.0</v>
      </c>
      <c r="B1065" s="18">
        <v>31.0</v>
      </c>
      <c r="C1065" s="18">
        <v>29.0</v>
      </c>
      <c r="D1065" s="18">
        <v>15.0</v>
      </c>
      <c r="E1065" s="18" t="b">
        <v>1</v>
      </c>
      <c r="G1065" s="20" t="s">
        <v>46</v>
      </c>
    </row>
    <row r="1066" ht="22.5" hidden="1" customHeight="1">
      <c r="A1066" s="18">
        <v>1163.0</v>
      </c>
      <c r="B1066" s="18">
        <v>32.0</v>
      </c>
      <c r="C1066" s="18">
        <v>29.0</v>
      </c>
      <c r="D1066" s="18">
        <v>15.0</v>
      </c>
      <c r="E1066" s="18" t="b">
        <v>1</v>
      </c>
      <c r="G1066" s="20" t="s">
        <v>46</v>
      </c>
    </row>
    <row r="1067" ht="22.5" hidden="1" customHeight="1">
      <c r="A1067" s="18">
        <v>1164.0</v>
      </c>
      <c r="B1067" s="18">
        <v>33.0</v>
      </c>
      <c r="C1067" s="18">
        <v>29.0</v>
      </c>
      <c r="D1067" s="18">
        <v>15.0</v>
      </c>
      <c r="E1067" s="18" t="b">
        <v>1</v>
      </c>
      <c r="G1067" s="20" t="s">
        <v>46</v>
      </c>
    </row>
    <row r="1068" ht="22.5" hidden="1" customHeight="1">
      <c r="A1068" s="18">
        <v>1165.0</v>
      </c>
      <c r="B1068" s="18">
        <v>34.0</v>
      </c>
      <c r="C1068" s="18">
        <v>29.0</v>
      </c>
      <c r="D1068" s="18">
        <v>15.0</v>
      </c>
      <c r="E1068" s="18" t="b">
        <v>1</v>
      </c>
      <c r="G1068" s="20" t="s">
        <v>46</v>
      </c>
    </row>
    <row r="1069" ht="22.5" hidden="1" customHeight="1">
      <c r="A1069" s="18">
        <v>1166.0</v>
      </c>
      <c r="B1069" s="18">
        <v>35.0</v>
      </c>
      <c r="C1069" s="18">
        <v>29.0</v>
      </c>
      <c r="D1069" s="18">
        <v>15.0</v>
      </c>
      <c r="E1069" s="18" t="b">
        <v>1</v>
      </c>
      <c r="G1069" s="20" t="s">
        <v>46</v>
      </c>
    </row>
    <row r="1070" ht="22.5" hidden="1" customHeight="1">
      <c r="A1070" s="18">
        <v>1167.0</v>
      </c>
      <c r="B1070" s="18">
        <v>36.0</v>
      </c>
      <c r="C1070" s="18">
        <v>29.0</v>
      </c>
      <c r="D1070" s="18">
        <v>15.0</v>
      </c>
      <c r="E1070" s="18" t="b">
        <v>1</v>
      </c>
      <c r="G1070" s="20" t="s">
        <v>46</v>
      </c>
    </row>
    <row r="1071" ht="22.5" hidden="1" customHeight="1">
      <c r="A1071" s="18">
        <v>1168.0</v>
      </c>
      <c r="B1071" s="18">
        <v>37.0</v>
      </c>
      <c r="C1071" s="18">
        <v>29.0</v>
      </c>
      <c r="D1071" s="18">
        <v>15.0</v>
      </c>
      <c r="E1071" s="18" t="b">
        <v>1</v>
      </c>
      <c r="G1071" s="20" t="s">
        <v>46</v>
      </c>
    </row>
    <row r="1072" ht="22.5" hidden="1" customHeight="1">
      <c r="A1072" s="18">
        <v>1169.0</v>
      </c>
      <c r="B1072" s="18">
        <v>38.0</v>
      </c>
      <c r="C1072" s="18">
        <v>29.0</v>
      </c>
      <c r="D1072" s="18">
        <v>15.0</v>
      </c>
      <c r="E1072" s="18" t="b">
        <v>1</v>
      </c>
      <c r="G1072" s="20" t="s">
        <v>46</v>
      </c>
    </row>
    <row r="1073" ht="22.5" hidden="1" customHeight="1">
      <c r="A1073" s="18">
        <v>1170.0</v>
      </c>
      <c r="B1073" s="18">
        <v>40.0</v>
      </c>
      <c r="C1073" s="18">
        <v>29.0</v>
      </c>
      <c r="D1073" s="18">
        <v>15.0</v>
      </c>
      <c r="E1073" s="18" t="b">
        <v>1</v>
      </c>
      <c r="G1073" s="20" t="s">
        <v>46</v>
      </c>
    </row>
    <row r="1074" ht="22.5" hidden="1" customHeight="1">
      <c r="A1074" s="18">
        <v>1171.0</v>
      </c>
      <c r="B1074" s="18">
        <v>41.0</v>
      </c>
      <c r="C1074" s="18">
        <v>29.0</v>
      </c>
      <c r="D1074" s="18">
        <v>15.0</v>
      </c>
      <c r="E1074" s="18" t="b">
        <v>1</v>
      </c>
      <c r="G1074" s="20" t="s">
        <v>46</v>
      </c>
    </row>
    <row r="1075" ht="22.5" hidden="1" customHeight="1">
      <c r="A1075" s="18">
        <v>1172.0</v>
      </c>
      <c r="B1075" s="18">
        <v>42.0</v>
      </c>
      <c r="C1075" s="18">
        <v>29.0</v>
      </c>
      <c r="D1075" s="18">
        <v>15.0</v>
      </c>
      <c r="E1075" s="18" t="b">
        <v>1</v>
      </c>
      <c r="G1075" s="20" t="s">
        <v>46</v>
      </c>
    </row>
    <row r="1076" ht="22.5" hidden="1" customHeight="1">
      <c r="A1076" s="18">
        <v>1173.0</v>
      </c>
      <c r="B1076" s="18">
        <v>46.0</v>
      </c>
      <c r="C1076" s="18">
        <v>33.0</v>
      </c>
      <c r="D1076" s="18">
        <v>15.0</v>
      </c>
      <c r="E1076" s="18" t="b">
        <v>1</v>
      </c>
      <c r="G1076" s="20" t="s">
        <v>46</v>
      </c>
    </row>
    <row r="1077" ht="22.5" hidden="1" customHeight="1">
      <c r="A1077" s="18">
        <v>1174.0</v>
      </c>
      <c r="B1077" s="18">
        <v>49.0</v>
      </c>
      <c r="C1077" s="18">
        <v>33.0</v>
      </c>
      <c r="D1077" s="18">
        <v>15.0</v>
      </c>
      <c r="E1077" s="18" t="b">
        <v>1</v>
      </c>
      <c r="G1077" s="20" t="s">
        <v>46</v>
      </c>
    </row>
    <row r="1078" ht="22.5" hidden="1" customHeight="1">
      <c r="A1078" s="18">
        <v>1175.0</v>
      </c>
      <c r="B1078" s="18">
        <v>57.0</v>
      </c>
      <c r="C1078" s="18">
        <v>33.0</v>
      </c>
      <c r="D1078" s="18">
        <v>15.0</v>
      </c>
      <c r="E1078" s="18" t="b">
        <v>1</v>
      </c>
      <c r="G1078" s="20" t="s">
        <v>46</v>
      </c>
    </row>
    <row r="1079" ht="22.5" hidden="1" customHeight="1">
      <c r="A1079" s="18">
        <v>1176.0</v>
      </c>
      <c r="B1079" s="18">
        <v>59.0</v>
      </c>
      <c r="C1079" s="18">
        <v>33.0</v>
      </c>
      <c r="D1079" s="18">
        <v>15.0</v>
      </c>
      <c r="E1079" s="18" t="b">
        <v>1</v>
      </c>
      <c r="G1079" s="20" t="s">
        <v>46</v>
      </c>
    </row>
    <row r="1080" ht="22.5" hidden="1" customHeight="1">
      <c r="A1080" s="18">
        <v>1177.0</v>
      </c>
      <c r="B1080" s="18">
        <v>61.0</v>
      </c>
      <c r="C1080" s="18">
        <v>33.0</v>
      </c>
      <c r="D1080" s="18">
        <v>15.0</v>
      </c>
      <c r="E1080" s="18" t="b">
        <v>1</v>
      </c>
      <c r="G1080" s="20" t="s">
        <v>46</v>
      </c>
    </row>
    <row r="1081" ht="22.5" hidden="1" customHeight="1">
      <c r="A1081" s="18">
        <v>1178.0</v>
      </c>
      <c r="B1081" s="18">
        <v>63.0</v>
      </c>
      <c r="C1081" s="18">
        <v>34.0</v>
      </c>
      <c r="D1081" s="18">
        <v>15.0</v>
      </c>
      <c r="E1081" s="18" t="b">
        <v>1</v>
      </c>
      <c r="G1081" s="20" t="s">
        <v>46</v>
      </c>
    </row>
    <row r="1082" ht="22.5" hidden="1" customHeight="1">
      <c r="A1082" s="18">
        <v>1179.0</v>
      </c>
      <c r="B1082" s="18">
        <v>64.0</v>
      </c>
      <c r="C1082" s="18">
        <v>34.0</v>
      </c>
      <c r="D1082" s="18">
        <v>15.0</v>
      </c>
      <c r="E1082" s="18" t="b">
        <v>1</v>
      </c>
      <c r="G1082" s="20" t="s">
        <v>46</v>
      </c>
    </row>
    <row r="1083" ht="22.5" hidden="1" customHeight="1">
      <c r="A1083" s="18">
        <v>1180.0</v>
      </c>
      <c r="B1083" s="18">
        <v>111.0</v>
      </c>
      <c r="C1083" s="18">
        <v>34.0</v>
      </c>
      <c r="D1083" s="18">
        <v>15.0</v>
      </c>
      <c r="E1083" s="18" t="b">
        <v>1</v>
      </c>
      <c r="G1083" s="20" t="s">
        <v>46</v>
      </c>
    </row>
    <row r="1084" ht="22.5" hidden="1" customHeight="1">
      <c r="A1084" s="18">
        <v>1181.0</v>
      </c>
      <c r="B1084" s="18">
        <v>66.0</v>
      </c>
      <c r="C1084" s="18">
        <v>34.0</v>
      </c>
      <c r="D1084" s="18">
        <v>15.0</v>
      </c>
      <c r="E1084" s="18" t="b">
        <v>1</v>
      </c>
      <c r="G1084" s="20" t="s">
        <v>46</v>
      </c>
    </row>
    <row r="1085" ht="22.5" hidden="1" customHeight="1">
      <c r="A1085" s="18">
        <v>1182.0</v>
      </c>
      <c r="B1085" s="18">
        <v>67.0</v>
      </c>
      <c r="C1085" s="18">
        <v>22.0</v>
      </c>
      <c r="D1085" s="18">
        <v>15.0</v>
      </c>
      <c r="E1085" s="18" t="b">
        <v>1</v>
      </c>
      <c r="G1085" s="20" t="s">
        <v>46</v>
      </c>
    </row>
    <row r="1086" ht="22.5" hidden="1" customHeight="1">
      <c r="A1086" s="18">
        <v>1183.0</v>
      </c>
      <c r="B1086" s="18">
        <v>72.0</v>
      </c>
      <c r="C1086" s="18">
        <v>22.0</v>
      </c>
      <c r="D1086" s="18">
        <v>15.0</v>
      </c>
      <c r="E1086" s="18" t="b">
        <v>1</v>
      </c>
      <c r="G1086" s="20" t="s">
        <v>46</v>
      </c>
    </row>
    <row r="1087" ht="22.5" hidden="1" customHeight="1">
      <c r="A1087" s="18">
        <v>1184.0</v>
      </c>
      <c r="B1087" s="18">
        <v>74.0</v>
      </c>
      <c r="C1087" s="18">
        <v>29.0</v>
      </c>
      <c r="D1087" s="18">
        <v>15.0</v>
      </c>
      <c r="E1087" s="18" t="b">
        <v>1</v>
      </c>
      <c r="G1087" s="20" t="s">
        <v>46</v>
      </c>
    </row>
    <row r="1088" ht="22.5" hidden="1" customHeight="1">
      <c r="A1088" s="18">
        <v>1185.0</v>
      </c>
      <c r="B1088" s="18">
        <v>75.0</v>
      </c>
      <c r="C1088" s="18">
        <v>22.0</v>
      </c>
      <c r="D1088" s="18">
        <v>15.0</v>
      </c>
      <c r="E1088" s="18" t="b">
        <v>1</v>
      </c>
      <c r="G1088" s="20" t="s">
        <v>46</v>
      </c>
    </row>
    <row r="1089" ht="22.5" hidden="1" customHeight="1">
      <c r="A1089" s="18">
        <v>1186.0</v>
      </c>
      <c r="B1089" s="18">
        <v>76.0</v>
      </c>
      <c r="C1089" s="18">
        <v>22.0</v>
      </c>
      <c r="D1089" s="18">
        <v>15.0</v>
      </c>
      <c r="E1089" s="18" t="b">
        <v>1</v>
      </c>
      <c r="G1089" s="20" t="s">
        <v>46</v>
      </c>
    </row>
    <row r="1090" ht="22.5" hidden="1" customHeight="1">
      <c r="A1090" s="18">
        <v>1187.0</v>
      </c>
      <c r="B1090" s="18">
        <v>78.0</v>
      </c>
      <c r="C1090" s="18">
        <v>22.0</v>
      </c>
      <c r="D1090" s="18">
        <v>15.0</v>
      </c>
      <c r="E1090" s="18" t="b">
        <v>1</v>
      </c>
      <c r="G1090" s="20" t="s">
        <v>46</v>
      </c>
    </row>
    <row r="1091" ht="22.5" hidden="1" customHeight="1">
      <c r="A1091" s="18">
        <v>1188.0</v>
      </c>
      <c r="B1091" s="18">
        <v>80.0</v>
      </c>
      <c r="C1091" s="18">
        <v>22.0</v>
      </c>
      <c r="D1091" s="18">
        <v>15.0</v>
      </c>
      <c r="E1091" s="18" t="b">
        <v>1</v>
      </c>
      <c r="G1091" s="20" t="s">
        <v>46</v>
      </c>
    </row>
    <row r="1092" ht="22.5" hidden="1" customHeight="1">
      <c r="A1092" s="18">
        <v>1189.0</v>
      </c>
      <c r="B1092" s="18">
        <v>1.0</v>
      </c>
      <c r="C1092" s="18">
        <v>28.0</v>
      </c>
      <c r="D1092" s="18">
        <v>16.0</v>
      </c>
      <c r="E1092" s="18" t="b">
        <v>1</v>
      </c>
      <c r="G1092" s="20" t="s">
        <v>46</v>
      </c>
    </row>
    <row r="1093" ht="22.5" hidden="1" customHeight="1">
      <c r="A1093" s="18">
        <v>1190.0</v>
      </c>
      <c r="B1093" s="18">
        <v>1.0</v>
      </c>
      <c r="C1093" s="18">
        <v>29.0</v>
      </c>
      <c r="D1093" s="18">
        <v>16.0</v>
      </c>
      <c r="E1093" s="18" t="b">
        <v>0</v>
      </c>
      <c r="G1093" s="20" t="s">
        <v>46</v>
      </c>
    </row>
    <row r="1094" ht="22.5" hidden="1" customHeight="1">
      <c r="A1094" s="18">
        <v>1191.0</v>
      </c>
      <c r="B1094" s="18">
        <v>2.0</v>
      </c>
      <c r="C1094" s="18">
        <v>28.0</v>
      </c>
      <c r="D1094" s="18">
        <v>16.0</v>
      </c>
      <c r="E1094" s="18" t="b">
        <v>1</v>
      </c>
      <c r="G1094" s="20" t="s">
        <v>46</v>
      </c>
    </row>
    <row r="1095" ht="22.5" hidden="1" customHeight="1">
      <c r="A1095" s="18">
        <v>1192.0</v>
      </c>
      <c r="B1095" s="18">
        <v>2.0</v>
      </c>
      <c r="C1095" s="18">
        <v>29.0</v>
      </c>
      <c r="D1095" s="18">
        <v>16.0</v>
      </c>
      <c r="E1095" s="18" t="b">
        <v>0</v>
      </c>
      <c r="G1095" s="20" t="s">
        <v>46</v>
      </c>
    </row>
    <row r="1096" ht="22.5" hidden="1" customHeight="1">
      <c r="A1096" s="18">
        <v>1193.0</v>
      </c>
      <c r="B1096" s="18">
        <v>3.0</v>
      </c>
      <c r="C1096" s="18">
        <v>28.0</v>
      </c>
      <c r="D1096" s="18">
        <v>16.0</v>
      </c>
      <c r="E1096" s="18" t="b">
        <v>1</v>
      </c>
      <c r="G1096" s="20" t="s">
        <v>46</v>
      </c>
    </row>
    <row r="1097" ht="22.5" hidden="1" customHeight="1">
      <c r="A1097" s="18">
        <v>1194.0</v>
      </c>
      <c r="B1097" s="18">
        <v>3.0</v>
      </c>
      <c r="C1097" s="18">
        <v>29.0</v>
      </c>
      <c r="D1097" s="18">
        <v>16.0</v>
      </c>
      <c r="E1097" s="18" t="b">
        <v>0</v>
      </c>
      <c r="G1097" s="20" t="s">
        <v>46</v>
      </c>
    </row>
    <row r="1098" ht="22.5" hidden="1" customHeight="1">
      <c r="A1098" s="18">
        <v>1195.0</v>
      </c>
      <c r="B1098" s="18">
        <v>4.0</v>
      </c>
      <c r="C1098" s="18">
        <v>28.0</v>
      </c>
      <c r="D1098" s="18">
        <v>16.0</v>
      </c>
      <c r="E1098" s="18" t="b">
        <v>1</v>
      </c>
      <c r="G1098" s="20" t="s">
        <v>46</v>
      </c>
    </row>
    <row r="1099" ht="22.5" hidden="1" customHeight="1">
      <c r="A1099" s="18">
        <v>1196.0</v>
      </c>
      <c r="B1099" s="18">
        <v>4.0</v>
      </c>
      <c r="C1099" s="18">
        <v>29.0</v>
      </c>
      <c r="D1099" s="18">
        <v>16.0</v>
      </c>
      <c r="E1099" s="18" t="b">
        <v>0</v>
      </c>
      <c r="G1099" s="20" t="s">
        <v>46</v>
      </c>
    </row>
    <row r="1100" ht="22.5" hidden="1" customHeight="1">
      <c r="A1100" s="18">
        <v>1197.0</v>
      </c>
      <c r="B1100" s="18">
        <v>5.0</v>
      </c>
      <c r="C1100" s="18">
        <v>28.0</v>
      </c>
      <c r="D1100" s="18">
        <v>16.0</v>
      </c>
      <c r="E1100" s="18" t="b">
        <v>1</v>
      </c>
      <c r="G1100" s="20" t="s">
        <v>46</v>
      </c>
    </row>
    <row r="1101" ht="22.5" hidden="1" customHeight="1">
      <c r="A1101" s="18">
        <v>1198.0</v>
      </c>
      <c r="B1101" s="18">
        <v>5.0</v>
      </c>
      <c r="C1101" s="18">
        <v>29.0</v>
      </c>
      <c r="D1101" s="18">
        <v>16.0</v>
      </c>
      <c r="E1101" s="18" t="b">
        <v>0</v>
      </c>
      <c r="G1101" s="20" t="s">
        <v>46</v>
      </c>
    </row>
    <row r="1102" ht="22.5" hidden="1" customHeight="1">
      <c r="A1102" s="18">
        <v>1199.0</v>
      </c>
      <c r="B1102" s="18">
        <v>6.0</v>
      </c>
      <c r="C1102" s="18">
        <v>28.0</v>
      </c>
      <c r="D1102" s="18">
        <v>16.0</v>
      </c>
      <c r="E1102" s="18" t="b">
        <v>1</v>
      </c>
      <c r="G1102" s="20" t="s">
        <v>46</v>
      </c>
    </row>
    <row r="1103" ht="22.5" hidden="1" customHeight="1">
      <c r="A1103" s="18">
        <v>1200.0</v>
      </c>
      <c r="B1103" s="18">
        <v>6.0</v>
      </c>
      <c r="C1103" s="18">
        <v>29.0</v>
      </c>
      <c r="D1103" s="18">
        <v>16.0</v>
      </c>
      <c r="E1103" s="18" t="b">
        <v>0</v>
      </c>
      <c r="G1103" s="20" t="s">
        <v>46</v>
      </c>
    </row>
    <row r="1104" ht="22.5" hidden="1" customHeight="1">
      <c r="A1104" s="18">
        <v>1201.0</v>
      </c>
      <c r="B1104" s="18">
        <v>7.0</v>
      </c>
      <c r="C1104" s="18">
        <v>28.0</v>
      </c>
      <c r="D1104" s="18">
        <v>16.0</v>
      </c>
      <c r="E1104" s="18" t="b">
        <v>1</v>
      </c>
      <c r="G1104" s="20" t="s">
        <v>46</v>
      </c>
    </row>
    <row r="1105" ht="22.5" hidden="1" customHeight="1">
      <c r="A1105" s="18">
        <v>1202.0</v>
      </c>
      <c r="B1105" s="18">
        <v>7.0</v>
      </c>
      <c r="C1105" s="18">
        <v>29.0</v>
      </c>
      <c r="D1105" s="18">
        <v>16.0</v>
      </c>
      <c r="E1105" s="18" t="b">
        <v>0</v>
      </c>
      <c r="G1105" s="20" t="s">
        <v>46</v>
      </c>
    </row>
    <row r="1106" ht="22.5" hidden="1" customHeight="1">
      <c r="A1106" s="18">
        <v>1203.0</v>
      </c>
      <c r="B1106" s="18">
        <v>8.0</v>
      </c>
      <c r="C1106" s="18">
        <v>28.0</v>
      </c>
      <c r="D1106" s="18">
        <v>16.0</v>
      </c>
      <c r="E1106" s="18" t="b">
        <v>1</v>
      </c>
      <c r="G1106" s="20" t="s">
        <v>46</v>
      </c>
    </row>
    <row r="1107" ht="22.5" hidden="1" customHeight="1">
      <c r="A1107" s="18">
        <v>1204.0</v>
      </c>
      <c r="B1107" s="18">
        <v>8.0</v>
      </c>
      <c r="C1107" s="18">
        <v>29.0</v>
      </c>
      <c r="D1107" s="18">
        <v>16.0</v>
      </c>
      <c r="E1107" s="18" t="b">
        <v>0</v>
      </c>
      <c r="G1107" s="20" t="s">
        <v>46</v>
      </c>
    </row>
    <row r="1108" ht="22.5" hidden="1" customHeight="1">
      <c r="A1108" s="18">
        <v>1205.0</v>
      </c>
      <c r="B1108" s="18">
        <v>9.0</v>
      </c>
      <c r="C1108" s="18">
        <v>28.0</v>
      </c>
      <c r="D1108" s="18">
        <v>16.0</v>
      </c>
      <c r="E1108" s="18" t="b">
        <v>1</v>
      </c>
      <c r="G1108" s="20" t="s">
        <v>46</v>
      </c>
    </row>
    <row r="1109" ht="22.5" hidden="1" customHeight="1">
      <c r="A1109" s="18">
        <v>1206.0</v>
      </c>
      <c r="B1109" s="18">
        <v>9.0</v>
      </c>
      <c r="C1109" s="18">
        <v>29.0</v>
      </c>
      <c r="D1109" s="18">
        <v>16.0</v>
      </c>
      <c r="E1109" s="18" t="b">
        <v>0</v>
      </c>
      <c r="G1109" s="20" t="s">
        <v>46</v>
      </c>
    </row>
    <row r="1110" ht="22.5" hidden="1" customHeight="1">
      <c r="A1110" s="18">
        <v>1207.0</v>
      </c>
      <c r="B1110" s="18">
        <v>10.0</v>
      </c>
      <c r="C1110" s="18">
        <v>28.0</v>
      </c>
      <c r="D1110" s="18">
        <v>16.0</v>
      </c>
      <c r="E1110" s="18" t="b">
        <v>1</v>
      </c>
      <c r="G1110" s="20" t="s">
        <v>46</v>
      </c>
    </row>
    <row r="1111" ht="22.5" hidden="1" customHeight="1">
      <c r="A1111" s="18">
        <v>1208.0</v>
      </c>
      <c r="B1111" s="18">
        <v>10.0</v>
      </c>
      <c r="C1111" s="18">
        <v>29.0</v>
      </c>
      <c r="D1111" s="18">
        <v>16.0</v>
      </c>
      <c r="E1111" s="18" t="b">
        <v>0</v>
      </c>
      <c r="G1111" s="20" t="s">
        <v>46</v>
      </c>
    </row>
    <row r="1112" ht="22.5" hidden="1" customHeight="1">
      <c r="A1112" s="18">
        <v>1209.0</v>
      </c>
      <c r="B1112" s="18">
        <v>11.0</v>
      </c>
      <c r="C1112" s="18">
        <v>28.0</v>
      </c>
      <c r="D1112" s="18">
        <v>16.0</v>
      </c>
      <c r="E1112" s="18" t="b">
        <v>1</v>
      </c>
      <c r="G1112" s="20" t="s">
        <v>46</v>
      </c>
    </row>
    <row r="1113" ht="22.5" hidden="1" customHeight="1">
      <c r="A1113" s="18">
        <v>1210.0</v>
      </c>
      <c r="B1113" s="18">
        <v>11.0</v>
      </c>
      <c r="C1113" s="18">
        <v>29.0</v>
      </c>
      <c r="D1113" s="18">
        <v>16.0</v>
      </c>
      <c r="E1113" s="18" t="b">
        <v>0</v>
      </c>
      <c r="G1113" s="20" t="s">
        <v>46</v>
      </c>
    </row>
    <row r="1114" ht="22.5" hidden="1" customHeight="1">
      <c r="A1114" s="18">
        <v>1211.0</v>
      </c>
      <c r="B1114" s="18">
        <v>12.0</v>
      </c>
      <c r="C1114" s="18">
        <v>28.0</v>
      </c>
      <c r="D1114" s="18">
        <v>16.0</v>
      </c>
      <c r="E1114" s="18" t="b">
        <v>1</v>
      </c>
      <c r="G1114" s="20" t="s">
        <v>46</v>
      </c>
    </row>
    <row r="1115" ht="22.5" hidden="1" customHeight="1">
      <c r="A1115" s="18">
        <v>1212.0</v>
      </c>
      <c r="B1115" s="18">
        <v>12.0</v>
      </c>
      <c r="C1115" s="18">
        <v>29.0</v>
      </c>
      <c r="D1115" s="18">
        <v>16.0</v>
      </c>
      <c r="E1115" s="18" t="b">
        <v>0</v>
      </c>
      <c r="G1115" s="20" t="s">
        <v>46</v>
      </c>
    </row>
    <row r="1116" ht="22.5" hidden="1" customHeight="1">
      <c r="A1116" s="18">
        <v>1213.0</v>
      </c>
      <c r="B1116" s="18">
        <v>13.0</v>
      </c>
      <c r="C1116" s="18">
        <v>28.0</v>
      </c>
      <c r="D1116" s="18">
        <v>16.0</v>
      </c>
      <c r="E1116" s="18" t="b">
        <v>1</v>
      </c>
      <c r="G1116" s="20" t="s">
        <v>46</v>
      </c>
    </row>
    <row r="1117" ht="22.5" hidden="1" customHeight="1">
      <c r="A1117" s="18">
        <v>1214.0</v>
      </c>
      <c r="B1117" s="18">
        <v>13.0</v>
      </c>
      <c r="C1117" s="18">
        <v>29.0</v>
      </c>
      <c r="D1117" s="18">
        <v>16.0</v>
      </c>
      <c r="E1117" s="18" t="b">
        <v>0</v>
      </c>
      <c r="G1117" s="20" t="s">
        <v>46</v>
      </c>
    </row>
    <row r="1118" ht="22.5" hidden="1" customHeight="1">
      <c r="A1118" s="18">
        <v>1215.0</v>
      </c>
      <c r="B1118" s="18">
        <v>14.0</v>
      </c>
      <c r="C1118" s="18">
        <v>28.0</v>
      </c>
      <c r="D1118" s="18">
        <v>16.0</v>
      </c>
      <c r="E1118" s="18" t="b">
        <v>1</v>
      </c>
      <c r="G1118" s="20" t="s">
        <v>46</v>
      </c>
    </row>
    <row r="1119" ht="22.5" hidden="1" customHeight="1">
      <c r="A1119" s="18">
        <v>1216.0</v>
      </c>
      <c r="B1119" s="18">
        <v>14.0</v>
      </c>
      <c r="C1119" s="18">
        <v>29.0</v>
      </c>
      <c r="D1119" s="18">
        <v>16.0</v>
      </c>
      <c r="E1119" s="18" t="b">
        <v>0</v>
      </c>
      <c r="G1119" s="20" t="s">
        <v>46</v>
      </c>
    </row>
    <row r="1120" ht="22.5" hidden="1" customHeight="1">
      <c r="A1120" s="18">
        <v>1217.0</v>
      </c>
      <c r="B1120" s="18">
        <v>15.0</v>
      </c>
      <c r="C1120" s="18">
        <v>28.0</v>
      </c>
      <c r="D1120" s="18">
        <v>16.0</v>
      </c>
      <c r="E1120" s="18" t="b">
        <v>1</v>
      </c>
      <c r="G1120" s="20" t="s">
        <v>46</v>
      </c>
    </row>
    <row r="1121" ht="22.5" hidden="1" customHeight="1">
      <c r="A1121" s="18">
        <v>1218.0</v>
      </c>
      <c r="B1121" s="18">
        <v>15.0</v>
      </c>
      <c r="C1121" s="18">
        <v>29.0</v>
      </c>
      <c r="D1121" s="18">
        <v>16.0</v>
      </c>
      <c r="E1121" s="18" t="b">
        <v>0</v>
      </c>
      <c r="G1121" s="20" t="s">
        <v>46</v>
      </c>
    </row>
    <row r="1122" ht="22.5" hidden="1" customHeight="1">
      <c r="A1122" s="18">
        <v>1219.0</v>
      </c>
      <c r="B1122" s="18">
        <v>16.0</v>
      </c>
      <c r="C1122" s="18">
        <v>28.0</v>
      </c>
      <c r="D1122" s="18">
        <v>16.0</v>
      </c>
      <c r="E1122" s="18" t="b">
        <v>1</v>
      </c>
      <c r="G1122" s="20" t="s">
        <v>46</v>
      </c>
    </row>
    <row r="1123" ht="22.5" hidden="1" customHeight="1">
      <c r="A1123" s="18">
        <v>1220.0</v>
      </c>
      <c r="B1123" s="18">
        <v>16.0</v>
      </c>
      <c r="C1123" s="18">
        <v>29.0</v>
      </c>
      <c r="D1123" s="18">
        <v>16.0</v>
      </c>
      <c r="E1123" s="18" t="b">
        <v>0</v>
      </c>
      <c r="G1123" s="20" t="s">
        <v>46</v>
      </c>
    </row>
    <row r="1124" ht="22.5" hidden="1" customHeight="1">
      <c r="A1124" s="18">
        <v>1221.0</v>
      </c>
      <c r="B1124" s="18">
        <v>17.0</v>
      </c>
      <c r="C1124" s="18">
        <v>28.0</v>
      </c>
      <c r="D1124" s="18">
        <v>16.0</v>
      </c>
      <c r="E1124" s="18" t="b">
        <v>1</v>
      </c>
      <c r="G1124" s="20" t="s">
        <v>46</v>
      </c>
    </row>
    <row r="1125" ht="22.5" hidden="1" customHeight="1">
      <c r="A1125" s="18">
        <v>1222.0</v>
      </c>
      <c r="B1125" s="18">
        <v>17.0</v>
      </c>
      <c r="C1125" s="18">
        <v>29.0</v>
      </c>
      <c r="D1125" s="18">
        <v>16.0</v>
      </c>
      <c r="E1125" s="18" t="b">
        <v>0</v>
      </c>
      <c r="G1125" s="20" t="s">
        <v>46</v>
      </c>
    </row>
    <row r="1126" ht="22.5" hidden="1" customHeight="1">
      <c r="A1126" s="18">
        <v>1223.0</v>
      </c>
      <c r="B1126" s="18">
        <v>18.0</v>
      </c>
      <c r="C1126" s="18">
        <v>28.0</v>
      </c>
      <c r="D1126" s="18">
        <v>16.0</v>
      </c>
      <c r="E1126" s="18" t="b">
        <v>1</v>
      </c>
      <c r="G1126" s="20" t="s">
        <v>46</v>
      </c>
    </row>
    <row r="1127" ht="22.5" hidden="1" customHeight="1">
      <c r="A1127" s="18">
        <v>1224.0</v>
      </c>
      <c r="B1127" s="18">
        <v>18.0</v>
      </c>
      <c r="C1127" s="18">
        <v>29.0</v>
      </c>
      <c r="D1127" s="18">
        <v>16.0</v>
      </c>
      <c r="E1127" s="18" t="b">
        <v>0</v>
      </c>
      <c r="G1127" s="20" t="s">
        <v>46</v>
      </c>
    </row>
    <row r="1128" ht="22.5" hidden="1" customHeight="1">
      <c r="A1128" s="18">
        <v>1225.0</v>
      </c>
      <c r="B1128" s="18">
        <v>19.0</v>
      </c>
      <c r="C1128" s="18">
        <v>28.0</v>
      </c>
      <c r="D1128" s="18">
        <v>16.0</v>
      </c>
      <c r="E1128" s="18" t="b">
        <v>1</v>
      </c>
      <c r="G1128" s="20" t="s">
        <v>46</v>
      </c>
    </row>
    <row r="1129" ht="22.5" hidden="1" customHeight="1">
      <c r="A1129" s="18">
        <v>1226.0</v>
      </c>
      <c r="B1129" s="18">
        <v>19.0</v>
      </c>
      <c r="C1129" s="18">
        <v>29.0</v>
      </c>
      <c r="D1129" s="18">
        <v>16.0</v>
      </c>
      <c r="E1129" s="18" t="b">
        <v>0</v>
      </c>
      <c r="G1129" s="20" t="s">
        <v>46</v>
      </c>
    </row>
    <row r="1130" ht="22.5" hidden="1" customHeight="1">
      <c r="A1130" s="18">
        <v>1227.0</v>
      </c>
      <c r="B1130" s="18">
        <v>20.0</v>
      </c>
      <c r="C1130" s="18">
        <v>29.0</v>
      </c>
      <c r="D1130" s="18">
        <v>16.0</v>
      </c>
      <c r="E1130" s="18" t="b">
        <v>1</v>
      </c>
      <c r="G1130" s="20" t="s">
        <v>46</v>
      </c>
    </row>
    <row r="1131" ht="22.5" hidden="1" customHeight="1">
      <c r="A1131" s="18">
        <v>1228.0</v>
      </c>
      <c r="B1131" s="18">
        <v>21.0</v>
      </c>
      <c r="C1131" s="18">
        <v>29.0</v>
      </c>
      <c r="D1131" s="18">
        <v>16.0</v>
      </c>
      <c r="E1131" s="18" t="b">
        <v>1</v>
      </c>
      <c r="G1131" s="20" t="s">
        <v>46</v>
      </c>
    </row>
    <row r="1132" ht="22.5" hidden="1" customHeight="1">
      <c r="A1132" s="18">
        <v>1229.0</v>
      </c>
      <c r="B1132" s="18">
        <v>22.0</v>
      </c>
      <c r="C1132" s="18">
        <v>29.0</v>
      </c>
      <c r="D1132" s="18">
        <v>16.0</v>
      </c>
      <c r="E1132" s="18" t="b">
        <v>1</v>
      </c>
      <c r="G1132" s="20" t="s">
        <v>46</v>
      </c>
    </row>
    <row r="1133" ht="22.5" hidden="1" customHeight="1">
      <c r="A1133" s="18">
        <v>1230.0</v>
      </c>
      <c r="B1133" s="18">
        <v>23.0</v>
      </c>
      <c r="C1133" s="18">
        <v>29.0</v>
      </c>
      <c r="D1133" s="18">
        <v>16.0</v>
      </c>
      <c r="E1133" s="18" t="b">
        <v>1</v>
      </c>
      <c r="G1133" s="20" t="s">
        <v>46</v>
      </c>
    </row>
    <row r="1134" ht="22.5" hidden="1" customHeight="1">
      <c r="A1134" s="18">
        <v>1231.0</v>
      </c>
      <c r="B1134" s="18">
        <v>24.0</v>
      </c>
      <c r="C1134" s="18">
        <v>29.0</v>
      </c>
      <c r="D1134" s="18">
        <v>16.0</v>
      </c>
      <c r="E1134" s="18" t="b">
        <v>1</v>
      </c>
      <c r="G1134" s="20" t="s">
        <v>46</v>
      </c>
    </row>
    <row r="1135" ht="22.5" hidden="1" customHeight="1">
      <c r="A1135" s="18">
        <v>1232.0</v>
      </c>
      <c r="B1135" s="18">
        <v>25.0</v>
      </c>
      <c r="C1135" s="18">
        <v>29.0</v>
      </c>
      <c r="D1135" s="18">
        <v>16.0</v>
      </c>
      <c r="E1135" s="18" t="b">
        <v>1</v>
      </c>
      <c r="G1135" s="20" t="s">
        <v>46</v>
      </c>
    </row>
    <row r="1136" ht="22.5" hidden="1" customHeight="1">
      <c r="A1136" s="18">
        <v>1233.0</v>
      </c>
      <c r="B1136" s="18">
        <v>26.0</v>
      </c>
      <c r="C1136" s="18">
        <v>29.0</v>
      </c>
      <c r="D1136" s="18">
        <v>16.0</v>
      </c>
      <c r="E1136" s="18" t="b">
        <v>1</v>
      </c>
      <c r="G1136" s="20" t="s">
        <v>46</v>
      </c>
    </row>
    <row r="1137" ht="22.5" hidden="1" customHeight="1">
      <c r="A1137" s="18">
        <v>1234.0</v>
      </c>
      <c r="B1137" s="18">
        <v>27.0</v>
      </c>
      <c r="C1137" s="18">
        <v>29.0</v>
      </c>
      <c r="D1137" s="18">
        <v>16.0</v>
      </c>
      <c r="E1137" s="18" t="b">
        <v>1</v>
      </c>
      <c r="G1137" s="20" t="s">
        <v>46</v>
      </c>
    </row>
    <row r="1138" ht="22.5" hidden="1" customHeight="1">
      <c r="A1138" s="18">
        <v>1235.0</v>
      </c>
      <c r="B1138" s="18">
        <v>28.0</v>
      </c>
      <c r="C1138" s="18">
        <v>29.0</v>
      </c>
      <c r="D1138" s="18">
        <v>16.0</v>
      </c>
      <c r="E1138" s="18" t="b">
        <v>1</v>
      </c>
      <c r="G1138" s="20" t="s">
        <v>46</v>
      </c>
    </row>
    <row r="1139" ht="22.5" hidden="1" customHeight="1">
      <c r="A1139" s="18">
        <v>1236.0</v>
      </c>
      <c r="B1139" s="18">
        <v>29.0</v>
      </c>
      <c r="C1139" s="18">
        <v>29.0</v>
      </c>
      <c r="D1139" s="18">
        <v>16.0</v>
      </c>
      <c r="E1139" s="18" t="b">
        <v>1</v>
      </c>
      <c r="G1139" s="20" t="s">
        <v>46</v>
      </c>
    </row>
    <row r="1140" ht="22.5" hidden="1" customHeight="1">
      <c r="A1140" s="18">
        <v>1237.0</v>
      </c>
      <c r="B1140" s="18">
        <v>31.0</v>
      </c>
      <c r="C1140" s="18">
        <v>29.0</v>
      </c>
      <c r="D1140" s="18">
        <v>16.0</v>
      </c>
      <c r="E1140" s="18" t="b">
        <v>1</v>
      </c>
      <c r="G1140" s="20" t="s">
        <v>46</v>
      </c>
    </row>
    <row r="1141" ht="22.5" hidden="1" customHeight="1">
      <c r="A1141" s="18">
        <v>1238.0</v>
      </c>
      <c r="B1141" s="18">
        <v>32.0</v>
      </c>
      <c r="C1141" s="18">
        <v>29.0</v>
      </c>
      <c r="D1141" s="18">
        <v>16.0</v>
      </c>
      <c r="E1141" s="18" t="b">
        <v>1</v>
      </c>
      <c r="G1141" s="20" t="s">
        <v>46</v>
      </c>
    </row>
    <row r="1142" ht="22.5" hidden="1" customHeight="1">
      <c r="A1142" s="18">
        <v>1239.0</v>
      </c>
      <c r="B1142" s="18">
        <v>33.0</v>
      </c>
      <c r="C1142" s="18">
        <v>29.0</v>
      </c>
      <c r="D1142" s="18">
        <v>16.0</v>
      </c>
      <c r="E1142" s="18" t="b">
        <v>1</v>
      </c>
      <c r="G1142" s="20" t="s">
        <v>46</v>
      </c>
    </row>
    <row r="1143" ht="22.5" hidden="1" customHeight="1">
      <c r="A1143" s="18">
        <v>1240.0</v>
      </c>
      <c r="B1143" s="18">
        <v>34.0</v>
      </c>
      <c r="C1143" s="18">
        <v>29.0</v>
      </c>
      <c r="D1143" s="18">
        <v>16.0</v>
      </c>
      <c r="E1143" s="18" t="b">
        <v>1</v>
      </c>
      <c r="G1143" s="20" t="s">
        <v>46</v>
      </c>
    </row>
    <row r="1144" ht="22.5" hidden="1" customHeight="1">
      <c r="A1144" s="18">
        <v>1241.0</v>
      </c>
      <c r="B1144" s="18">
        <v>35.0</v>
      </c>
      <c r="C1144" s="18">
        <v>29.0</v>
      </c>
      <c r="D1144" s="18">
        <v>16.0</v>
      </c>
      <c r="E1144" s="18" t="b">
        <v>1</v>
      </c>
      <c r="G1144" s="20" t="s">
        <v>46</v>
      </c>
    </row>
    <row r="1145" ht="22.5" hidden="1" customHeight="1">
      <c r="A1145" s="18">
        <v>1242.0</v>
      </c>
      <c r="B1145" s="18">
        <v>36.0</v>
      </c>
      <c r="C1145" s="18">
        <v>29.0</v>
      </c>
      <c r="D1145" s="18">
        <v>16.0</v>
      </c>
      <c r="E1145" s="18" t="b">
        <v>1</v>
      </c>
      <c r="G1145" s="20" t="s">
        <v>46</v>
      </c>
    </row>
    <row r="1146" ht="22.5" hidden="1" customHeight="1">
      <c r="A1146" s="18">
        <v>1243.0</v>
      </c>
      <c r="B1146" s="18">
        <v>37.0</v>
      </c>
      <c r="C1146" s="18">
        <v>29.0</v>
      </c>
      <c r="D1146" s="18">
        <v>16.0</v>
      </c>
      <c r="E1146" s="18" t="b">
        <v>1</v>
      </c>
      <c r="G1146" s="20" t="s">
        <v>46</v>
      </c>
    </row>
    <row r="1147" ht="22.5" hidden="1" customHeight="1">
      <c r="A1147" s="18">
        <v>1244.0</v>
      </c>
      <c r="B1147" s="18">
        <v>38.0</v>
      </c>
      <c r="C1147" s="18">
        <v>29.0</v>
      </c>
      <c r="D1147" s="18">
        <v>16.0</v>
      </c>
      <c r="E1147" s="18" t="b">
        <v>1</v>
      </c>
      <c r="G1147" s="20" t="s">
        <v>46</v>
      </c>
    </row>
    <row r="1148" ht="22.5" hidden="1" customHeight="1">
      <c r="A1148" s="18">
        <v>1245.0</v>
      </c>
      <c r="B1148" s="18">
        <v>39.0</v>
      </c>
      <c r="C1148" s="18">
        <v>29.0</v>
      </c>
      <c r="D1148" s="18">
        <v>16.0</v>
      </c>
      <c r="E1148" s="18" t="b">
        <v>1</v>
      </c>
      <c r="G1148" s="20" t="s">
        <v>46</v>
      </c>
    </row>
    <row r="1149" ht="22.5" hidden="1" customHeight="1">
      <c r="A1149" s="18">
        <v>1246.0</v>
      </c>
      <c r="B1149" s="18">
        <v>40.0</v>
      </c>
      <c r="C1149" s="18">
        <v>29.0</v>
      </c>
      <c r="D1149" s="18">
        <v>16.0</v>
      </c>
      <c r="E1149" s="18" t="b">
        <v>1</v>
      </c>
      <c r="G1149" s="20" t="s">
        <v>46</v>
      </c>
    </row>
    <row r="1150" ht="22.5" hidden="1" customHeight="1">
      <c r="A1150" s="18">
        <v>1247.0</v>
      </c>
      <c r="B1150" s="18">
        <v>41.0</v>
      </c>
      <c r="C1150" s="18">
        <v>29.0</v>
      </c>
      <c r="D1150" s="18">
        <v>16.0</v>
      </c>
      <c r="E1150" s="18" t="b">
        <v>1</v>
      </c>
      <c r="G1150" s="20" t="s">
        <v>46</v>
      </c>
    </row>
    <row r="1151" ht="22.5" hidden="1" customHeight="1">
      <c r="A1151" s="18">
        <v>1248.0</v>
      </c>
      <c r="B1151" s="18">
        <v>42.0</v>
      </c>
      <c r="C1151" s="18">
        <v>29.0</v>
      </c>
      <c r="D1151" s="18">
        <v>16.0</v>
      </c>
      <c r="E1151" s="18" t="b">
        <v>1</v>
      </c>
      <c r="G1151" s="20" t="s">
        <v>46</v>
      </c>
    </row>
    <row r="1152" ht="22.5" hidden="1" customHeight="1">
      <c r="A1152" s="18">
        <v>1249.0</v>
      </c>
      <c r="B1152" s="18">
        <v>43.0</v>
      </c>
      <c r="C1152" s="18">
        <v>29.0</v>
      </c>
      <c r="D1152" s="18">
        <v>16.0</v>
      </c>
      <c r="E1152" s="18" t="b">
        <v>1</v>
      </c>
      <c r="G1152" s="20" t="s">
        <v>46</v>
      </c>
    </row>
    <row r="1153" ht="22.5" hidden="1" customHeight="1">
      <c r="A1153" s="18">
        <v>1250.0</v>
      </c>
      <c r="B1153" s="18">
        <v>46.0</v>
      </c>
      <c r="C1153" s="18">
        <v>33.0</v>
      </c>
      <c r="D1153" s="18">
        <v>16.0</v>
      </c>
      <c r="E1153" s="18" t="b">
        <v>1</v>
      </c>
      <c r="G1153" s="20" t="s">
        <v>46</v>
      </c>
    </row>
    <row r="1154" ht="22.5" hidden="1" customHeight="1">
      <c r="A1154" s="18">
        <v>1251.0</v>
      </c>
      <c r="B1154" s="18">
        <v>49.0</v>
      </c>
      <c r="C1154" s="18">
        <v>33.0</v>
      </c>
      <c r="D1154" s="18">
        <v>16.0</v>
      </c>
      <c r="E1154" s="18" t="b">
        <v>1</v>
      </c>
      <c r="G1154" s="20" t="s">
        <v>46</v>
      </c>
    </row>
    <row r="1155" ht="22.5" hidden="1" customHeight="1">
      <c r="A1155" s="18">
        <v>1252.0</v>
      </c>
      <c r="B1155" s="18">
        <v>54.0</v>
      </c>
      <c r="C1155" s="18">
        <v>33.0</v>
      </c>
      <c r="D1155" s="18">
        <v>16.0</v>
      </c>
      <c r="E1155" s="18" t="b">
        <v>1</v>
      </c>
      <c r="G1155" s="20" t="s">
        <v>46</v>
      </c>
    </row>
    <row r="1156" ht="22.5" hidden="1" customHeight="1">
      <c r="A1156" s="18">
        <v>1253.0</v>
      </c>
      <c r="B1156" s="18">
        <v>57.0</v>
      </c>
      <c r="C1156" s="18">
        <v>33.0</v>
      </c>
      <c r="D1156" s="18">
        <v>16.0</v>
      </c>
      <c r="E1156" s="18" t="b">
        <v>1</v>
      </c>
      <c r="G1156" s="20" t="s">
        <v>46</v>
      </c>
    </row>
    <row r="1157" ht="22.5" hidden="1" customHeight="1">
      <c r="A1157" s="18">
        <v>1254.0</v>
      </c>
      <c r="B1157" s="18">
        <v>59.0</v>
      </c>
      <c r="C1157" s="18">
        <v>33.0</v>
      </c>
      <c r="D1157" s="18">
        <v>16.0</v>
      </c>
      <c r="E1157" s="18" t="b">
        <v>1</v>
      </c>
      <c r="G1157" s="20" t="s">
        <v>46</v>
      </c>
    </row>
    <row r="1158" ht="22.5" hidden="1" customHeight="1">
      <c r="A1158" s="18">
        <v>1255.0</v>
      </c>
      <c r="B1158" s="18">
        <v>61.0</v>
      </c>
      <c r="C1158" s="18">
        <v>33.0</v>
      </c>
      <c r="D1158" s="18">
        <v>16.0</v>
      </c>
      <c r="E1158" s="18" t="b">
        <v>1</v>
      </c>
      <c r="G1158" s="20" t="s">
        <v>46</v>
      </c>
    </row>
    <row r="1159" ht="22.5" hidden="1" customHeight="1">
      <c r="A1159" s="18">
        <v>1256.0</v>
      </c>
      <c r="B1159" s="18">
        <v>63.0</v>
      </c>
      <c r="C1159" s="18">
        <v>22.0</v>
      </c>
      <c r="D1159" s="18">
        <v>16.0</v>
      </c>
      <c r="E1159" s="18" t="b">
        <v>1</v>
      </c>
      <c r="G1159" s="20" t="s">
        <v>46</v>
      </c>
    </row>
    <row r="1160" ht="22.5" hidden="1" customHeight="1">
      <c r="A1160" s="18">
        <v>1257.0</v>
      </c>
      <c r="B1160" s="18">
        <v>64.0</v>
      </c>
      <c r="C1160" s="18">
        <v>22.0</v>
      </c>
      <c r="D1160" s="18">
        <v>16.0</v>
      </c>
      <c r="E1160" s="18" t="b">
        <v>1</v>
      </c>
      <c r="G1160" s="20" t="s">
        <v>46</v>
      </c>
    </row>
    <row r="1161" ht="22.5" hidden="1" customHeight="1">
      <c r="A1161" s="18">
        <v>1258.0</v>
      </c>
      <c r="B1161" s="18">
        <v>65.0</v>
      </c>
      <c r="C1161" s="18">
        <v>22.0</v>
      </c>
      <c r="D1161" s="18">
        <v>16.0</v>
      </c>
      <c r="E1161" s="18" t="b">
        <v>1</v>
      </c>
      <c r="G1161" s="20" t="s">
        <v>46</v>
      </c>
    </row>
    <row r="1162" ht="22.5" hidden="1" customHeight="1">
      <c r="A1162" s="18">
        <v>1259.0</v>
      </c>
      <c r="B1162" s="18">
        <v>111.0</v>
      </c>
      <c r="C1162" s="18">
        <v>22.0</v>
      </c>
      <c r="D1162" s="18">
        <v>16.0</v>
      </c>
      <c r="E1162" s="18" t="b">
        <v>1</v>
      </c>
      <c r="G1162" s="20" t="s">
        <v>46</v>
      </c>
    </row>
    <row r="1163" ht="22.5" hidden="1" customHeight="1">
      <c r="A1163" s="18">
        <v>1260.0</v>
      </c>
      <c r="B1163" s="18">
        <v>66.0</v>
      </c>
      <c r="C1163" s="18">
        <v>22.0</v>
      </c>
      <c r="D1163" s="18">
        <v>16.0</v>
      </c>
      <c r="E1163" s="18" t="b">
        <v>1</v>
      </c>
      <c r="G1163" s="20" t="s">
        <v>46</v>
      </c>
    </row>
    <row r="1164" ht="22.5" hidden="1" customHeight="1">
      <c r="A1164" s="18">
        <v>1261.0</v>
      </c>
      <c r="B1164" s="18">
        <v>67.0</v>
      </c>
      <c r="C1164" s="18">
        <v>22.0</v>
      </c>
      <c r="D1164" s="18">
        <v>16.0</v>
      </c>
      <c r="E1164" s="18" t="b">
        <v>1</v>
      </c>
      <c r="G1164" s="20" t="s">
        <v>46</v>
      </c>
    </row>
    <row r="1165" ht="22.5" hidden="1" customHeight="1">
      <c r="A1165" s="18">
        <v>1262.0</v>
      </c>
      <c r="B1165" s="18">
        <v>70.0</v>
      </c>
      <c r="C1165" s="18">
        <v>29.0</v>
      </c>
      <c r="D1165" s="18">
        <v>16.0</v>
      </c>
      <c r="E1165" s="18" t="b">
        <v>1</v>
      </c>
      <c r="G1165" s="20" t="s">
        <v>46</v>
      </c>
    </row>
    <row r="1166" ht="22.5" hidden="1" customHeight="1">
      <c r="A1166" s="18">
        <v>1263.0</v>
      </c>
      <c r="B1166" s="18">
        <v>71.0</v>
      </c>
      <c r="C1166" s="18">
        <v>22.0</v>
      </c>
      <c r="D1166" s="18">
        <v>16.0</v>
      </c>
      <c r="E1166" s="18" t="b">
        <v>1</v>
      </c>
      <c r="G1166" s="20" t="s">
        <v>46</v>
      </c>
    </row>
    <row r="1167" ht="22.5" hidden="1" customHeight="1">
      <c r="A1167" s="18">
        <v>1264.0</v>
      </c>
      <c r="B1167" s="18">
        <v>74.0</v>
      </c>
      <c r="C1167" s="18">
        <v>29.0</v>
      </c>
      <c r="D1167" s="18">
        <v>16.0</v>
      </c>
      <c r="E1167" s="18" t="b">
        <v>1</v>
      </c>
      <c r="G1167" s="20" t="s">
        <v>46</v>
      </c>
    </row>
    <row r="1168" ht="22.5" hidden="1" customHeight="1">
      <c r="A1168" s="18">
        <v>1265.0</v>
      </c>
      <c r="B1168" s="18">
        <v>75.0</v>
      </c>
      <c r="C1168" s="18">
        <v>22.0</v>
      </c>
      <c r="D1168" s="18">
        <v>16.0</v>
      </c>
      <c r="E1168" s="18" t="b">
        <v>1</v>
      </c>
      <c r="G1168" s="20" t="s">
        <v>46</v>
      </c>
    </row>
    <row r="1169" ht="22.5" hidden="1" customHeight="1">
      <c r="A1169" s="18">
        <v>1266.0</v>
      </c>
      <c r="B1169" s="18">
        <v>76.0</v>
      </c>
      <c r="C1169" s="18">
        <v>22.0</v>
      </c>
      <c r="D1169" s="18">
        <v>16.0</v>
      </c>
      <c r="E1169" s="18" t="b">
        <v>1</v>
      </c>
      <c r="G1169" s="20" t="s">
        <v>46</v>
      </c>
    </row>
    <row r="1170" ht="22.5" hidden="1" customHeight="1">
      <c r="A1170" s="18">
        <v>1267.0</v>
      </c>
      <c r="B1170" s="18">
        <v>78.0</v>
      </c>
      <c r="C1170" s="18">
        <v>22.0</v>
      </c>
      <c r="D1170" s="18">
        <v>16.0</v>
      </c>
      <c r="E1170" s="18" t="b">
        <v>1</v>
      </c>
      <c r="G1170" s="20" t="s">
        <v>46</v>
      </c>
    </row>
    <row r="1171" ht="22.5" hidden="1" customHeight="1">
      <c r="A1171" s="18">
        <v>1268.0</v>
      </c>
      <c r="B1171" s="18">
        <v>82.0</v>
      </c>
      <c r="C1171" s="18">
        <v>21.0</v>
      </c>
      <c r="D1171" s="18">
        <v>16.0</v>
      </c>
      <c r="E1171" s="18" t="b">
        <v>1</v>
      </c>
      <c r="G1171" s="20" t="s">
        <v>46</v>
      </c>
    </row>
    <row r="1172" ht="22.5" hidden="1" customHeight="1">
      <c r="A1172" s="18">
        <v>1269.0</v>
      </c>
      <c r="B1172" s="18">
        <v>84.0</v>
      </c>
      <c r="C1172" s="18">
        <v>22.0</v>
      </c>
      <c r="D1172" s="18">
        <v>16.0</v>
      </c>
      <c r="E1172" s="18" t="b">
        <v>1</v>
      </c>
      <c r="G1172" s="20" t="s">
        <v>46</v>
      </c>
    </row>
    <row r="1173" ht="22.5" hidden="1" customHeight="1">
      <c r="A1173" s="18">
        <v>1270.0</v>
      </c>
      <c r="B1173" s="18">
        <v>1.0</v>
      </c>
      <c r="C1173" s="18">
        <v>28.0</v>
      </c>
      <c r="D1173" s="18">
        <v>17.0</v>
      </c>
      <c r="E1173" s="18" t="b">
        <v>1</v>
      </c>
      <c r="G1173" s="20" t="s">
        <v>46</v>
      </c>
    </row>
    <row r="1174" ht="22.5" hidden="1" customHeight="1">
      <c r="A1174" s="18">
        <v>1271.0</v>
      </c>
      <c r="B1174" s="18">
        <v>1.0</v>
      </c>
      <c r="C1174" s="18">
        <v>29.0</v>
      </c>
      <c r="D1174" s="18">
        <v>17.0</v>
      </c>
      <c r="E1174" s="18" t="b">
        <v>0</v>
      </c>
      <c r="G1174" s="20" t="s">
        <v>46</v>
      </c>
    </row>
    <row r="1175" ht="22.5" hidden="1" customHeight="1">
      <c r="A1175" s="18">
        <v>1272.0</v>
      </c>
      <c r="B1175" s="18">
        <v>2.0</v>
      </c>
      <c r="C1175" s="18">
        <v>28.0</v>
      </c>
      <c r="D1175" s="18">
        <v>17.0</v>
      </c>
      <c r="E1175" s="18" t="b">
        <v>1</v>
      </c>
      <c r="G1175" s="20" t="s">
        <v>46</v>
      </c>
    </row>
    <row r="1176" ht="22.5" hidden="1" customHeight="1">
      <c r="A1176" s="18">
        <v>1273.0</v>
      </c>
      <c r="B1176" s="18">
        <v>2.0</v>
      </c>
      <c r="C1176" s="18">
        <v>29.0</v>
      </c>
      <c r="D1176" s="18">
        <v>17.0</v>
      </c>
      <c r="E1176" s="18" t="b">
        <v>0</v>
      </c>
      <c r="G1176" s="20" t="s">
        <v>46</v>
      </c>
    </row>
    <row r="1177" ht="22.5" hidden="1" customHeight="1">
      <c r="A1177" s="18">
        <v>1274.0</v>
      </c>
      <c r="B1177" s="18">
        <v>3.0</v>
      </c>
      <c r="C1177" s="18">
        <v>28.0</v>
      </c>
      <c r="D1177" s="18">
        <v>17.0</v>
      </c>
      <c r="E1177" s="18" t="b">
        <v>1</v>
      </c>
      <c r="G1177" s="20" t="s">
        <v>46</v>
      </c>
    </row>
    <row r="1178" ht="22.5" hidden="1" customHeight="1">
      <c r="A1178" s="18">
        <v>1275.0</v>
      </c>
      <c r="B1178" s="18">
        <v>3.0</v>
      </c>
      <c r="C1178" s="18">
        <v>29.0</v>
      </c>
      <c r="D1178" s="18">
        <v>17.0</v>
      </c>
      <c r="E1178" s="18" t="b">
        <v>0</v>
      </c>
      <c r="G1178" s="20" t="s">
        <v>46</v>
      </c>
    </row>
    <row r="1179" ht="22.5" hidden="1" customHeight="1">
      <c r="A1179" s="18">
        <v>1276.0</v>
      </c>
      <c r="B1179" s="18">
        <v>4.0</v>
      </c>
      <c r="C1179" s="18">
        <v>28.0</v>
      </c>
      <c r="D1179" s="18">
        <v>17.0</v>
      </c>
      <c r="E1179" s="18" t="b">
        <v>1</v>
      </c>
      <c r="G1179" s="20" t="s">
        <v>46</v>
      </c>
    </row>
    <row r="1180" ht="22.5" hidden="1" customHeight="1">
      <c r="A1180" s="18">
        <v>1277.0</v>
      </c>
      <c r="B1180" s="18">
        <v>4.0</v>
      </c>
      <c r="C1180" s="18">
        <v>29.0</v>
      </c>
      <c r="D1180" s="18">
        <v>17.0</v>
      </c>
      <c r="E1180" s="18" t="b">
        <v>0</v>
      </c>
      <c r="G1180" s="20" t="s">
        <v>46</v>
      </c>
    </row>
    <row r="1181" ht="22.5" hidden="1" customHeight="1">
      <c r="A1181" s="18">
        <v>1278.0</v>
      </c>
      <c r="B1181" s="18">
        <v>5.0</v>
      </c>
      <c r="C1181" s="18">
        <v>28.0</v>
      </c>
      <c r="D1181" s="18">
        <v>17.0</v>
      </c>
      <c r="E1181" s="18" t="b">
        <v>1</v>
      </c>
      <c r="G1181" s="20" t="s">
        <v>46</v>
      </c>
    </row>
    <row r="1182" ht="22.5" hidden="1" customHeight="1">
      <c r="A1182" s="18">
        <v>1279.0</v>
      </c>
      <c r="B1182" s="18">
        <v>5.0</v>
      </c>
      <c r="C1182" s="18">
        <v>29.0</v>
      </c>
      <c r="D1182" s="18">
        <v>17.0</v>
      </c>
      <c r="E1182" s="18" t="b">
        <v>0</v>
      </c>
      <c r="G1182" s="20" t="s">
        <v>46</v>
      </c>
    </row>
    <row r="1183" ht="22.5" hidden="1" customHeight="1">
      <c r="A1183" s="18">
        <v>1280.0</v>
      </c>
      <c r="B1183" s="18">
        <v>6.0</v>
      </c>
      <c r="C1183" s="18">
        <v>28.0</v>
      </c>
      <c r="D1183" s="18">
        <v>17.0</v>
      </c>
      <c r="E1183" s="18" t="b">
        <v>1</v>
      </c>
      <c r="G1183" s="20" t="s">
        <v>46</v>
      </c>
    </row>
    <row r="1184" ht="22.5" hidden="1" customHeight="1">
      <c r="A1184" s="18">
        <v>1281.0</v>
      </c>
      <c r="B1184" s="18">
        <v>6.0</v>
      </c>
      <c r="C1184" s="18">
        <v>29.0</v>
      </c>
      <c r="D1184" s="18">
        <v>17.0</v>
      </c>
      <c r="E1184" s="18" t="b">
        <v>0</v>
      </c>
      <c r="G1184" s="20" t="s">
        <v>46</v>
      </c>
    </row>
    <row r="1185" ht="22.5" hidden="1" customHeight="1">
      <c r="A1185" s="18">
        <v>1282.0</v>
      </c>
      <c r="B1185" s="18">
        <v>7.0</v>
      </c>
      <c r="C1185" s="18">
        <v>28.0</v>
      </c>
      <c r="D1185" s="18">
        <v>17.0</v>
      </c>
      <c r="E1185" s="18" t="b">
        <v>1</v>
      </c>
      <c r="G1185" s="20" t="s">
        <v>46</v>
      </c>
    </row>
    <row r="1186" ht="22.5" hidden="1" customHeight="1">
      <c r="A1186" s="18">
        <v>1283.0</v>
      </c>
      <c r="B1186" s="18">
        <v>7.0</v>
      </c>
      <c r="C1186" s="18">
        <v>29.0</v>
      </c>
      <c r="D1186" s="18">
        <v>17.0</v>
      </c>
      <c r="E1186" s="18" t="b">
        <v>0</v>
      </c>
      <c r="G1186" s="20" t="s">
        <v>46</v>
      </c>
    </row>
    <row r="1187" ht="22.5" hidden="1" customHeight="1">
      <c r="A1187" s="18">
        <v>1284.0</v>
      </c>
      <c r="B1187" s="18">
        <v>8.0</v>
      </c>
      <c r="C1187" s="18">
        <v>28.0</v>
      </c>
      <c r="D1187" s="18">
        <v>17.0</v>
      </c>
      <c r="E1187" s="18" t="b">
        <v>1</v>
      </c>
      <c r="G1187" s="20" t="s">
        <v>46</v>
      </c>
    </row>
    <row r="1188" ht="22.5" hidden="1" customHeight="1">
      <c r="A1188" s="18">
        <v>1285.0</v>
      </c>
      <c r="B1188" s="18">
        <v>8.0</v>
      </c>
      <c r="C1188" s="18">
        <v>29.0</v>
      </c>
      <c r="D1188" s="18">
        <v>17.0</v>
      </c>
      <c r="E1188" s="18" t="b">
        <v>0</v>
      </c>
      <c r="G1188" s="20" t="s">
        <v>46</v>
      </c>
    </row>
    <row r="1189" ht="22.5" hidden="1" customHeight="1">
      <c r="A1189" s="18">
        <v>1286.0</v>
      </c>
      <c r="B1189" s="18">
        <v>9.0</v>
      </c>
      <c r="C1189" s="18">
        <v>28.0</v>
      </c>
      <c r="D1189" s="18">
        <v>17.0</v>
      </c>
      <c r="E1189" s="18" t="b">
        <v>1</v>
      </c>
      <c r="G1189" s="20" t="s">
        <v>46</v>
      </c>
    </row>
    <row r="1190" ht="22.5" hidden="1" customHeight="1">
      <c r="A1190" s="18">
        <v>1287.0</v>
      </c>
      <c r="B1190" s="18">
        <v>9.0</v>
      </c>
      <c r="C1190" s="18">
        <v>29.0</v>
      </c>
      <c r="D1190" s="18">
        <v>17.0</v>
      </c>
      <c r="E1190" s="18" t="b">
        <v>0</v>
      </c>
      <c r="G1190" s="20" t="s">
        <v>46</v>
      </c>
    </row>
    <row r="1191" ht="22.5" hidden="1" customHeight="1">
      <c r="A1191" s="18">
        <v>1288.0</v>
      </c>
      <c r="B1191" s="18">
        <v>10.0</v>
      </c>
      <c r="C1191" s="18">
        <v>28.0</v>
      </c>
      <c r="D1191" s="18">
        <v>17.0</v>
      </c>
      <c r="E1191" s="18" t="b">
        <v>1</v>
      </c>
      <c r="G1191" s="20" t="s">
        <v>46</v>
      </c>
    </row>
    <row r="1192" ht="22.5" hidden="1" customHeight="1">
      <c r="A1192" s="18">
        <v>1289.0</v>
      </c>
      <c r="B1192" s="18">
        <v>10.0</v>
      </c>
      <c r="C1192" s="18">
        <v>29.0</v>
      </c>
      <c r="D1192" s="18">
        <v>17.0</v>
      </c>
      <c r="E1192" s="18" t="b">
        <v>0</v>
      </c>
      <c r="G1192" s="20" t="s">
        <v>46</v>
      </c>
    </row>
    <row r="1193" ht="22.5" hidden="1" customHeight="1">
      <c r="A1193" s="18">
        <v>1290.0</v>
      </c>
      <c r="B1193" s="18">
        <v>11.0</v>
      </c>
      <c r="C1193" s="18">
        <v>28.0</v>
      </c>
      <c r="D1193" s="18">
        <v>17.0</v>
      </c>
      <c r="E1193" s="18" t="b">
        <v>1</v>
      </c>
      <c r="G1193" s="20" t="s">
        <v>46</v>
      </c>
    </row>
    <row r="1194" ht="22.5" hidden="1" customHeight="1">
      <c r="A1194" s="18">
        <v>1291.0</v>
      </c>
      <c r="B1194" s="18">
        <v>11.0</v>
      </c>
      <c r="C1194" s="18">
        <v>29.0</v>
      </c>
      <c r="D1194" s="18">
        <v>17.0</v>
      </c>
      <c r="E1194" s="18" t="b">
        <v>0</v>
      </c>
      <c r="G1194" s="20" t="s">
        <v>46</v>
      </c>
    </row>
    <row r="1195" ht="22.5" hidden="1" customHeight="1">
      <c r="A1195" s="18">
        <v>1292.0</v>
      </c>
      <c r="B1195" s="18">
        <v>12.0</v>
      </c>
      <c r="C1195" s="18">
        <v>28.0</v>
      </c>
      <c r="D1195" s="18">
        <v>17.0</v>
      </c>
      <c r="E1195" s="18" t="b">
        <v>1</v>
      </c>
      <c r="G1195" s="20" t="s">
        <v>46</v>
      </c>
    </row>
    <row r="1196" ht="22.5" hidden="1" customHeight="1">
      <c r="A1196" s="18">
        <v>1293.0</v>
      </c>
      <c r="B1196" s="18">
        <v>12.0</v>
      </c>
      <c r="C1196" s="18">
        <v>29.0</v>
      </c>
      <c r="D1196" s="18">
        <v>17.0</v>
      </c>
      <c r="E1196" s="18" t="b">
        <v>0</v>
      </c>
      <c r="G1196" s="20" t="s">
        <v>46</v>
      </c>
    </row>
    <row r="1197" ht="22.5" hidden="1" customHeight="1">
      <c r="A1197" s="18">
        <v>1294.0</v>
      </c>
      <c r="B1197" s="18">
        <v>13.0</v>
      </c>
      <c r="C1197" s="18">
        <v>28.0</v>
      </c>
      <c r="D1197" s="18">
        <v>17.0</v>
      </c>
      <c r="E1197" s="18" t="b">
        <v>1</v>
      </c>
      <c r="G1197" s="20" t="s">
        <v>46</v>
      </c>
    </row>
    <row r="1198" ht="22.5" hidden="1" customHeight="1">
      <c r="A1198" s="18">
        <v>1295.0</v>
      </c>
      <c r="B1198" s="18">
        <v>13.0</v>
      </c>
      <c r="C1198" s="18">
        <v>29.0</v>
      </c>
      <c r="D1198" s="18">
        <v>17.0</v>
      </c>
      <c r="E1198" s="18" t="b">
        <v>0</v>
      </c>
      <c r="G1198" s="20" t="s">
        <v>46</v>
      </c>
    </row>
    <row r="1199" ht="22.5" hidden="1" customHeight="1">
      <c r="A1199" s="18">
        <v>1296.0</v>
      </c>
      <c r="B1199" s="18">
        <v>14.0</v>
      </c>
      <c r="C1199" s="18">
        <v>28.0</v>
      </c>
      <c r="D1199" s="18">
        <v>17.0</v>
      </c>
      <c r="E1199" s="18" t="b">
        <v>1</v>
      </c>
      <c r="G1199" s="20" t="s">
        <v>46</v>
      </c>
    </row>
    <row r="1200" ht="22.5" hidden="1" customHeight="1">
      <c r="A1200" s="18">
        <v>1297.0</v>
      </c>
      <c r="B1200" s="18">
        <v>14.0</v>
      </c>
      <c r="C1200" s="18">
        <v>29.0</v>
      </c>
      <c r="D1200" s="18">
        <v>17.0</v>
      </c>
      <c r="E1200" s="18" t="b">
        <v>0</v>
      </c>
      <c r="G1200" s="20" t="s">
        <v>46</v>
      </c>
    </row>
    <row r="1201" ht="22.5" hidden="1" customHeight="1">
      <c r="A1201" s="18">
        <v>1298.0</v>
      </c>
      <c r="B1201" s="18">
        <v>15.0</v>
      </c>
      <c r="C1201" s="18">
        <v>28.0</v>
      </c>
      <c r="D1201" s="18">
        <v>17.0</v>
      </c>
      <c r="E1201" s="18" t="b">
        <v>1</v>
      </c>
      <c r="G1201" s="20" t="s">
        <v>46</v>
      </c>
    </row>
    <row r="1202" ht="22.5" hidden="1" customHeight="1">
      <c r="A1202" s="18">
        <v>1299.0</v>
      </c>
      <c r="B1202" s="18">
        <v>15.0</v>
      </c>
      <c r="C1202" s="18">
        <v>29.0</v>
      </c>
      <c r="D1202" s="18">
        <v>17.0</v>
      </c>
      <c r="E1202" s="18" t="b">
        <v>0</v>
      </c>
      <c r="G1202" s="20" t="s">
        <v>46</v>
      </c>
    </row>
    <row r="1203" ht="22.5" hidden="1" customHeight="1">
      <c r="A1203" s="18">
        <v>1300.0</v>
      </c>
      <c r="B1203" s="18">
        <v>16.0</v>
      </c>
      <c r="C1203" s="18">
        <v>28.0</v>
      </c>
      <c r="D1203" s="18">
        <v>17.0</v>
      </c>
      <c r="E1203" s="18" t="b">
        <v>1</v>
      </c>
      <c r="G1203" s="20" t="s">
        <v>46</v>
      </c>
    </row>
    <row r="1204" ht="22.5" hidden="1" customHeight="1">
      <c r="A1204" s="18">
        <v>1301.0</v>
      </c>
      <c r="B1204" s="18">
        <v>16.0</v>
      </c>
      <c r="C1204" s="18">
        <v>29.0</v>
      </c>
      <c r="D1204" s="18">
        <v>17.0</v>
      </c>
      <c r="E1204" s="18" t="b">
        <v>0</v>
      </c>
      <c r="G1204" s="20" t="s">
        <v>46</v>
      </c>
    </row>
    <row r="1205" ht="22.5" hidden="1" customHeight="1">
      <c r="A1205" s="18">
        <v>1302.0</v>
      </c>
      <c r="B1205" s="18">
        <v>17.0</v>
      </c>
      <c r="C1205" s="18">
        <v>28.0</v>
      </c>
      <c r="D1205" s="18">
        <v>17.0</v>
      </c>
      <c r="E1205" s="18" t="b">
        <v>1</v>
      </c>
      <c r="G1205" s="20" t="s">
        <v>46</v>
      </c>
    </row>
    <row r="1206" ht="22.5" hidden="1" customHeight="1">
      <c r="A1206" s="18">
        <v>1303.0</v>
      </c>
      <c r="B1206" s="18">
        <v>17.0</v>
      </c>
      <c r="C1206" s="18">
        <v>29.0</v>
      </c>
      <c r="D1206" s="18">
        <v>17.0</v>
      </c>
      <c r="E1206" s="18" t="b">
        <v>0</v>
      </c>
      <c r="G1206" s="20" t="s">
        <v>46</v>
      </c>
    </row>
    <row r="1207" ht="22.5" hidden="1" customHeight="1">
      <c r="A1207" s="18">
        <v>1304.0</v>
      </c>
      <c r="B1207" s="18">
        <v>18.0</v>
      </c>
      <c r="C1207" s="18">
        <v>28.0</v>
      </c>
      <c r="D1207" s="18">
        <v>17.0</v>
      </c>
      <c r="E1207" s="18" t="b">
        <v>1</v>
      </c>
      <c r="G1207" s="20" t="s">
        <v>46</v>
      </c>
    </row>
    <row r="1208" ht="22.5" hidden="1" customHeight="1">
      <c r="A1208" s="18">
        <v>1305.0</v>
      </c>
      <c r="B1208" s="18">
        <v>18.0</v>
      </c>
      <c r="C1208" s="18">
        <v>29.0</v>
      </c>
      <c r="D1208" s="18">
        <v>17.0</v>
      </c>
      <c r="E1208" s="18" t="b">
        <v>0</v>
      </c>
      <c r="G1208" s="20" t="s">
        <v>46</v>
      </c>
    </row>
    <row r="1209" ht="22.5" hidden="1" customHeight="1">
      <c r="A1209" s="18">
        <v>1306.0</v>
      </c>
      <c r="B1209" s="18">
        <v>19.0</v>
      </c>
      <c r="C1209" s="18">
        <v>28.0</v>
      </c>
      <c r="D1209" s="18">
        <v>17.0</v>
      </c>
      <c r="E1209" s="18" t="b">
        <v>1</v>
      </c>
      <c r="G1209" s="20" t="s">
        <v>46</v>
      </c>
    </row>
    <row r="1210" ht="22.5" hidden="1" customHeight="1">
      <c r="A1210" s="18">
        <v>1307.0</v>
      </c>
      <c r="B1210" s="18">
        <v>19.0</v>
      </c>
      <c r="C1210" s="18">
        <v>29.0</v>
      </c>
      <c r="D1210" s="18">
        <v>17.0</v>
      </c>
      <c r="E1210" s="18" t="b">
        <v>0</v>
      </c>
      <c r="G1210" s="20" t="s">
        <v>46</v>
      </c>
    </row>
    <row r="1211" ht="22.5" hidden="1" customHeight="1">
      <c r="A1211" s="18">
        <v>1308.0</v>
      </c>
      <c r="B1211" s="18">
        <v>20.0</v>
      </c>
      <c r="C1211" s="18">
        <v>29.0</v>
      </c>
      <c r="D1211" s="18">
        <v>17.0</v>
      </c>
      <c r="E1211" s="18" t="b">
        <v>1</v>
      </c>
      <c r="G1211" s="20" t="s">
        <v>46</v>
      </c>
    </row>
    <row r="1212" ht="22.5" hidden="1" customHeight="1">
      <c r="A1212" s="18">
        <v>1309.0</v>
      </c>
      <c r="B1212" s="18">
        <v>21.0</v>
      </c>
      <c r="C1212" s="18">
        <v>29.0</v>
      </c>
      <c r="D1212" s="18">
        <v>17.0</v>
      </c>
      <c r="E1212" s="18" t="b">
        <v>1</v>
      </c>
      <c r="G1212" s="20" t="s">
        <v>46</v>
      </c>
    </row>
    <row r="1213" ht="22.5" hidden="1" customHeight="1">
      <c r="A1213" s="18">
        <v>1310.0</v>
      </c>
      <c r="B1213" s="18">
        <v>22.0</v>
      </c>
      <c r="C1213" s="18">
        <v>29.0</v>
      </c>
      <c r="D1213" s="18">
        <v>17.0</v>
      </c>
      <c r="E1213" s="18" t="b">
        <v>1</v>
      </c>
      <c r="G1213" s="20" t="s">
        <v>46</v>
      </c>
    </row>
    <row r="1214" ht="22.5" hidden="1" customHeight="1">
      <c r="A1214" s="18">
        <v>1311.0</v>
      </c>
      <c r="B1214" s="18">
        <v>23.0</v>
      </c>
      <c r="C1214" s="18">
        <v>29.0</v>
      </c>
      <c r="D1214" s="18">
        <v>17.0</v>
      </c>
      <c r="E1214" s="18" t="b">
        <v>1</v>
      </c>
      <c r="G1214" s="20" t="s">
        <v>46</v>
      </c>
    </row>
    <row r="1215" ht="22.5" hidden="1" customHeight="1">
      <c r="A1215" s="18">
        <v>1312.0</v>
      </c>
      <c r="B1215" s="18">
        <v>24.0</v>
      </c>
      <c r="C1215" s="18">
        <v>29.0</v>
      </c>
      <c r="D1215" s="18">
        <v>17.0</v>
      </c>
      <c r="E1215" s="18" t="b">
        <v>1</v>
      </c>
      <c r="G1215" s="20" t="s">
        <v>46</v>
      </c>
    </row>
    <row r="1216" ht="22.5" hidden="1" customHeight="1">
      <c r="A1216" s="18">
        <v>1313.0</v>
      </c>
      <c r="B1216" s="18">
        <v>25.0</v>
      </c>
      <c r="C1216" s="18">
        <v>29.0</v>
      </c>
      <c r="D1216" s="18">
        <v>17.0</v>
      </c>
      <c r="E1216" s="18" t="b">
        <v>1</v>
      </c>
      <c r="G1216" s="20" t="s">
        <v>46</v>
      </c>
    </row>
    <row r="1217" ht="22.5" hidden="1" customHeight="1">
      <c r="A1217" s="18">
        <v>1314.0</v>
      </c>
      <c r="B1217" s="18">
        <v>26.0</v>
      </c>
      <c r="C1217" s="18">
        <v>29.0</v>
      </c>
      <c r="D1217" s="18">
        <v>17.0</v>
      </c>
      <c r="E1217" s="18" t="b">
        <v>1</v>
      </c>
      <c r="G1217" s="20" t="s">
        <v>46</v>
      </c>
    </row>
    <row r="1218" ht="22.5" hidden="1" customHeight="1">
      <c r="A1218" s="18">
        <v>1315.0</v>
      </c>
      <c r="B1218" s="18">
        <v>27.0</v>
      </c>
      <c r="C1218" s="18">
        <v>29.0</v>
      </c>
      <c r="D1218" s="18">
        <v>17.0</v>
      </c>
      <c r="E1218" s="18" t="b">
        <v>1</v>
      </c>
      <c r="G1218" s="20" t="s">
        <v>46</v>
      </c>
    </row>
    <row r="1219" ht="22.5" hidden="1" customHeight="1">
      <c r="A1219" s="18">
        <v>1316.0</v>
      </c>
      <c r="B1219" s="18">
        <v>28.0</v>
      </c>
      <c r="C1219" s="18">
        <v>29.0</v>
      </c>
      <c r="D1219" s="18">
        <v>17.0</v>
      </c>
      <c r="E1219" s="18" t="b">
        <v>1</v>
      </c>
      <c r="G1219" s="20" t="s">
        <v>46</v>
      </c>
    </row>
    <row r="1220" ht="22.5" hidden="1" customHeight="1">
      <c r="A1220" s="18">
        <v>1317.0</v>
      </c>
      <c r="B1220" s="18">
        <v>29.0</v>
      </c>
      <c r="C1220" s="18">
        <v>29.0</v>
      </c>
      <c r="D1220" s="18">
        <v>17.0</v>
      </c>
      <c r="E1220" s="18" t="b">
        <v>1</v>
      </c>
      <c r="G1220" s="20" t="s">
        <v>46</v>
      </c>
    </row>
    <row r="1221" ht="22.5" hidden="1" customHeight="1">
      <c r="A1221" s="18">
        <v>1318.0</v>
      </c>
      <c r="B1221" s="18">
        <v>31.0</v>
      </c>
      <c r="C1221" s="18">
        <v>29.0</v>
      </c>
      <c r="D1221" s="18">
        <v>17.0</v>
      </c>
      <c r="E1221" s="18" t="b">
        <v>1</v>
      </c>
      <c r="G1221" s="20" t="s">
        <v>46</v>
      </c>
    </row>
    <row r="1222" ht="22.5" hidden="1" customHeight="1">
      <c r="A1222" s="18">
        <v>1319.0</v>
      </c>
      <c r="B1222" s="18">
        <v>32.0</v>
      </c>
      <c r="C1222" s="18">
        <v>29.0</v>
      </c>
      <c r="D1222" s="18">
        <v>17.0</v>
      </c>
      <c r="E1222" s="18" t="b">
        <v>1</v>
      </c>
      <c r="G1222" s="20" t="s">
        <v>46</v>
      </c>
    </row>
    <row r="1223" ht="22.5" hidden="1" customHeight="1">
      <c r="A1223" s="18">
        <v>1320.0</v>
      </c>
      <c r="B1223" s="18">
        <v>34.0</v>
      </c>
      <c r="C1223" s="18">
        <v>29.0</v>
      </c>
      <c r="D1223" s="18">
        <v>17.0</v>
      </c>
      <c r="E1223" s="18" t="b">
        <v>1</v>
      </c>
      <c r="G1223" s="20" t="s">
        <v>46</v>
      </c>
    </row>
    <row r="1224" ht="22.5" hidden="1" customHeight="1">
      <c r="A1224" s="18">
        <v>1321.0</v>
      </c>
      <c r="B1224" s="18">
        <v>35.0</v>
      </c>
      <c r="C1224" s="18">
        <v>29.0</v>
      </c>
      <c r="D1224" s="18">
        <v>17.0</v>
      </c>
      <c r="E1224" s="18" t="b">
        <v>1</v>
      </c>
      <c r="G1224" s="20" t="s">
        <v>46</v>
      </c>
    </row>
    <row r="1225" ht="22.5" hidden="1" customHeight="1">
      <c r="A1225" s="18">
        <v>1322.0</v>
      </c>
      <c r="B1225" s="18">
        <v>36.0</v>
      </c>
      <c r="C1225" s="18">
        <v>29.0</v>
      </c>
      <c r="D1225" s="18">
        <v>17.0</v>
      </c>
      <c r="E1225" s="18" t="b">
        <v>1</v>
      </c>
      <c r="G1225" s="20" t="s">
        <v>46</v>
      </c>
    </row>
    <row r="1226" ht="22.5" hidden="1" customHeight="1">
      <c r="A1226" s="18">
        <v>1323.0</v>
      </c>
      <c r="B1226" s="18">
        <v>37.0</v>
      </c>
      <c r="C1226" s="18">
        <v>29.0</v>
      </c>
      <c r="D1226" s="18">
        <v>17.0</v>
      </c>
      <c r="E1226" s="18" t="b">
        <v>1</v>
      </c>
      <c r="G1226" s="20" t="s">
        <v>46</v>
      </c>
    </row>
    <row r="1227" ht="22.5" hidden="1" customHeight="1">
      <c r="A1227" s="18">
        <v>1324.0</v>
      </c>
      <c r="B1227" s="18">
        <v>38.0</v>
      </c>
      <c r="C1227" s="18">
        <v>29.0</v>
      </c>
      <c r="D1227" s="18">
        <v>17.0</v>
      </c>
      <c r="E1227" s="18" t="b">
        <v>1</v>
      </c>
      <c r="G1227" s="20" t="s">
        <v>46</v>
      </c>
    </row>
    <row r="1228" ht="22.5" hidden="1" customHeight="1">
      <c r="A1228" s="18">
        <v>1325.0</v>
      </c>
      <c r="B1228" s="18">
        <v>40.0</v>
      </c>
      <c r="C1228" s="18">
        <v>29.0</v>
      </c>
      <c r="D1228" s="18">
        <v>17.0</v>
      </c>
      <c r="E1228" s="18" t="b">
        <v>1</v>
      </c>
      <c r="G1228" s="20" t="s">
        <v>46</v>
      </c>
    </row>
    <row r="1229" ht="22.5" hidden="1" customHeight="1">
      <c r="A1229" s="18">
        <v>1326.0</v>
      </c>
      <c r="B1229" s="18">
        <v>41.0</v>
      </c>
      <c r="C1229" s="18">
        <v>29.0</v>
      </c>
      <c r="D1229" s="18">
        <v>17.0</v>
      </c>
      <c r="E1229" s="18" t="b">
        <v>1</v>
      </c>
      <c r="G1229" s="20" t="s">
        <v>46</v>
      </c>
    </row>
    <row r="1230" ht="22.5" hidden="1" customHeight="1">
      <c r="A1230" s="18">
        <v>1327.0</v>
      </c>
      <c r="B1230" s="18">
        <v>63.0</v>
      </c>
      <c r="C1230" s="18">
        <v>34.0</v>
      </c>
      <c r="D1230" s="18">
        <v>17.0</v>
      </c>
      <c r="E1230" s="18" t="b">
        <v>1</v>
      </c>
      <c r="G1230" s="20" t="s">
        <v>46</v>
      </c>
    </row>
    <row r="1231" ht="22.5" hidden="1" customHeight="1">
      <c r="A1231" s="18">
        <v>1328.0</v>
      </c>
      <c r="B1231" s="18">
        <v>1.0</v>
      </c>
      <c r="C1231" s="18">
        <v>28.0</v>
      </c>
      <c r="D1231" s="18">
        <v>18.0</v>
      </c>
      <c r="E1231" s="18" t="b">
        <v>1</v>
      </c>
      <c r="G1231" s="20" t="s">
        <v>46</v>
      </c>
    </row>
    <row r="1232" ht="22.5" hidden="1" customHeight="1">
      <c r="A1232" s="18">
        <v>1329.0</v>
      </c>
      <c r="B1232" s="18">
        <v>1.0</v>
      </c>
      <c r="C1232" s="18">
        <v>29.0</v>
      </c>
      <c r="D1232" s="18">
        <v>18.0</v>
      </c>
      <c r="E1232" s="18" t="b">
        <v>0</v>
      </c>
      <c r="G1232" s="20" t="s">
        <v>46</v>
      </c>
    </row>
    <row r="1233" ht="22.5" hidden="1" customHeight="1">
      <c r="A1233" s="18">
        <v>1330.0</v>
      </c>
      <c r="B1233" s="18">
        <v>2.0</v>
      </c>
      <c r="C1233" s="18">
        <v>28.0</v>
      </c>
      <c r="D1233" s="18">
        <v>18.0</v>
      </c>
      <c r="E1233" s="18" t="b">
        <v>1</v>
      </c>
      <c r="G1233" s="20" t="s">
        <v>46</v>
      </c>
    </row>
    <row r="1234" ht="22.5" hidden="1" customHeight="1">
      <c r="A1234" s="18">
        <v>1331.0</v>
      </c>
      <c r="B1234" s="18">
        <v>2.0</v>
      </c>
      <c r="C1234" s="18">
        <v>29.0</v>
      </c>
      <c r="D1234" s="18">
        <v>18.0</v>
      </c>
      <c r="E1234" s="18" t="b">
        <v>0</v>
      </c>
      <c r="G1234" s="20" t="s">
        <v>46</v>
      </c>
    </row>
    <row r="1235" ht="22.5" hidden="1" customHeight="1">
      <c r="A1235" s="18">
        <v>1332.0</v>
      </c>
      <c r="B1235" s="18">
        <v>3.0</v>
      </c>
      <c r="C1235" s="18">
        <v>28.0</v>
      </c>
      <c r="D1235" s="18">
        <v>18.0</v>
      </c>
      <c r="E1235" s="18" t="b">
        <v>1</v>
      </c>
      <c r="G1235" s="20" t="s">
        <v>46</v>
      </c>
    </row>
    <row r="1236" ht="22.5" hidden="1" customHeight="1">
      <c r="A1236" s="18">
        <v>1333.0</v>
      </c>
      <c r="B1236" s="18">
        <v>3.0</v>
      </c>
      <c r="C1236" s="18">
        <v>29.0</v>
      </c>
      <c r="D1236" s="18">
        <v>18.0</v>
      </c>
      <c r="E1236" s="18" t="b">
        <v>0</v>
      </c>
      <c r="G1236" s="20" t="s">
        <v>46</v>
      </c>
    </row>
    <row r="1237" ht="22.5" hidden="1" customHeight="1">
      <c r="A1237" s="18">
        <v>1334.0</v>
      </c>
      <c r="B1237" s="18">
        <v>4.0</v>
      </c>
      <c r="C1237" s="18">
        <v>28.0</v>
      </c>
      <c r="D1237" s="18">
        <v>18.0</v>
      </c>
      <c r="E1237" s="18" t="b">
        <v>1</v>
      </c>
      <c r="G1237" s="20" t="s">
        <v>46</v>
      </c>
    </row>
    <row r="1238" ht="22.5" hidden="1" customHeight="1">
      <c r="A1238" s="18">
        <v>1335.0</v>
      </c>
      <c r="B1238" s="18">
        <v>4.0</v>
      </c>
      <c r="C1238" s="18">
        <v>29.0</v>
      </c>
      <c r="D1238" s="18">
        <v>18.0</v>
      </c>
      <c r="E1238" s="18" t="b">
        <v>0</v>
      </c>
      <c r="G1238" s="20" t="s">
        <v>46</v>
      </c>
    </row>
    <row r="1239" ht="22.5" hidden="1" customHeight="1">
      <c r="A1239" s="18">
        <v>1336.0</v>
      </c>
      <c r="B1239" s="18">
        <v>5.0</v>
      </c>
      <c r="C1239" s="18">
        <v>28.0</v>
      </c>
      <c r="D1239" s="18">
        <v>18.0</v>
      </c>
      <c r="E1239" s="18" t="b">
        <v>1</v>
      </c>
      <c r="G1239" s="20" t="s">
        <v>46</v>
      </c>
    </row>
    <row r="1240" ht="22.5" hidden="1" customHeight="1">
      <c r="A1240" s="18">
        <v>1337.0</v>
      </c>
      <c r="B1240" s="18">
        <v>5.0</v>
      </c>
      <c r="C1240" s="18">
        <v>29.0</v>
      </c>
      <c r="D1240" s="18">
        <v>18.0</v>
      </c>
      <c r="E1240" s="18" t="b">
        <v>0</v>
      </c>
      <c r="G1240" s="20" t="s">
        <v>46</v>
      </c>
    </row>
    <row r="1241" ht="22.5" hidden="1" customHeight="1">
      <c r="A1241" s="18">
        <v>1338.0</v>
      </c>
      <c r="B1241" s="18">
        <v>6.0</v>
      </c>
      <c r="C1241" s="18">
        <v>28.0</v>
      </c>
      <c r="D1241" s="18">
        <v>18.0</v>
      </c>
      <c r="E1241" s="18" t="b">
        <v>1</v>
      </c>
      <c r="G1241" s="20" t="s">
        <v>46</v>
      </c>
    </row>
    <row r="1242" ht="22.5" hidden="1" customHeight="1">
      <c r="A1242" s="18">
        <v>1339.0</v>
      </c>
      <c r="B1242" s="18">
        <v>6.0</v>
      </c>
      <c r="C1242" s="18">
        <v>29.0</v>
      </c>
      <c r="D1242" s="18">
        <v>18.0</v>
      </c>
      <c r="E1242" s="18" t="b">
        <v>0</v>
      </c>
      <c r="G1242" s="20" t="s">
        <v>46</v>
      </c>
    </row>
    <row r="1243" ht="22.5" hidden="1" customHeight="1">
      <c r="A1243" s="18">
        <v>1340.0</v>
      </c>
      <c r="B1243" s="18">
        <v>7.0</v>
      </c>
      <c r="C1243" s="18">
        <v>28.0</v>
      </c>
      <c r="D1243" s="18">
        <v>18.0</v>
      </c>
      <c r="E1243" s="18" t="b">
        <v>1</v>
      </c>
      <c r="G1243" s="20" t="s">
        <v>46</v>
      </c>
    </row>
    <row r="1244" ht="22.5" hidden="1" customHeight="1">
      <c r="A1244" s="18">
        <v>1341.0</v>
      </c>
      <c r="B1244" s="18">
        <v>7.0</v>
      </c>
      <c r="C1244" s="18">
        <v>29.0</v>
      </c>
      <c r="D1244" s="18">
        <v>18.0</v>
      </c>
      <c r="E1244" s="18" t="b">
        <v>0</v>
      </c>
      <c r="G1244" s="20" t="s">
        <v>46</v>
      </c>
    </row>
    <row r="1245" ht="22.5" hidden="1" customHeight="1">
      <c r="A1245" s="18">
        <v>1342.0</v>
      </c>
      <c r="B1245" s="18">
        <v>8.0</v>
      </c>
      <c r="C1245" s="18">
        <v>28.0</v>
      </c>
      <c r="D1245" s="18">
        <v>18.0</v>
      </c>
      <c r="E1245" s="18" t="b">
        <v>1</v>
      </c>
      <c r="G1245" s="20" t="s">
        <v>46</v>
      </c>
    </row>
    <row r="1246" ht="22.5" hidden="1" customHeight="1">
      <c r="A1246" s="18">
        <v>1343.0</v>
      </c>
      <c r="B1246" s="18">
        <v>8.0</v>
      </c>
      <c r="C1246" s="18">
        <v>29.0</v>
      </c>
      <c r="D1246" s="18">
        <v>18.0</v>
      </c>
      <c r="E1246" s="18" t="b">
        <v>0</v>
      </c>
      <c r="G1246" s="20" t="s">
        <v>46</v>
      </c>
    </row>
    <row r="1247" ht="22.5" hidden="1" customHeight="1">
      <c r="A1247" s="18">
        <v>1344.0</v>
      </c>
      <c r="B1247" s="18">
        <v>9.0</v>
      </c>
      <c r="C1247" s="18">
        <v>28.0</v>
      </c>
      <c r="D1247" s="18">
        <v>18.0</v>
      </c>
      <c r="E1247" s="18" t="b">
        <v>1</v>
      </c>
      <c r="G1247" s="20" t="s">
        <v>46</v>
      </c>
    </row>
    <row r="1248" ht="22.5" hidden="1" customHeight="1">
      <c r="A1248" s="18">
        <v>1345.0</v>
      </c>
      <c r="B1248" s="18">
        <v>9.0</v>
      </c>
      <c r="C1248" s="18">
        <v>29.0</v>
      </c>
      <c r="D1248" s="18">
        <v>18.0</v>
      </c>
      <c r="E1248" s="18" t="b">
        <v>0</v>
      </c>
      <c r="G1248" s="20" t="s">
        <v>46</v>
      </c>
    </row>
    <row r="1249" ht="22.5" hidden="1" customHeight="1">
      <c r="A1249" s="18">
        <v>1346.0</v>
      </c>
      <c r="B1249" s="18">
        <v>10.0</v>
      </c>
      <c r="C1249" s="18">
        <v>28.0</v>
      </c>
      <c r="D1249" s="18">
        <v>18.0</v>
      </c>
      <c r="E1249" s="18" t="b">
        <v>1</v>
      </c>
      <c r="G1249" s="20" t="s">
        <v>46</v>
      </c>
    </row>
    <row r="1250" ht="22.5" hidden="1" customHeight="1">
      <c r="A1250" s="18">
        <v>1347.0</v>
      </c>
      <c r="B1250" s="18">
        <v>10.0</v>
      </c>
      <c r="C1250" s="18">
        <v>29.0</v>
      </c>
      <c r="D1250" s="18">
        <v>18.0</v>
      </c>
      <c r="E1250" s="18" t="b">
        <v>0</v>
      </c>
      <c r="G1250" s="20" t="s">
        <v>46</v>
      </c>
    </row>
    <row r="1251" ht="22.5" hidden="1" customHeight="1">
      <c r="A1251" s="18">
        <v>1348.0</v>
      </c>
      <c r="B1251" s="18">
        <v>11.0</v>
      </c>
      <c r="C1251" s="18">
        <v>28.0</v>
      </c>
      <c r="D1251" s="18">
        <v>18.0</v>
      </c>
      <c r="E1251" s="18" t="b">
        <v>1</v>
      </c>
      <c r="G1251" s="20" t="s">
        <v>46</v>
      </c>
    </row>
    <row r="1252" ht="22.5" hidden="1" customHeight="1">
      <c r="A1252" s="18">
        <v>1349.0</v>
      </c>
      <c r="B1252" s="18">
        <v>11.0</v>
      </c>
      <c r="C1252" s="18">
        <v>29.0</v>
      </c>
      <c r="D1252" s="18">
        <v>18.0</v>
      </c>
      <c r="E1252" s="18" t="b">
        <v>0</v>
      </c>
      <c r="G1252" s="20" t="s">
        <v>46</v>
      </c>
    </row>
    <row r="1253" ht="22.5" hidden="1" customHeight="1">
      <c r="A1253" s="18">
        <v>1350.0</v>
      </c>
      <c r="B1253" s="18">
        <v>12.0</v>
      </c>
      <c r="C1253" s="18">
        <v>28.0</v>
      </c>
      <c r="D1253" s="18">
        <v>18.0</v>
      </c>
      <c r="E1253" s="18" t="b">
        <v>1</v>
      </c>
      <c r="G1253" s="20" t="s">
        <v>46</v>
      </c>
    </row>
    <row r="1254" ht="22.5" hidden="1" customHeight="1">
      <c r="A1254" s="18">
        <v>1351.0</v>
      </c>
      <c r="B1254" s="18">
        <v>12.0</v>
      </c>
      <c r="C1254" s="18">
        <v>29.0</v>
      </c>
      <c r="D1254" s="18">
        <v>18.0</v>
      </c>
      <c r="E1254" s="18" t="b">
        <v>0</v>
      </c>
      <c r="G1254" s="20" t="s">
        <v>46</v>
      </c>
    </row>
    <row r="1255" ht="22.5" hidden="1" customHeight="1">
      <c r="A1255" s="18">
        <v>1352.0</v>
      </c>
      <c r="B1255" s="18">
        <v>13.0</v>
      </c>
      <c r="C1255" s="18">
        <v>28.0</v>
      </c>
      <c r="D1255" s="18">
        <v>18.0</v>
      </c>
      <c r="E1255" s="18" t="b">
        <v>1</v>
      </c>
      <c r="G1255" s="20" t="s">
        <v>46</v>
      </c>
    </row>
    <row r="1256" ht="22.5" hidden="1" customHeight="1">
      <c r="A1256" s="18">
        <v>1353.0</v>
      </c>
      <c r="B1256" s="18">
        <v>13.0</v>
      </c>
      <c r="C1256" s="18">
        <v>29.0</v>
      </c>
      <c r="D1256" s="18">
        <v>18.0</v>
      </c>
      <c r="E1256" s="18" t="b">
        <v>0</v>
      </c>
      <c r="G1256" s="20" t="s">
        <v>46</v>
      </c>
    </row>
    <row r="1257" ht="22.5" hidden="1" customHeight="1">
      <c r="A1257" s="18">
        <v>1354.0</v>
      </c>
      <c r="B1257" s="18">
        <v>14.0</v>
      </c>
      <c r="C1257" s="18">
        <v>28.0</v>
      </c>
      <c r="D1257" s="18">
        <v>18.0</v>
      </c>
      <c r="E1257" s="18" t="b">
        <v>1</v>
      </c>
      <c r="G1257" s="20" t="s">
        <v>46</v>
      </c>
    </row>
    <row r="1258" ht="22.5" hidden="1" customHeight="1">
      <c r="A1258" s="18">
        <v>1355.0</v>
      </c>
      <c r="B1258" s="18">
        <v>14.0</v>
      </c>
      <c r="C1258" s="18">
        <v>29.0</v>
      </c>
      <c r="D1258" s="18">
        <v>18.0</v>
      </c>
      <c r="E1258" s="18" t="b">
        <v>0</v>
      </c>
      <c r="G1258" s="20" t="s">
        <v>46</v>
      </c>
    </row>
    <row r="1259" ht="22.5" hidden="1" customHeight="1">
      <c r="A1259" s="18">
        <v>1356.0</v>
      </c>
      <c r="B1259" s="18">
        <v>15.0</v>
      </c>
      <c r="C1259" s="18">
        <v>28.0</v>
      </c>
      <c r="D1259" s="18">
        <v>18.0</v>
      </c>
      <c r="E1259" s="18" t="b">
        <v>1</v>
      </c>
      <c r="G1259" s="20" t="s">
        <v>46</v>
      </c>
    </row>
    <row r="1260" ht="22.5" hidden="1" customHeight="1">
      <c r="A1260" s="18">
        <v>1357.0</v>
      </c>
      <c r="B1260" s="18">
        <v>15.0</v>
      </c>
      <c r="C1260" s="18">
        <v>29.0</v>
      </c>
      <c r="D1260" s="18">
        <v>18.0</v>
      </c>
      <c r="E1260" s="18" t="b">
        <v>0</v>
      </c>
      <c r="G1260" s="20" t="s">
        <v>46</v>
      </c>
    </row>
    <row r="1261" ht="22.5" hidden="1" customHeight="1">
      <c r="A1261" s="18">
        <v>1358.0</v>
      </c>
      <c r="B1261" s="18">
        <v>16.0</v>
      </c>
      <c r="C1261" s="18">
        <v>28.0</v>
      </c>
      <c r="D1261" s="18">
        <v>18.0</v>
      </c>
      <c r="E1261" s="18" t="b">
        <v>1</v>
      </c>
      <c r="G1261" s="20" t="s">
        <v>46</v>
      </c>
    </row>
    <row r="1262" ht="22.5" hidden="1" customHeight="1">
      <c r="A1262" s="18">
        <v>1359.0</v>
      </c>
      <c r="B1262" s="18">
        <v>16.0</v>
      </c>
      <c r="C1262" s="18">
        <v>29.0</v>
      </c>
      <c r="D1262" s="18">
        <v>18.0</v>
      </c>
      <c r="E1262" s="18" t="b">
        <v>0</v>
      </c>
      <c r="G1262" s="20" t="s">
        <v>46</v>
      </c>
    </row>
    <row r="1263" ht="22.5" hidden="1" customHeight="1">
      <c r="A1263" s="18">
        <v>1360.0</v>
      </c>
      <c r="B1263" s="18">
        <v>17.0</v>
      </c>
      <c r="C1263" s="18">
        <v>28.0</v>
      </c>
      <c r="D1263" s="18">
        <v>18.0</v>
      </c>
      <c r="E1263" s="18" t="b">
        <v>1</v>
      </c>
      <c r="G1263" s="20" t="s">
        <v>46</v>
      </c>
    </row>
    <row r="1264" ht="22.5" hidden="1" customHeight="1">
      <c r="A1264" s="18">
        <v>1361.0</v>
      </c>
      <c r="B1264" s="18">
        <v>17.0</v>
      </c>
      <c r="C1264" s="18">
        <v>29.0</v>
      </c>
      <c r="D1264" s="18">
        <v>18.0</v>
      </c>
      <c r="E1264" s="18" t="b">
        <v>0</v>
      </c>
      <c r="G1264" s="20" t="s">
        <v>46</v>
      </c>
    </row>
    <row r="1265" ht="22.5" hidden="1" customHeight="1">
      <c r="A1265" s="18">
        <v>1362.0</v>
      </c>
      <c r="B1265" s="18">
        <v>18.0</v>
      </c>
      <c r="C1265" s="18">
        <v>28.0</v>
      </c>
      <c r="D1265" s="18">
        <v>18.0</v>
      </c>
      <c r="E1265" s="18" t="b">
        <v>1</v>
      </c>
      <c r="G1265" s="20" t="s">
        <v>46</v>
      </c>
    </row>
    <row r="1266" ht="22.5" hidden="1" customHeight="1">
      <c r="A1266" s="18">
        <v>1363.0</v>
      </c>
      <c r="B1266" s="18">
        <v>18.0</v>
      </c>
      <c r="C1266" s="18">
        <v>29.0</v>
      </c>
      <c r="D1266" s="18">
        <v>18.0</v>
      </c>
      <c r="E1266" s="18" t="b">
        <v>0</v>
      </c>
      <c r="G1266" s="20" t="s">
        <v>46</v>
      </c>
    </row>
    <row r="1267" ht="22.5" hidden="1" customHeight="1">
      <c r="A1267" s="18">
        <v>1364.0</v>
      </c>
      <c r="B1267" s="18">
        <v>19.0</v>
      </c>
      <c r="C1267" s="18">
        <v>28.0</v>
      </c>
      <c r="D1267" s="18">
        <v>18.0</v>
      </c>
      <c r="E1267" s="18" t="b">
        <v>1</v>
      </c>
      <c r="G1267" s="20" t="s">
        <v>46</v>
      </c>
    </row>
    <row r="1268" ht="22.5" hidden="1" customHeight="1">
      <c r="A1268" s="18">
        <v>1365.0</v>
      </c>
      <c r="B1268" s="18">
        <v>19.0</v>
      </c>
      <c r="C1268" s="18">
        <v>29.0</v>
      </c>
      <c r="D1268" s="18">
        <v>18.0</v>
      </c>
      <c r="E1268" s="18" t="b">
        <v>0</v>
      </c>
      <c r="G1268" s="20" t="s">
        <v>46</v>
      </c>
    </row>
    <row r="1269" ht="22.5" hidden="1" customHeight="1">
      <c r="A1269" s="18">
        <v>1366.0</v>
      </c>
      <c r="B1269" s="18">
        <v>20.0</v>
      </c>
      <c r="C1269" s="18">
        <v>29.0</v>
      </c>
      <c r="D1269" s="18">
        <v>18.0</v>
      </c>
      <c r="E1269" s="18" t="b">
        <v>1</v>
      </c>
      <c r="G1269" s="20" t="s">
        <v>46</v>
      </c>
    </row>
    <row r="1270" ht="22.5" hidden="1" customHeight="1">
      <c r="A1270" s="18">
        <v>1367.0</v>
      </c>
      <c r="B1270" s="18">
        <v>21.0</v>
      </c>
      <c r="C1270" s="18">
        <v>29.0</v>
      </c>
      <c r="D1270" s="18">
        <v>18.0</v>
      </c>
      <c r="E1270" s="18" t="b">
        <v>1</v>
      </c>
      <c r="G1270" s="20" t="s">
        <v>46</v>
      </c>
    </row>
    <row r="1271" ht="22.5" hidden="1" customHeight="1">
      <c r="A1271" s="18">
        <v>1368.0</v>
      </c>
      <c r="B1271" s="18">
        <v>22.0</v>
      </c>
      <c r="C1271" s="18">
        <v>29.0</v>
      </c>
      <c r="D1271" s="18">
        <v>18.0</v>
      </c>
      <c r="E1271" s="18" t="b">
        <v>1</v>
      </c>
      <c r="G1271" s="20" t="s">
        <v>46</v>
      </c>
    </row>
    <row r="1272" ht="22.5" hidden="1" customHeight="1">
      <c r="A1272" s="18">
        <v>1369.0</v>
      </c>
      <c r="B1272" s="18">
        <v>23.0</v>
      </c>
      <c r="C1272" s="18">
        <v>29.0</v>
      </c>
      <c r="D1272" s="18">
        <v>18.0</v>
      </c>
      <c r="E1272" s="18" t="b">
        <v>1</v>
      </c>
      <c r="G1272" s="20" t="s">
        <v>46</v>
      </c>
    </row>
    <row r="1273" ht="22.5" hidden="1" customHeight="1">
      <c r="A1273" s="18">
        <v>1370.0</v>
      </c>
      <c r="B1273" s="18">
        <v>24.0</v>
      </c>
      <c r="C1273" s="18">
        <v>29.0</v>
      </c>
      <c r="D1273" s="18">
        <v>18.0</v>
      </c>
      <c r="E1273" s="18" t="b">
        <v>1</v>
      </c>
      <c r="G1273" s="20" t="s">
        <v>46</v>
      </c>
    </row>
    <row r="1274" ht="22.5" hidden="1" customHeight="1">
      <c r="A1274" s="18">
        <v>1371.0</v>
      </c>
      <c r="B1274" s="18">
        <v>25.0</v>
      </c>
      <c r="C1274" s="18">
        <v>29.0</v>
      </c>
      <c r="D1274" s="18">
        <v>18.0</v>
      </c>
      <c r="E1274" s="18" t="b">
        <v>1</v>
      </c>
      <c r="G1274" s="20" t="s">
        <v>46</v>
      </c>
    </row>
    <row r="1275" ht="22.5" hidden="1" customHeight="1">
      <c r="A1275" s="18">
        <v>1372.0</v>
      </c>
      <c r="B1275" s="18">
        <v>26.0</v>
      </c>
      <c r="C1275" s="18">
        <v>29.0</v>
      </c>
      <c r="D1275" s="18">
        <v>18.0</v>
      </c>
      <c r="E1275" s="18" t="b">
        <v>1</v>
      </c>
      <c r="G1275" s="20" t="s">
        <v>46</v>
      </c>
    </row>
    <row r="1276" ht="22.5" hidden="1" customHeight="1">
      <c r="A1276" s="18">
        <v>1373.0</v>
      </c>
      <c r="B1276" s="18">
        <v>27.0</v>
      </c>
      <c r="C1276" s="18">
        <v>29.0</v>
      </c>
      <c r="D1276" s="18">
        <v>18.0</v>
      </c>
      <c r="E1276" s="18" t="b">
        <v>1</v>
      </c>
      <c r="G1276" s="20" t="s">
        <v>46</v>
      </c>
    </row>
    <row r="1277" ht="22.5" hidden="1" customHeight="1">
      <c r="A1277" s="18">
        <v>1374.0</v>
      </c>
      <c r="B1277" s="18">
        <v>28.0</v>
      </c>
      <c r="C1277" s="18">
        <v>29.0</v>
      </c>
      <c r="D1277" s="18">
        <v>18.0</v>
      </c>
      <c r="E1277" s="18" t="b">
        <v>1</v>
      </c>
      <c r="G1277" s="20" t="s">
        <v>46</v>
      </c>
    </row>
    <row r="1278" ht="22.5" hidden="1" customHeight="1">
      <c r="A1278" s="18">
        <v>1375.0</v>
      </c>
      <c r="B1278" s="18">
        <v>29.0</v>
      </c>
      <c r="C1278" s="18">
        <v>29.0</v>
      </c>
      <c r="D1278" s="18">
        <v>18.0</v>
      </c>
      <c r="E1278" s="18" t="b">
        <v>1</v>
      </c>
      <c r="G1278" s="20" t="s">
        <v>46</v>
      </c>
    </row>
    <row r="1279" ht="22.5" hidden="1" customHeight="1">
      <c r="A1279" s="18">
        <v>1376.0</v>
      </c>
      <c r="B1279" s="18">
        <v>30.0</v>
      </c>
      <c r="C1279" s="18">
        <v>29.0</v>
      </c>
      <c r="D1279" s="18">
        <v>18.0</v>
      </c>
      <c r="E1279" s="18" t="b">
        <v>1</v>
      </c>
      <c r="G1279" s="20" t="s">
        <v>46</v>
      </c>
    </row>
    <row r="1280" ht="22.5" hidden="1" customHeight="1">
      <c r="A1280" s="18">
        <v>1377.0</v>
      </c>
      <c r="B1280" s="18">
        <v>31.0</v>
      </c>
      <c r="C1280" s="18">
        <v>29.0</v>
      </c>
      <c r="D1280" s="18">
        <v>18.0</v>
      </c>
      <c r="E1280" s="18" t="b">
        <v>1</v>
      </c>
      <c r="G1280" s="20" t="s">
        <v>46</v>
      </c>
    </row>
    <row r="1281" ht="22.5" hidden="1" customHeight="1">
      <c r="A1281" s="18">
        <v>1378.0</v>
      </c>
      <c r="B1281" s="18">
        <v>32.0</v>
      </c>
      <c r="C1281" s="18">
        <v>29.0</v>
      </c>
      <c r="D1281" s="18">
        <v>18.0</v>
      </c>
      <c r="E1281" s="18" t="b">
        <v>1</v>
      </c>
      <c r="G1281" s="20" t="s">
        <v>46</v>
      </c>
    </row>
    <row r="1282" ht="22.5" hidden="1" customHeight="1">
      <c r="A1282" s="18">
        <v>1379.0</v>
      </c>
      <c r="B1282" s="18">
        <v>33.0</v>
      </c>
      <c r="C1282" s="18">
        <v>29.0</v>
      </c>
      <c r="D1282" s="18">
        <v>18.0</v>
      </c>
      <c r="E1282" s="18" t="b">
        <v>1</v>
      </c>
      <c r="G1282" s="20" t="s">
        <v>46</v>
      </c>
    </row>
    <row r="1283" ht="22.5" hidden="1" customHeight="1">
      <c r="A1283" s="18">
        <v>1380.0</v>
      </c>
      <c r="B1283" s="18">
        <v>34.0</v>
      </c>
      <c r="C1283" s="18">
        <v>29.0</v>
      </c>
      <c r="D1283" s="18">
        <v>18.0</v>
      </c>
      <c r="E1283" s="18" t="b">
        <v>1</v>
      </c>
      <c r="G1283" s="20" t="s">
        <v>46</v>
      </c>
    </row>
    <row r="1284" ht="22.5" hidden="1" customHeight="1">
      <c r="A1284" s="18">
        <v>1381.0</v>
      </c>
      <c r="B1284" s="18">
        <v>35.0</v>
      </c>
      <c r="C1284" s="18">
        <v>29.0</v>
      </c>
      <c r="D1284" s="18">
        <v>18.0</v>
      </c>
      <c r="E1284" s="18" t="b">
        <v>1</v>
      </c>
      <c r="G1284" s="20" t="s">
        <v>46</v>
      </c>
    </row>
    <row r="1285" ht="22.5" hidden="1" customHeight="1">
      <c r="A1285" s="18">
        <v>1382.0</v>
      </c>
      <c r="B1285" s="18">
        <v>36.0</v>
      </c>
      <c r="C1285" s="18">
        <v>29.0</v>
      </c>
      <c r="D1285" s="18">
        <v>18.0</v>
      </c>
      <c r="E1285" s="18" t="b">
        <v>1</v>
      </c>
      <c r="G1285" s="20" t="s">
        <v>46</v>
      </c>
    </row>
    <row r="1286" ht="22.5" hidden="1" customHeight="1">
      <c r="A1286" s="18">
        <v>1383.0</v>
      </c>
      <c r="B1286" s="18">
        <v>37.0</v>
      </c>
      <c r="C1286" s="18">
        <v>29.0</v>
      </c>
      <c r="D1286" s="18">
        <v>18.0</v>
      </c>
      <c r="E1286" s="18" t="b">
        <v>1</v>
      </c>
      <c r="G1286" s="20" t="s">
        <v>46</v>
      </c>
    </row>
    <row r="1287" ht="22.5" hidden="1" customHeight="1">
      <c r="A1287" s="18">
        <v>1384.0</v>
      </c>
      <c r="B1287" s="18">
        <v>38.0</v>
      </c>
      <c r="C1287" s="18">
        <v>29.0</v>
      </c>
      <c r="D1287" s="18">
        <v>18.0</v>
      </c>
      <c r="E1287" s="18" t="b">
        <v>1</v>
      </c>
      <c r="G1287" s="20" t="s">
        <v>46</v>
      </c>
    </row>
    <row r="1288" ht="22.5" hidden="1" customHeight="1">
      <c r="A1288" s="18">
        <v>1385.0</v>
      </c>
      <c r="B1288" s="18">
        <v>40.0</v>
      </c>
      <c r="C1288" s="18">
        <v>29.0</v>
      </c>
      <c r="D1288" s="18">
        <v>18.0</v>
      </c>
      <c r="E1288" s="18" t="b">
        <v>1</v>
      </c>
      <c r="G1288" s="20" t="s">
        <v>46</v>
      </c>
    </row>
    <row r="1289" ht="22.5" hidden="1" customHeight="1">
      <c r="A1289" s="18">
        <v>1386.0</v>
      </c>
      <c r="B1289" s="18">
        <v>41.0</v>
      </c>
      <c r="C1289" s="18">
        <v>29.0</v>
      </c>
      <c r="D1289" s="18">
        <v>18.0</v>
      </c>
      <c r="E1289" s="18" t="b">
        <v>1</v>
      </c>
      <c r="G1289" s="20" t="s">
        <v>46</v>
      </c>
    </row>
    <row r="1290" ht="22.5" hidden="1" customHeight="1">
      <c r="A1290" s="18">
        <v>1387.0</v>
      </c>
      <c r="B1290" s="18">
        <v>63.0</v>
      </c>
      <c r="C1290" s="18">
        <v>34.0</v>
      </c>
      <c r="D1290" s="18">
        <v>18.0</v>
      </c>
      <c r="E1290" s="18" t="b">
        <v>1</v>
      </c>
      <c r="G1290" s="20" t="s">
        <v>46</v>
      </c>
    </row>
    <row r="1291" ht="22.5" hidden="1" customHeight="1">
      <c r="A1291" s="18">
        <v>1388.0</v>
      </c>
      <c r="B1291" s="18">
        <v>64.0</v>
      </c>
      <c r="C1291" s="18">
        <v>34.0</v>
      </c>
      <c r="D1291" s="18">
        <v>18.0</v>
      </c>
      <c r="E1291" s="18" t="b">
        <v>1</v>
      </c>
      <c r="G1291" s="20" t="s">
        <v>46</v>
      </c>
    </row>
    <row r="1292" ht="22.5" hidden="1" customHeight="1">
      <c r="A1292" s="18">
        <v>1389.0</v>
      </c>
      <c r="B1292" s="18">
        <v>65.0</v>
      </c>
      <c r="C1292" s="18">
        <v>22.0</v>
      </c>
      <c r="D1292" s="18">
        <v>18.0</v>
      </c>
      <c r="E1292" s="18" t="b">
        <v>1</v>
      </c>
      <c r="G1292" s="20" t="s">
        <v>46</v>
      </c>
    </row>
    <row r="1293" ht="22.5" hidden="1" customHeight="1">
      <c r="A1293" s="18">
        <v>1390.0</v>
      </c>
      <c r="B1293" s="18">
        <v>111.0</v>
      </c>
      <c r="C1293" s="18">
        <v>22.0</v>
      </c>
      <c r="D1293" s="18">
        <v>18.0</v>
      </c>
      <c r="E1293" s="18" t="b">
        <v>1</v>
      </c>
      <c r="G1293" s="20" t="s">
        <v>46</v>
      </c>
    </row>
    <row r="1294" ht="22.5" hidden="1" customHeight="1">
      <c r="A1294" s="18">
        <v>1391.0</v>
      </c>
      <c r="B1294" s="18">
        <v>66.0</v>
      </c>
      <c r="C1294" s="18">
        <v>22.0</v>
      </c>
      <c r="D1294" s="18">
        <v>18.0</v>
      </c>
      <c r="E1294" s="18" t="b">
        <v>1</v>
      </c>
      <c r="G1294" s="20" t="s">
        <v>46</v>
      </c>
    </row>
    <row r="1295" ht="22.5" hidden="1" customHeight="1">
      <c r="A1295" s="18">
        <v>1392.0</v>
      </c>
      <c r="B1295" s="18">
        <v>67.0</v>
      </c>
      <c r="C1295" s="18">
        <v>22.0</v>
      </c>
      <c r="D1295" s="18">
        <v>18.0</v>
      </c>
      <c r="E1295" s="18" t="b">
        <v>1</v>
      </c>
      <c r="G1295" s="20" t="s">
        <v>46</v>
      </c>
    </row>
    <row r="1296" ht="22.5" hidden="1" customHeight="1">
      <c r="A1296" s="18">
        <v>1393.0</v>
      </c>
      <c r="B1296" s="18">
        <v>1.0</v>
      </c>
      <c r="C1296" s="18">
        <v>28.0</v>
      </c>
      <c r="D1296" s="18">
        <v>19.0</v>
      </c>
      <c r="E1296" s="18" t="b">
        <v>1</v>
      </c>
      <c r="G1296" s="20" t="s">
        <v>46</v>
      </c>
    </row>
    <row r="1297" ht="22.5" hidden="1" customHeight="1">
      <c r="A1297" s="18">
        <v>1394.0</v>
      </c>
      <c r="B1297" s="18">
        <v>1.0</v>
      </c>
      <c r="C1297" s="18">
        <v>29.0</v>
      </c>
      <c r="D1297" s="18">
        <v>19.0</v>
      </c>
      <c r="E1297" s="18" t="b">
        <v>0</v>
      </c>
      <c r="G1297" s="20" t="s">
        <v>46</v>
      </c>
    </row>
    <row r="1298" ht="22.5" hidden="1" customHeight="1">
      <c r="A1298" s="18">
        <v>1395.0</v>
      </c>
      <c r="B1298" s="18">
        <v>2.0</v>
      </c>
      <c r="C1298" s="18">
        <v>28.0</v>
      </c>
      <c r="D1298" s="18">
        <v>19.0</v>
      </c>
      <c r="E1298" s="18" t="b">
        <v>1</v>
      </c>
      <c r="G1298" s="20" t="s">
        <v>46</v>
      </c>
    </row>
    <row r="1299" ht="22.5" hidden="1" customHeight="1">
      <c r="A1299" s="18">
        <v>1396.0</v>
      </c>
      <c r="B1299" s="18">
        <v>2.0</v>
      </c>
      <c r="C1299" s="18">
        <v>29.0</v>
      </c>
      <c r="D1299" s="18">
        <v>19.0</v>
      </c>
      <c r="E1299" s="18" t="b">
        <v>0</v>
      </c>
      <c r="G1299" s="20" t="s">
        <v>46</v>
      </c>
    </row>
    <row r="1300" ht="22.5" hidden="1" customHeight="1">
      <c r="A1300" s="18">
        <v>1397.0</v>
      </c>
      <c r="B1300" s="18">
        <v>3.0</v>
      </c>
      <c r="C1300" s="18">
        <v>28.0</v>
      </c>
      <c r="D1300" s="18">
        <v>19.0</v>
      </c>
      <c r="E1300" s="18" t="b">
        <v>1</v>
      </c>
      <c r="G1300" s="20" t="s">
        <v>46</v>
      </c>
    </row>
    <row r="1301" ht="22.5" hidden="1" customHeight="1">
      <c r="A1301" s="18">
        <v>1398.0</v>
      </c>
      <c r="B1301" s="18">
        <v>3.0</v>
      </c>
      <c r="C1301" s="18">
        <v>29.0</v>
      </c>
      <c r="D1301" s="18">
        <v>19.0</v>
      </c>
      <c r="E1301" s="18" t="b">
        <v>0</v>
      </c>
      <c r="G1301" s="20" t="s">
        <v>46</v>
      </c>
    </row>
    <row r="1302" ht="22.5" hidden="1" customHeight="1">
      <c r="A1302" s="18">
        <v>1399.0</v>
      </c>
      <c r="B1302" s="18">
        <v>4.0</v>
      </c>
      <c r="C1302" s="18">
        <v>28.0</v>
      </c>
      <c r="D1302" s="18">
        <v>19.0</v>
      </c>
      <c r="E1302" s="18" t="b">
        <v>1</v>
      </c>
      <c r="G1302" s="20" t="s">
        <v>46</v>
      </c>
    </row>
    <row r="1303" ht="22.5" hidden="1" customHeight="1">
      <c r="A1303" s="18">
        <v>1400.0</v>
      </c>
      <c r="B1303" s="18">
        <v>4.0</v>
      </c>
      <c r="C1303" s="18">
        <v>29.0</v>
      </c>
      <c r="D1303" s="18">
        <v>19.0</v>
      </c>
      <c r="E1303" s="18" t="b">
        <v>0</v>
      </c>
      <c r="G1303" s="20" t="s">
        <v>46</v>
      </c>
    </row>
    <row r="1304" ht="22.5" hidden="1" customHeight="1">
      <c r="A1304" s="18">
        <v>1401.0</v>
      </c>
      <c r="B1304" s="18">
        <v>5.0</v>
      </c>
      <c r="C1304" s="18">
        <v>28.0</v>
      </c>
      <c r="D1304" s="18">
        <v>19.0</v>
      </c>
      <c r="E1304" s="18" t="b">
        <v>1</v>
      </c>
      <c r="G1304" s="20" t="s">
        <v>46</v>
      </c>
    </row>
    <row r="1305" ht="22.5" hidden="1" customHeight="1">
      <c r="A1305" s="18">
        <v>1402.0</v>
      </c>
      <c r="B1305" s="18">
        <v>5.0</v>
      </c>
      <c r="C1305" s="18">
        <v>29.0</v>
      </c>
      <c r="D1305" s="18">
        <v>19.0</v>
      </c>
      <c r="E1305" s="18" t="b">
        <v>0</v>
      </c>
      <c r="G1305" s="20" t="s">
        <v>46</v>
      </c>
    </row>
    <row r="1306" ht="22.5" hidden="1" customHeight="1">
      <c r="A1306" s="18">
        <v>1403.0</v>
      </c>
      <c r="B1306" s="18">
        <v>6.0</v>
      </c>
      <c r="C1306" s="18">
        <v>28.0</v>
      </c>
      <c r="D1306" s="18">
        <v>19.0</v>
      </c>
      <c r="E1306" s="18" t="b">
        <v>1</v>
      </c>
      <c r="G1306" s="20" t="s">
        <v>46</v>
      </c>
    </row>
    <row r="1307" ht="22.5" hidden="1" customHeight="1">
      <c r="A1307" s="18">
        <v>1404.0</v>
      </c>
      <c r="B1307" s="18">
        <v>6.0</v>
      </c>
      <c r="C1307" s="18">
        <v>29.0</v>
      </c>
      <c r="D1307" s="18">
        <v>19.0</v>
      </c>
      <c r="E1307" s="18" t="b">
        <v>0</v>
      </c>
      <c r="G1307" s="20" t="s">
        <v>46</v>
      </c>
    </row>
    <row r="1308" ht="22.5" hidden="1" customHeight="1">
      <c r="A1308" s="18">
        <v>1405.0</v>
      </c>
      <c r="B1308" s="18">
        <v>7.0</v>
      </c>
      <c r="C1308" s="18">
        <v>28.0</v>
      </c>
      <c r="D1308" s="18">
        <v>19.0</v>
      </c>
      <c r="E1308" s="18" t="b">
        <v>1</v>
      </c>
      <c r="G1308" s="20" t="s">
        <v>46</v>
      </c>
    </row>
    <row r="1309" ht="22.5" hidden="1" customHeight="1">
      <c r="A1309" s="18">
        <v>1406.0</v>
      </c>
      <c r="B1309" s="18">
        <v>7.0</v>
      </c>
      <c r="C1309" s="18">
        <v>29.0</v>
      </c>
      <c r="D1309" s="18">
        <v>19.0</v>
      </c>
      <c r="E1309" s="18" t="b">
        <v>0</v>
      </c>
      <c r="G1309" s="20" t="s">
        <v>46</v>
      </c>
    </row>
    <row r="1310" ht="22.5" hidden="1" customHeight="1">
      <c r="A1310" s="18">
        <v>1407.0</v>
      </c>
      <c r="B1310" s="18">
        <v>8.0</v>
      </c>
      <c r="C1310" s="18">
        <v>28.0</v>
      </c>
      <c r="D1310" s="18">
        <v>19.0</v>
      </c>
      <c r="E1310" s="18" t="b">
        <v>1</v>
      </c>
      <c r="G1310" s="20" t="s">
        <v>46</v>
      </c>
    </row>
    <row r="1311" ht="22.5" hidden="1" customHeight="1">
      <c r="A1311" s="18">
        <v>1408.0</v>
      </c>
      <c r="B1311" s="18">
        <v>8.0</v>
      </c>
      <c r="C1311" s="18">
        <v>29.0</v>
      </c>
      <c r="D1311" s="18">
        <v>19.0</v>
      </c>
      <c r="E1311" s="18" t="b">
        <v>0</v>
      </c>
      <c r="G1311" s="20" t="s">
        <v>46</v>
      </c>
    </row>
    <row r="1312" ht="22.5" hidden="1" customHeight="1">
      <c r="A1312" s="18">
        <v>1409.0</v>
      </c>
      <c r="B1312" s="18">
        <v>9.0</v>
      </c>
      <c r="C1312" s="18">
        <v>28.0</v>
      </c>
      <c r="D1312" s="18">
        <v>19.0</v>
      </c>
      <c r="E1312" s="18" t="b">
        <v>1</v>
      </c>
      <c r="G1312" s="20" t="s">
        <v>46</v>
      </c>
    </row>
    <row r="1313" ht="22.5" hidden="1" customHeight="1">
      <c r="A1313" s="18">
        <v>1410.0</v>
      </c>
      <c r="B1313" s="18">
        <v>9.0</v>
      </c>
      <c r="C1313" s="18">
        <v>29.0</v>
      </c>
      <c r="D1313" s="18">
        <v>19.0</v>
      </c>
      <c r="E1313" s="18" t="b">
        <v>0</v>
      </c>
      <c r="G1313" s="20" t="s">
        <v>46</v>
      </c>
    </row>
    <row r="1314" ht="22.5" hidden="1" customHeight="1">
      <c r="A1314" s="18">
        <v>1411.0</v>
      </c>
      <c r="B1314" s="18">
        <v>10.0</v>
      </c>
      <c r="C1314" s="18">
        <v>28.0</v>
      </c>
      <c r="D1314" s="18">
        <v>19.0</v>
      </c>
      <c r="E1314" s="18" t="b">
        <v>1</v>
      </c>
      <c r="G1314" s="20" t="s">
        <v>46</v>
      </c>
    </row>
    <row r="1315" ht="22.5" hidden="1" customHeight="1">
      <c r="A1315" s="18">
        <v>1412.0</v>
      </c>
      <c r="B1315" s="18">
        <v>10.0</v>
      </c>
      <c r="C1315" s="18">
        <v>29.0</v>
      </c>
      <c r="D1315" s="18">
        <v>19.0</v>
      </c>
      <c r="E1315" s="18" t="b">
        <v>0</v>
      </c>
      <c r="G1315" s="20" t="s">
        <v>46</v>
      </c>
    </row>
    <row r="1316" ht="22.5" hidden="1" customHeight="1">
      <c r="A1316" s="18">
        <v>1413.0</v>
      </c>
      <c r="B1316" s="18">
        <v>11.0</v>
      </c>
      <c r="C1316" s="18">
        <v>28.0</v>
      </c>
      <c r="D1316" s="18">
        <v>19.0</v>
      </c>
      <c r="E1316" s="18" t="b">
        <v>1</v>
      </c>
      <c r="G1316" s="20" t="s">
        <v>46</v>
      </c>
    </row>
    <row r="1317" ht="22.5" hidden="1" customHeight="1">
      <c r="A1317" s="18">
        <v>1414.0</v>
      </c>
      <c r="B1317" s="18">
        <v>11.0</v>
      </c>
      <c r="C1317" s="18">
        <v>29.0</v>
      </c>
      <c r="D1317" s="18">
        <v>19.0</v>
      </c>
      <c r="E1317" s="18" t="b">
        <v>0</v>
      </c>
      <c r="G1317" s="20" t="s">
        <v>46</v>
      </c>
    </row>
    <row r="1318" ht="22.5" hidden="1" customHeight="1">
      <c r="A1318" s="18">
        <v>1415.0</v>
      </c>
      <c r="B1318" s="18">
        <v>12.0</v>
      </c>
      <c r="C1318" s="18">
        <v>28.0</v>
      </c>
      <c r="D1318" s="18">
        <v>19.0</v>
      </c>
      <c r="E1318" s="18" t="b">
        <v>1</v>
      </c>
      <c r="G1318" s="20" t="s">
        <v>46</v>
      </c>
    </row>
    <row r="1319" ht="22.5" hidden="1" customHeight="1">
      <c r="A1319" s="18">
        <v>1416.0</v>
      </c>
      <c r="B1319" s="18">
        <v>12.0</v>
      </c>
      <c r="C1319" s="18">
        <v>29.0</v>
      </c>
      <c r="D1319" s="18">
        <v>19.0</v>
      </c>
      <c r="E1319" s="18" t="b">
        <v>0</v>
      </c>
      <c r="G1319" s="20" t="s">
        <v>46</v>
      </c>
    </row>
    <row r="1320" ht="22.5" hidden="1" customHeight="1">
      <c r="A1320" s="18">
        <v>1417.0</v>
      </c>
      <c r="B1320" s="18">
        <v>13.0</v>
      </c>
      <c r="C1320" s="18">
        <v>28.0</v>
      </c>
      <c r="D1320" s="18">
        <v>19.0</v>
      </c>
      <c r="E1320" s="18" t="b">
        <v>1</v>
      </c>
      <c r="G1320" s="20" t="s">
        <v>46</v>
      </c>
    </row>
    <row r="1321" ht="22.5" hidden="1" customHeight="1">
      <c r="A1321" s="18">
        <v>1418.0</v>
      </c>
      <c r="B1321" s="18">
        <v>13.0</v>
      </c>
      <c r="C1321" s="18">
        <v>29.0</v>
      </c>
      <c r="D1321" s="18">
        <v>19.0</v>
      </c>
      <c r="E1321" s="18" t="b">
        <v>0</v>
      </c>
      <c r="G1321" s="20" t="s">
        <v>46</v>
      </c>
    </row>
    <row r="1322" ht="22.5" hidden="1" customHeight="1">
      <c r="A1322" s="18">
        <v>1419.0</v>
      </c>
      <c r="B1322" s="18">
        <v>14.0</v>
      </c>
      <c r="C1322" s="18">
        <v>28.0</v>
      </c>
      <c r="D1322" s="18">
        <v>19.0</v>
      </c>
      <c r="E1322" s="18" t="b">
        <v>1</v>
      </c>
      <c r="G1322" s="20" t="s">
        <v>46</v>
      </c>
    </row>
    <row r="1323" ht="22.5" hidden="1" customHeight="1">
      <c r="A1323" s="18">
        <v>1420.0</v>
      </c>
      <c r="B1323" s="18">
        <v>14.0</v>
      </c>
      <c r="C1323" s="18">
        <v>29.0</v>
      </c>
      <c r="D1323" s="18">
        <v>19.0</v>
      </c>
      <c r="E1323" s="18" t="b">
        <v>0</v>
      </c>
      <c r="G1323" s="20" t="s">
        <v>46</v>
      </c>
    </row>
    <row r="1324" ht="22.5" hidden="1" customHeight="1">
      <c r="A1324" s="18">
        <v>1421.0</v>
      </c>
      <c r="B1324" s="18">
        <v>15.0</v>
      </c>
      <c r="C1324" s="18">
        <v>28.0</v>
      </c>
      <c r="D1324" s="18">
        <v>19.0</v>
      </c>
      <c r="E1324" s="18" t="b">
        <v>1</v>
      </c>
      <c r="G1324" s="20" t="s">
        <v>46</v>
      </c>
    </row>
    <row r="1325" ht="22.5" hidden="1" customHeight="1">
      <c r="A1325" s="18">
        <v>1422.0</v>
      </c>
      <c r="B1325" s="18">
        <v>15.0</v>
      </c>
      <c r="C1325" s="18">
        <v>29.0</v>
      </c>
      <c r="D1325" s="18">
        <v>19.0</v>
      </c>
      <c r="E1325" s="18" t="b">
        <v>0</v>
      </c>
      <c r="G1325" s="20" t="s">
        <v>46</v>
      </c>
    </row>
    <row r="1326" ht="22.5" hidden="1" customHeight="1">
      <c r="A1326" s="18">
        <v>1423.0</v>
      </c>
      <c r="B1326" s="18">
        <v>16.0</v>
      </c>
      <c r="C1326" s="18">
        <v>28.0</v>
      </c>
      <c r="D1326" s="18">
        <v>19.0</v>
      </c>
      <c r="E1326" s="18" t="b">
        <v>1</v>
      </c>
      <c r="G1326" s="20" t="s">
        <v>46</v>
      </c>
    </row>
    <row r="1327" ht="22.5" hidden="1" customHeight="1">
      <c r="A1327" s="18">
        <v>1424.0</v>
      </c>
      <c r="B1327" s="18">
        <v>16.0</v>
      </c>
      <c r="C1327" s="18">
        <v>29.0</v>
      </c>
      <c r="D1327" s="18">
        <v>19.0</v>
      </c>
      <c r="E1327" s="18" t="b">
        <v>0</v>
      </c>
      <c r="G1327" s="20" t="s">
        <v>46</v>
      </c>
    </row>
    <row r="1328" ht="22.5" hidden="1" customHeight="1">
      <c r="A1328" s="18">
        <v>1425.0</v>
      </c>
      <c r="B1328" s="18">
        <v>17.0</v>
      </c>
      <c r="C1328" s="18">
        <v>28.0</v>
      </c>
      <c r="D1328" s="18">
        <v>19.0</v>
      </c>
      <c r="E1328" s="18" t="b">
        <v>1</v>
      </c>
      <c r="G1328" s="20" t="s">
        <v>46</v>
      </c>
    </row>
    <row r="1329" ht="22.5" hidden="1" customHeight="1">
      <c r="A1329" s="18">
        <v>1426.0</v>
      </c>
      <c r="B1329" s="18">
        <v>17.0</v>
      </c>
      <c r="C1329" s="18">
        <v>29.0</v>
      </c>
      <c r="D1329" s="18">
        <v>19.0</v>
      </c>
      <c r="E1329" s="18" t="b">
        <v>0</v>
      </c>
      <c r="G1329" s="20" t="s">
        <v>46</v>
      </c>
    </row>
    <row r="1330" ht="22.5" hidden="1" customHeight="1">
      <c r="A1330" s="18">
        <v>1427.0</v>
      </c>
      <c r="B1330" s="18">
        <v>18.0</v>
      </c>
      <c r="C1330" s="18">
        <v>28.0</v>
      </c>
      <c r="D1330" s="18">
        <v>19.0</v>
      </c>
      <c r="E1330" s="18" t="b">
        <v>1</v>
      </c>
      <c r="G1330" s="20" t="s">
        <v>46</v>
      </c>
    </row>
    <row r="1331" ht="22.5" hidden="1" customHeight="1">
      <c r="A1331" s="18">
        <v>1428.0</v>
      </c>
      <c r="B1331" s="18">
        <v>18.0</v>
      </c>
      <c r="C1331" s="18">
        <v>29.0</v>
      </c>
      <c r="D1331" s="18">
        <v>19.0</v>
      </c>
      <c r="E1331" s="18" t="b">
        <v>0</v>
      </c>
      <c r="G1331" s="20" t="s">
        <v>46</v>
      </c>
    </row>
    <row r="1332" ht="22.5" hidden="1" customHeight="1">
      <c r="A1332" s="18">
        <v>1429.0</v>
      </c>
      <c r="B1332" s="18">
        <v>19.0</v>
      </c>
      <c r="C1332" s="18">
        <v>28.0</v>
      </c>
      <c r="D1332" s="18">
        <v>19.0</v>
      </c>
      <c r="E1332" s="18" t="b">
        <v>1</v>
      </c>
      <c r="G1332" s="20" t="s">
        <v>46</v>
      </c>
    </row>
    <row r="1333" ht="22.5" hidden="1" customHeight="1">
      <c r="A1333" s="18">
        <v>1430.0</v>
      </c>
      <c r="B1333" s="18">
        <v>19.0</v>
      </c>
      <c r="C1333" s="18">
        <v>29.0</v>
      </c>
      <c r="D1333" s="18">
        <v>19.0</v>
      </c>
      <c r="E1333" s="18" t="b">
        <v>0</v>
      </c>
      <c r="G1333" s="20" t="s">
        <v>46</v>
      </c>
    </row>
    <row r="1334" ht="22.5" hidden="1" customHeight="1">
      <c r="A1334" s="18">
        <v>1431.0</v>
      </c>
      <c r="B1334" s="18">
        <v>20.0</v>
      </c>
      <c r="C1334" s="18">
        <v>29.0</v>
      </c>
      <c r="D1334" s="18">
        <v>19.0</v>
      </c>
      <c r="E1334" s="18" t="b">
        <v>1</v>
      </c>
      <c r="G1334" s="20" t="s">
        <v>46</v>
      </c>
    </row>
    <row r="1335" ht="22.5" hidden="1" customHeight="1">
      <c r="A1335" s="18">
        <v>1432.0</v>
      </c>
      <c r="B1335" s="18">
        <v>21.0</v>
      </c>
      <c r="C1335" s="18">
        <v>29.0</v>
      </c>
      <c r="D1335" s="18">
        <v>19.0</v>
      </c>
      <c r="E1335" s="18" t="b">
        <v>1</v>
      </c>
      <c r="G1335" s="20" t="s">
        <v>46</v>
      </c>
    </row>
    <row r="1336" ht="22.5" hidden="1" customHeight="1">
      <c r="A1336" s="18">
        <v>1433.0</v>
      </c>
      <c r="B1336" s="18">
        <v>22.0</v>
      </c>
      <c r="C1336" s="18">
        <v>29.0</v>
      </c>
      <c r="D1336" s="18">
        <v>19.0</v>
      </c>
      <c r="E1336" s="18" t="b">
        <v>1</v>
      </c>
      <c r="G1336" s="20" t="s">
        <v>46</v>
      </c>
    </row>
    <row r="1337" ht="22.5" hidden="1" customHeight="1">
      <c r="A1337" s="18">
        <v>1434.0</v>
      </c>
      <c r="B1337" s="18">
        <v>23.0</v>
      </c>
      <c r="C1337" s="18">
        <v>29.0</v>
      </c>
      <c r="D1337" s="18">
        <v>19.0</v>
      </c>
      <c r="E1337" s="18" t="b">
        <v>1</v>
      </c>
      <c r="G1337" s="20" t="s">
        <v>46</v>
      </c>
    </row>
    <row r="1338" ht="22.5" hidden="1" customHeight="1">
      <c r="A1338" s="18">
        <v>1435.0</v>
      </c>
      <c r="B1338" s="18">
        <v>24.0</v>
      </c>
      <c r="C1338" s="18">
        <v>29.0</v>
      </c>
      <c r="D1338" s="18">
        <v>19.0</v>
      </c>
      <c r="E1338" s="18" t="b">
        <v>1</v>
      </c>
      <c r="G1338" s="20" t="s">
        <v>46</v>
      </c>
    </row>
    <row r="1339" ht="22.5" hidden="1" customHeight="1">
      <c r="A1339" s="18">
        <v>1436.0</v>
      </c>
      <c r="B1339" s="18">
        <v>25.0</v>
      </c>
      <c r="C1339" s="18">
        <v>29.0</v>
      </c>
      <c r="D1339" s="18">
        <v>19.0</v>
      </c>
      <c r="E1339" s="18" t="b">
        <v>1</v>
      </c>
      <c r="G1339" s="20" t="s">
        <v>46</v>
      </c>
    </row>
    <row r="1340" ht="22.5" hidden="1" customHeight="1">
      <c r="A1340" s="18">
        <v>1437.0</v>
      </c>
      <c r="B1340" s="18">
        <v>26.0</v>
      </c>
      <c r="C1340" s="18">
        <v>29.0</v>
      </c>
      <c r="D1340" s="18">
        <v>19.0</v>
      </c>
      <c r="E1340" s="18" t="b">
        <v>1</v>
      </c>
      <c r="G1340" s="20" t="s">
        <v>46</v>
      </c>
    </row>
    <row r="1341" ht="22.5" hidden="1" customHeight="1">
      <c r="A1341" s="18">
        <v>1438.0</v>
      </c>
      <c r="B1341" s="18">
        <v>27.0</v>
      </c>
      <c r="C1341" s="18">
        <v>29.0</v>
      </c>
      <c r="D1341" s="18">
        <v>19.0</v>
      </c>
      <c r="E1341" s="18" t="b">
        <v>1</v>
      </c>
      <c r="G1341" s="20" t="s">
        <v>46</v>
      </c>
    </row>
    <row r="1342" ht="22.5" hidden="1" customHeight="1">
      <c r="A1342" s="18">
        <v>1439.0</v>
      </c>
      <c r="B1342" s="18">
        <v>28.0</v>
      </c>
      <c r="C1342" s="18">
        <v>29.0</v>
      </c>
      <c r="D1342" s="18">
        <v>19.0</v>
      </c>
      <c r="E1342" s="18" t="b">
        <v>1</v>
      </c>
      <c r="G1342" s="20" t="s">
        <v>46</v>
      </c>
    </row>
    <row r="1343" ht="22.5" hidden="1" customHeight="1">
      <c r="A1343" s="18">
        <v>1440.0</v>
      </c>
      <c r="B1343" s="18">
        <v>110.0</v>
      </c>
      <c r="C1343" s="18">
        <v>29.0</v>
      </c>
      <c r="D1343" s="18">
        <v>19.0</v>
      </c>
      <c r="E1343" s="18" t="b">
        <v>1</v>
      </c>
      <c r="G1343" s="20" t="s">
        <v>46</v>
      </c>
    </row>
    <row r="1344" ht="22.5" hidden="1" customHeight="1">
      <c r="A1344" s="18">
        <v>1441.0</v>
      </c>
      <c r="B1344" s="18">
        <v>29.0</v>
      </c>
      <c r="C1344" s="18">
        <v>29.0</v>
      </c>
      <c r="D1344" s="18">
        <v>19.0</v>
      </c>
      <c r="E1344" s="18" t="b">
        <v>1</v>
      </c>
      <c r="G1344" s="20" t="s">
        <v>46</v>
      </c>
    </row>
    <row r="1345" ht="22.5" hidden="1" customHeight="1">
      <c r="A1345" s="18">
        <v>1442.0</v>
      </c>
      <c r="B1345" s="18">
        <v>31.0</v>
      </c>
      <c r="C1345" s="18">
        <v>29.0</v>
      </c>
      <c r="D1345" s="18">
        <v>19.0</v>
      </c>
      <c r="E1345" s="18" t="b">
        <v>1</v>
      </c>
      <c r="G1345" s="20" t="s">
        <v>46</v>
      </c>
    </row>
    <row r="1346" ht="22.5" hidden="1" customHeight="1">
      <c r="A1346" s="18">
        <v>1443.0</v>
      </c>
      <c r="B1346" s="18">
        <v>32.0</v>
      </c>
      <c r="C1346" s="18">
        <v>29.0</v>
      </c>
      <c r="D1346" s="18">
        <v>19.0</v>
      </c>
      <c r="E1346" s="18" t="b">
        <v>1</v>
      </c>
      <c r="G1346" s="20" t="s">
        <v>46</v>
      </c>
    </row>
    <row r="1347" ht="22.5" hidden="1" customHeight="1">
      <c r="A1347" s="18">
        <v>1444.0</v>
      </c>
      <c r="B1347" s="18">
        <v>33.0</v>
      </c>
      <c r="C1347" s="18">
        <v>29.0</v>
      </c>
      <c r="D1347" s="18">
        <v>19.0</v>
      </c>
      <c r="E1347" s="18" t="b">
        <v>1</v>
      </c>
      <c r="G1347" s="20" t="s">
        <v>46</v>
      </c>
    </row>
    <row r="1348" ht="22.5" hidden="1" customHeight="1">
      <c r="A1348" s="18">
        <v>1445.0</v>
      </c>
      <c r="B1348" s="18">
        <v>34.0</v>
      </c>
      <c r="C1348" s="18">
        <v>29.0</v>
      </c>
      <c r="D1348" s="18">
        <v>19.0</v>
      </c>
      <c r="E1348" s="18" t="b">
        <v>1</v>
      </c>
      <c r="G1348" s="20" t="s">
        <v>46</v>
      </c>
    </row>
    <row r="1349" ht="22.5" hidden="1" customHeight="1">
      <c r="A1349" s="18">
        <v>1446.0</v>
      </c>
      <c r="B1349" s="18">
        <v>35.0</v>
      </c>
      <c r="C1349" s="18">
        <v>29.0</v>
      </c>
      <c r="D1349" s="18">
        <v>19.0</v>
      </c>
      <c r="E1349" s="18" t="b">
        <v>1</v>
      </c>
      <c r="G1349" s="20" t="s">
        <v>46</v>
      </c>
    </row>
    <row r="1350" ht="22.5" hidden="1" customHeight="1">
      <c r="A1350" s="18">
        <v>1447.0</v>
      </c>
      <c r="B1350" s="18">
        <v>36.0</v>
      </c>
      <c r="C1350" s="18">
        <v>29.0</v>
      </c>
      <c r="D1350" s="18">
        <v>19.0</v>
      </c>
      <c r="E1350" s="18" t="b">
        <v>1</v>
      </c>
      <c r="G1350" s="20" t="s">
        <v>46</v>
      </c>
    </row>
    <row r="1351" ht="22.5" hidden="1" customHeight="1">
      <c r="A1351" s="18">
        <v>1448.0</v>
      </c>
      <c r="B1351" s="18">
        <v>37.0</v>
      </c>
      <c r="C1351" s="18">
        <v>29.0</v>
      </c>
      <c r="D1351" s="18">
        <v>19.0</v>
      </c>
      <c r="E1351" s="18" t="b">
        <v>1</v>
      </c>
      <c r="G1351" s="20" t="s">
        <v>46</v>
      </c>
    </row>
    <row r="1352" ht="22.5" hidden="1" customHeight="1">
      <c r="A1352" s="18">
        <v>1449.0</v>
      </c>
      <c r="B1352" s="18">
        <v>38.0</v>
      </c>
      <c r="C1352" s="18">
        <v>29.0</v>
      </c>
      <c r="D1352" s="18">
        <v>19.0</v>
      </c>
      <c r="E1352" s="18" t="b">
        <v>1</v>
      </c>
      <c r="G1352" s="20" t="s">
        <v>46</v>
      </c>
    </row>
    <row r="1353" ht="22.5" hidden="1" customHeight="1">
      <c r="A1353" s="18">
        <v>1450.0</v>
      </c>
      <c r="B1353" s="18">
        <v>40.0</v>
      </c>
      <c r="C1353" s="18">
        <v>29.0</v>
      </c>
      <c r="D1353" s="18">
        <v>19.0</v>
      </c>
      <c r="E1353" s="18" t="b">
        <v>1</v>
      </c>
      <c r="G1353" s="20" t="s">
        <v>46</v>
      </c>
    </row>
    <row r="1354" ht="22.5" hidden="1" customHeight="1">
      <c r="A1354" s="18">
        <v>1451.0</v>
      </c>
      <c r="B1354" s="18">
        <v>41.0</v>
      </c>
      <c r="C1354" s="18">
        <v>29.0</v>
      </c>
      <c r="D1354" s="18">
        <v>19.0</v>
      </c>
      <c r="E1354" s="18" t="b">
        <v>1</v>
      </c>
      <c r="G1354" s="20" t="s">
        <v>46</v>
      </c>
    </row>
    <row r="1355" ht="22.5" hidden="1" customHeight="1">
      <c r="A1355" s="18">
        <v>1452.0</v>
      </c>
      <c r="B1355" s="18">
        <v>57.0</v>
      </c>
      <c r="C1355" s="18">
        <v>33.0</v>
      </c>
      <c r="D1355" s="18">
        <v>19.0</v>
      </c>
      <c r="E1355" s="18" t="b">
        <v>1</v>
      </c>
      <c r="G1355" s="20" t="s">
        <v>46</v>
      </c>
    </row>
    <row r="1356" ht="22.5" hidden="1" customHeight="1">
      <c r="A1356" s="18">
        <v>1453.0</v>
      </c>
      <c r="B1356" s="18">
        <v>58.0</v>
      </c>
      <c r="C1356" s="18">
        <v>33.0</v>
      </c>
      <c r="D1356" s="18">
        <v>19.0</v>
      </c>
      <c r="E1356" s="18" t="b">
        <v>1</v>
      </c>
      <c r="G1356" s="20" t="s">
        <v>46</v>
      </c>
    </row>
    <row r="1357" ht="22.5" hidden="1" customHeight="1">
      <c r="A1357" s="18">
        <v>1454.0</v>
      </c>
      <c r="B1357" s="18">
        <v>59.0</v>
      </c>
      <c r="C1357" s="18">
        <v>33.0</v>
      </c>
      <c r="D1357" s="18">
        <v>19.0</v>
      </c>
      <c r="E1357" s="18" t="b">
        <v>1</v>
      </c>
      <c r="G1357" s="20" t="s">
        <v>46</v>
      </c>
    </row>
    <row r="1358" ht="22.5" hidden="1" customHeight="1">
      <c r="A1358" s="18">
        <v>1455.0</v>
      </c>
      <c r="B1358" s="18">
        <v>61.0</v>
      </c>
      <c r="C1358" s="18">
        <v>33.0</v>
      </c>
      <c r="D1358" s="18">
        <v>19.0</v>
      </c>
      <c r="E1358" s="18" t="b">
        <v>1</v>
      </c>
      <c r="G1358" s="20" t="s">
        <v>46</v>
      </c>
    </row>
    <row r="1359" ht="22.5" hidden="1" customHeight="1">
      <c r="A1359" s="18">
        <v>1456.0</v>
      </c>
      <c r="B1359" s="18">
        <v>63.0</v>
      </c>
      <c r="C1359" s="18">
        <v>34.0</v>
      </c>
      <c r="D1359" s="18">
        <v>19.0</v>
      </c>
      <c r="E1359" s="18" t="b">
        <v>1</v>
      </c>
      <c r="G1359" s="20" t="s">
        <v>46</v>
      </c>
    </row>
    <row r="1360" ht="22.5" hidden="1" customHeight="1">
      <c r="A1360" s="18">
        <v>1457.0</v>
      </c>
      <c r="B1360" s="18">
        <v>64.0</v>
      </c>
      <c r="C1360" s="18">
        <v>34.0</v>
      </c>
      <c r="D1360" s="18">
        <v>19.0</v>
      </c>
      <c r="E1360" s="18" t="b">
        <v>1</v>
      </c>
      <c r="G1360" s="20" t="s">
        <v>46</v>
      </c>
    </row>
    <row r="1361" ht="22.5" hidden="1" customHeight="1">
      <c r="A1361" s="18">
        <v>1458.0</v>
      </c>
      <c r="B1361" s="18">
        <v>65.0</v>
      </c>
      <c r="C1361" s="18">
        <v>34.0</v>
      </c>
      <c r="D1361" s="18">
        <v>19.0</v>
      </c>
      <c r="E1361" s="18" t="b">
        <v>1</v>
      </c>
      <c r="G1361" s="20" t="s">
        <v>46</v>
      </c>
    </row>
    <row r="1362" ht="22.5" hidden="1" customHeight="1">
      <c r="A1362" s="18">
        <v>1459.0</v>
      </c>
      <c r="B1362" s="18">
        <v>111.0</v>
      </c>
      <c r="C1362" s="18">
        <v>34.0</v>
      </c>
      <c r="D1362" s="18">
        <v>19.0</v>
      </c>
      <c r="E1362" s="18" t="b">
        <v>1</v>
      </c>
      <c r="G1362" s="20" t="s">
        <v>46</v>
      </c>
    </row>
    <row r="1363" ht="22.5" hidden="1" customHeight="1">
      <c r="A1363" s="18">
        <v>1460.0</v>
      </c>
      <c r="B1363" s="18">
        <v>66.0</v>
      </c>
      <c r="C1363" s="18">
        <v>34.0</v>
      </c>
      <c r="D1363" s="18">
        <v>19.0</v>
      </c>
      <c r="E1363" s="18" t="b">
        <v>1</v>
      </c>
      <c r="G1363" s="20" t="s">
        <v>46</v>
      </c>
    </row>
    <row r="1364" ht="22.5" hidden="1" customHeight="1">
      <c r="A1364" s="18">
        <v>1461.0</v>
      </c>
      <c r="B1364" s="18">
        <v>67.0</v>
      </c>
      <c r="C1364" s="18">
        <v>22.0</v>
      </c>
      <c r="D1364" s="18">
        <v>19.0</v>
      </c>
      <c r="E1364" s="18" t="b">
        <v>1</v>
      </c>
      <c r="G1364" s="20" t="s">
        <v>46</v>
      </c>
    </row>
    <row r="1365" ht="22.5" hidden="1" customHeight="1">
      <c r="A1365" s="18">
        <v>1462.0</v>
      </c>
      <c r="B1365" s="18">
        <v>70.0</v>
      </c>
      <c r="C1365" s="18">
        <v>29.0</v>
      </c>
      <c r="D1365" s="18">
        <v>19.0</v>
      </c>
      <c r="E1365" s="18" t="b">
        <v>1</v>
      </c>
      <c r="G1365" s="20" t="s">
        <v>46</v>
      </c>
    </row>
    <row r="1366" ht="22.5" hidden="1" customHeight="1">
      <c r="A1366" s="18">
        <v>1463.0</v>
      </c>
      <c r="B1366" s="18">
        <v>74.0</v>
      </c>
      <c r="C1366" s="18">
        <v>29.0</v>
      </c>
      <c r="D1366" s="18">
        <v>19.0</v>
      </c>
      <c r="E1366" s="18" t="b">
        <v>1</v>
      </c>
      <c r="G1366" s="20" t="s">
        <v>46</v>
      </c>
    </row>
    <row r="1367" ht="22.5" hidden="1" customHeight="1">
      <c r="A1367" s="18">
        <v>1464.0</v>
      </c>
      <c r="B1367" s="18">
        <v>75.0</v>
      </c>
      <c r="C1367" s="18">
        <v>22.0</v>
      </c>
      <c r="D1367" s="18">
        <v>19.0</v>
      </c>
      <c r="E1367" s="18" t="b">
        <v>1</v>
      </c>
      <c r="G1367" s="20" t="s">
        <v>46</v>
      </c>
    </row>
    <row r="1368" ht="22.5" hidden="1" customHeight="1">
      <c r="A1368" s="18">
        <v>1465.0</v>
      </c>
      <c r="B1368" s="18">
        <v>115.0</v>
      </c>
      <c r="C1368" s="18">
        <v>29.0</v>
      </c>
      <c r="D1368" s="18">
        <v>1.0</v>
      </c>
      <c r="E1368" s="18" t="b">
        <v>1</v>
      </c>
      <c r="G1368" s="20" t="s">
        <v>46</v>
      </c>
    </row>
    <row r="1369" ht="22.5" hidden="1" customHeight="1">
      <c r="A1369" s="18">
        <v>1466.0</v>
      </c>
      <c r="B1369" s="18">
        <v>115.0</v>
      </c>
      <c r="C1369" s="18">
        <v>29.0</v>
      </c>
      <c r="D1369" s="18">
        <v>2.0</v>
      </c>
      <c r="E1369" s="18" t="b">
        <v>1</v>
      </c>
      <c r="G1369" s="20" t="s">
        <v>46</v>
      </c>
    </row>
    <row r="1370" ht="22.5" hidden="1" customHeight="1">
      <c r="A1370" s="18">
        <v>1467.0</v>
      </c>
      <c r="B1370" s="18">
        <v>115.0</v>
      </c>
      <c r="C1370" s="18">
        <v>29.0</v>
      </c>
      <c r="D1370" s="18">
        <v>3.0</v>
      </c>
      <c r="E1370" s="18" t="b">
        <v>1</v>
      </c>
      <c r="G1370" s="20" t="s">
        <v>46</v>
      </c>
    </row>
    <row r="1371" ht="22.5" hidden="1" customHeight="1">
      <c r="A1371" s="18">
        <v>1468.0</v>
      </c>
      <c r="B1371" s="18">
        <v>115.0</v>
      </c>
      <c r="C1371" s="18">
        <v>29.0</v>
      </c>
      <c r="D1371" s="18">
        <v>5.0</v>
      </c>
      <c r="E1371" s="18" t="b">
        <v>1</v>
      </c>
      <c r="G1371" s="20" t="s">
        <v>46</v>
      </c>
    </row>
    <row r="1372" ht="22.5" hidden="1" customHeight="1">
      <c r="A1372" s="18">
        <v>1469.0</v>
      </c>
      <c r="B1372" s="18">
        <v>115.0</v>
      </c>
      <c r="C1372" s="18">
        <v>29.0</v>
      </c>
      <c r="D1372" s="18">
        <v>6.0</v>
      </c>
      <c r="E1372" s="18" t="b">
        <v>1</v>
      </c>
      <c r="G1372" s="20" t="s">
        <v>46</v>
      </c>
    </row>
    <row r="1373" ht="22.5" hidden="1" customHeight="1">
      <c r="A1373" s="18">
        <v>1470.0</v>
      </c>
      <c r="B1373" s="18">
        <v>115.0</v>
      </c>
      <c r="C1373" s="18">
        <v>29.0</v>
      </c>
      <c r="D1373" s="18">
        <v>7.0</v>
      </c>
      <c r="E1373" s="18" t="b">
        <v>1</v>
      </c>
      <c r="G1373" s="20" t="s">
        <v>46</v>
      </c>
    </row>
    <row r="1374" ht="22.5" hidden="1" customHeight="1">
      <c r="A1374" s="18">
        <v>1471.0</v>
      </c>
      <c r="B1374" s="18">
        <v>115.0</v>
      </c>
      <c r="C1374" s="18">
        <v>29.0</v>
      </c>
      <c r="D1374" s="18">
        <v>8.0</v>
      </c>
      <c r="E1374" s="18" t="b">
        <v>1</v>
      </c>
      <c r="G1374" s="20" t="s">
        <v>46</v>
      </c>
    </row>
    <row r="1375" ht="22.5" hidden="1" customHeight="1">
      <c r="A1375" s="18">
        <v>1472.0</v>
      </c>
      <c r="B1375" s="18">
        <v>115.0</v>
      </c>
      <c r="C1375" s="18">
        <v>29.0</v>
      </c>
      <c r="D1375" s="18">
        <v>9.0</v>
      </c>
      <c r="E1375" s="18" t="b">
        <v>1</v>
      </c>
      <c r="G1375" s="20" t="s">
        <v>46</v>
      </c>
    </row>
    <row r="1376" ht="22.5" hidden="1" customHeight="1">
      <c r="A1376" s="18">
        <v>1473.0</v>
      </c>
      <c r="B1376" s="18">
        <v>115.0</v>
      </c>
      <c r="C1376" s="18">
        <v>29.0</v>
      </c>
      <c r="D1376" s="18">
        <v>11.0</v>
      </c>
      <c r="E1376" s="18" t="b">
        <v>1</v>
      </c>
      <c r="G1376" s="20" t="s">
        <v>46</v>
      </c>
    </row>
    <row r="1377" ht="22.5" hidden="1" customHeight="1">
      <c r="A1377" s="18">
        <v>1474.0</v>
      </c>
      <c r="B1377" s="18">
        <v>115.0</v>
      </c>
      <c r="C1377" s="18">
        <v>29.0</v>
      </c>
      <c r="D1377" s="18">
        <v>12.0</v>
      </c>
      <c r="E1377" s="18" t="b">
        <v>1</v>
      </c>
      <c r="G1377" s="20" t="s">
        <v>46</v>
      </c>
    </row>
    <row r="1378" ht="22.5" hidden="1" customHeight="1">
      <c r="A1378" s="18">
        <v>1475.0</v>
      </c>
      <c r="B1378" s="18">
        <v>115.0</v>
      </c>
      <c r="C1378" s="18">
        <v>29.0</v>
      </c>
      <c r="D1378" s="18">
        <v>14.0</v>
      </c>
      <c r="E1378" s="18" t="b">
        <v>1</v>
      </c>
      <c r="G1378" s="20" t="s">
        <v>46</v>
      </c>
    </row>
    <row r="1379" ht="22.5" hidden="1" customHeight="1">
      <c r="A1379" s="18">
        <v>1476.0</v>
      </c>
      <c r="B1379" s="18">
        <v>115.0</v>
      </c>
      <c r="C1379" s="18">
        <v>29.0</v>
      </c>
      <c r="D1379" s="18">
        <v>15.0</v>
      </c>
      <c r="E1379" s="18" t="b">
        <v>1</v>
      </c>
      <c r="G1379" s="20" t="s">
        <v>46</v>
      </c>
    </row>
    <row r="1380" ht="22.5" hidden="1" customHeight="1">
      <c r="A1380" s="18">
        <v>1477.0</v>
      </c>
      <c r="B1380" s="18">
        <v>115.0</v>
      </c>
      <c r="C1380" s="18">
        <v>29.0</v>
      </c>
      <c r="D1380" s="18">
        <v>16.0</v>
      </c>
      <c r="E1380" s="18" t="b">
        <v>1</v>
      </c>
      <c r="G1380" s="20" t="s">
        <v>46</v>
      </c>
    </row>
    <row r="1381" ht="22.5" hidden="1" customHeight="1">
      <c r="A1381" s="18">
        <v>1478.0</v>
      </c>
      <c r="B1381" s="18">
        <v>115.0</v>
      </c>
      <c r="C1381" s="18">
        <v>29.0</v>
      </c>
      <c r="D1381" s="18">
        <v>17.0</v>
      </c>
      <c r="E1381" s="18" t="b">
        <v>1</v>
      </c>
      <c r="G1381" s="20" t="s">
        <v>46</v>
      </c>
    </row>
    <row r="1382" ht="22.5" hidden="1" customHeight="1">
      <c r="A1382" s="18">
        <v>1479.0</v>
      </c>
      <c r="B1382" s="18">
        <v>115.0</v>
      </c>
      <c r="C1382" s="18">
        <v>29.0</v>
      </c>
      <c r="D1382" s="18">
        <v>18.0</v>
      </c>
      <c r="E1382" s="18" t="b">
        <v>1</v>
      </c>
      <c r="G1382" s="20" t="s">
        <v>46</v>
      </c>
    </row>
    <row r="1383" ht="22.5" hidden="1" customHeight="1">
      <c r="A1383" s="18">
        <v>1480.0</v>
      </c>
      <c r="B1383" s="18">
        <v>115.0</v>
      </c>
      <c r="C1383" s="18">
        <v>29.0</v>
      </c>
      <c r="D1383" s="18">
        <v>19.0</v>
      </c>
      <c r="E1383" s="18" t="b">
        <v>1</v>
      </c>
      <c r="G1383" s="20" t="s">
        <v>46</v>
      </c>
    </row>
    <row r="1384" ht="22.5" hidden="1" customHeight="1">
      <c r="A1384" s="18">
        <v>1481.0</v>
      </c>
      <c r="B1384" s="18">
        <v>115.0</v>
      </c>
      <c r="C1384" s="18">
        <v>22.0</v>
      </c>
      <c r="D1384" s="18">
        <v>13.0</v>
      </c>
      <c r="E1384" s="18" t="b">
        <v>1</v>
      </c>
      <c r="G1384" s="20" t="s">
        <v>46</v>
      </c>
    </row>
    <row r="1385" ht="22.5" hidden="1" customHeight="1">
      <c r="A1385" s="18">
        <v>1482.0</v>
      </c>
      <c r="B1385" s="18">
        <v>115.0</v>
      </c>
      <c r="C1385" s="18">
        <v>22.0</v>
      </c>
      <c r="D1385" s="18">
        <v>4.0</v>
      </c>
      <c r="E1385" s="18" t="b">
        <v>1</v>
      </c>
      <c r="G1385" s="20" t="s">
        <v>46</v>
      </c>
    </row>
    <row r="1386" ht="22.5" hidden="1" customHeight="1">
      <c r="A1386" s="18">
        <v>1483.0</v>
      </c>
      <c r="B1386" s="18">
        <v>87.0</v>
      </c>
      <c r="C1386" s="18">
        <v>22.0</v>
      </c>
      <c r="D1386" s="18">
        <v>1.0</v>
      </c>
      <c r="E1386" s="18" t="b">
        <v>1</v>
      </c>
      <c r="G1386" s="20" t="s">
        <v>46</v>
      </c>
    </row>
    <row r="1387" ht="22.5" hidden="1" customHeight="1">
      <c r="A1387" s="18">
        <v>1484.0</v>
      </c>
      <c r="B1387" s="18">
        <v>87.0</v>
      </c>
      <c r="C1387" s="18">
        <v>22.0</v>
      </c>
      <c r="D1387" s="18">
        <v>3.0</v>
      </c>
      <c r="E1387" s="18" t="b">
        <v>1</v>
      </c>
      <c r="G1387" s="20" t="s">
        <v>46</v>
      </c>
    </row>
    <row r="1388" ht="22.5" hidden="1" customHeight="1">
      <c r="A1388" s="18">
        <v>1485.0</v>
      </c>
      <c r="B1388" s="18">
        <v>87.0</v>
      </c>
      <c r="C1388" s="18">
        <v>22.0</v>
      </c>
      <c r="D1388" s="18">
        <v>4.0</v>
      </c>
      <c r="E1388" s="18" t="b">
        <v>1</v>
      </c>
      <c r="G1388" s="20" t="s">
        <v>46</v>
      </c>
    </row>
    <row r="1389" ht="22.5" hidden="1" customHeight="1">
      <c r="A1389" s="18">
        <v>1486.0</v>
      </c>
      <c r="B1389" s="18">
        <v>87.0</v>
      </c>
      <c r="C1389" s="18">
        <v>22.0</v>
      </c>
      <c r="D1389" s="18">
        <v>5.0</v>
      </c>
      <c r="E1389" s="18" t="b">
        <v>1</v>
      </c>
      <c r="G1389" s="20" t="s">
        <v>46</v>
      </c>
    </row>
    <row r="1390" ht="22.5" hidden="1" customHeight="1">
      <c r="A1390" s="18">
        <v>1487.0</v>
      </c>
      <c r="B1390" s="18">
        <v>87.0</v>
      </c>
      <c r="C1390" s="18">
        <v>22.0</v>
      </c>
      <c r="D1390" s="18">
        <v>6.0</v>
      </c>
      <c r="E1390" s="18" t="b">
        <v>1</v>
      </c>
      <c r="G1390" s="20" t="s">
        <v>46</v>
      </c>
    </row>
    <row r="1391" ht="22.5" hidden="1" customHeight="1">
      <c r="A1391" s="18">
        <v>1488.0</v>
      </c>
      <c r="B1391" s="18">
        <v>87.0</v>
      </c>
      <c r="C1391" s="18">
        <v>22.0</v>
      </c>
      <c r="D1391" s="18">
        <v>7.0</v>
      </c>
      <c r="E1391" s="18" t="b">
        <v>1</v>
      </c>
      <c r="G1391" s="20" t="s">
        <v>46</v>
      </c>
    </row>
    <row r="1392" ht="22.5" hidden="1" customHeight="1">
      <c r="A1392" s="18">
        <v>1489.0</v>
      </c>
      <c r="B1392" s="18">
        <v>87.0</v>
      </c>
      <c r="C1392" s="18">
        <v>22.0</v>
      </c>
      <c r="D1392" s="18">
        <v>8.0</v>
      </c>
      <c r="E1392" s="18" t="b">
        <v>1</v>
      </c>
      <c r="G1392" s="20" t="s">
        <v>46</v>
      </c>
    </row>
    <row r="1393" ht="22.5" hidden="1" customHeight="1">
      <c r="A1393" s="18">
        <v>1490.0</v>
      </c>
      <c r="B1393" s="18">
        <v>87.0</v>
      </c>
      <c r="C1393" s="18">
        <v>22.0</v>
      </c>
      <c r="D1393" s="18">
        <v>9.0</v>
      </c>
      <c r="E1393" s="18" t="b">
        <v>1</v>
      </c>
      <c r="G1393" s="20" t="s">
        <v>46</v>
      </c>
    </row>
    <row r="1394" ht="22.5" hidden="1" customHeight="1">
      <c r="A1394" s="18">
        <v>1491.0</v>
      </c>
      <c r="B1394" s="18">
        <v>87.0</v>
      </c>
      <c r="C1394" s="18">
        <v>22.0</v>
      </c>
      <c r="D1394" s="18">
        <v>11.0</v>
      </c>
      <c r="E1394" s="18" t="b">
        <v>1</v>
      </c>
      <c r="G1394" s="20" t="s">
        <v>46</v>
      </c>
    </row>
    <row r="1395" ht="22.5" hidden="1" customHeight="1">
      <c r="A1395" s="18">
        <v>1492.0</v>
      </c>
      <c r="B1395" s="18">
        <v>87.0</v>
      </c>
      <c r="C1395" s="18">
        <v>22.0</v>
      </c>
      <c r="D1395" s="18">
        <v>12.0</v>
      </c>
      <c r="E1395" s="18" t="b">
        <v>1</v>
      </c>
      <c r="G1395" s="20" t="s">
        <v>46</v>
      </c>
    </row>
    <row r="1396" ht="22.5" hidden="1" customHeight="1">
      <c r="A1396" s="18">
        <v>1493.0</v>
      </c>
      <c r="B1396" s="18">
        <v>87.0</v>
      </c>
      <c r="C1396" s="18">
        <v>22.0</v>
      </c>
      <c r="D1396" s="18">
        <v>13.0</v>
      </c>
      <c r="E1396" s="18" t="b">
        <v>1</v>
      </c>
      <c r="G1396" s="20" t="s">
        <v>46</v>
      </c>
    </row>
    <row r="1397" ht="22.5" hidden="1" customHeight="1">
      <c r="A1397" s="18">
        <v>1494.0</v>
      </c>
      <c r="B1397" s="18">
        <v>87.0</v>
      </c>
      <c r="C1397" s="18">
        <v>22.0</v>
      </c>
      <c r="D1397" s="18">
        <v>14.0</v>
      </c>
      <c r="E1397" s="18" t="b">
        <v>1</v>
      </c>
      <c r="G1397" s="20" t="s">
        <v>46</v>
      </c>
    </row>
    <row r="1398" ht="22.5" hidden="1" customHeight="1">
      <c r="A1398" s="18">
        <v>1495.0</v>
      </c>
      <c r="B1398" s="18">
        <v>87.0</v>
      </c>
      <c r="C1398" s="18">
        <v>22.0</v>
      </c>
      <c r="D1398" s="18">
        <v>15.0</v>
      </c>
      <c r="E1398" s="18" t="b">
        <v>1</v>
      </c>
      <c r="G1398" s="20" t="s">
        <v>46</v>
      </c>
    </row>
    <row r="1399" ht="22.5" hidden="1" customHeight="1">
      <c r="A1399" s="18">
        <v>1496.0</v>
      </c>
      <c r="B1399" s="18">
        <v>87.0</v>
      </c>
      <c r="C1399" s="18">
        <v>22.0</v>
      </c>
      <c r="D1399" s="18">
        <v>16.0</v>
      </c>
      <c r="E1399" s="18" t="b">
        <v>1</v>
      </c>
      <c r="G1399" s="20" t="s">
        <v>46</v>
      </c>
    </row>
    <row r="1400" ht="22.5" hidden="1" customHeight="1">
      <c r="A1400" s="18">
        <v>1497.0</v>
      </c>
      <c r="B1400" s="18">
        <v>87.0</v>
      </c>
      <c r="C1400" s="18">
        <v>22.0</v>
      </c>
      <c r="D1400" s="18">
        <v>17.0</v>
      </c>
      <c r="E1400" s="18" t="b">
        <v>1</v>
      </c>
      <c r="G1400" s="20" t="s">
        <v>46</v>
      </c>
    </row>
    <row r="1401" ht="22.5" hidden="1" customHeight="1">
      <c r="A1401" s="18">
        <v>1498.0</v>
      </c>
      <c r="B1401" s="18">
        <v>87.0</v>
      </c>
      <c r="C1401" s="18">
        <v>22.0</v>
      </c>
      <c r="D1401" s="18">
        <v>18.0</v>
      </c>
      <c r="E1401" s="18" t="b">
        <v>1</v>
      </c>
      <c r="G1401" s="20" t="s">
        <v>46</v>
      </c>
    </row>
    <row r="1402" ht="22.5" hidden="1" customHeight="1">
      <c r="A1402" s="18">
        <v>1499.0</v>
      </c>
      <c r="B1402" s="18">
        <v>87.0</v>
      </c>
      <c r="C1402" s="18">
        <v>22.0</v>
      </c>
      <c r="D1402" s="18">
        <v>19.0</v>
      </c>
      <c r="E1402" s="18" t="b">
        <v>1</v>
      </c>
      <c r="G1402" s="20" t="s">
        <v>46</v>
      </c>
    </row>
    <row r="1403" ht="22.5" hidden="1" customHeight="1">
      <c r="A1403" s="18">
        <v>1500.0</v>
      </c>
      <c r="B1403" s="18">
        <v>88.0</v>
      </c>
      <c r="C1403" s="18">
        <v>29.0</v>
      </c>
      <c r="D1403" s="18">
        <v>1.0</v>
      </c>
      <c r="E1403" s="18" t="b">
        <v>1</v>
      </c>
      <c r="G1403" s="20" t="s">
        <v>46</v>
      </c>
    </row>
    <row r="1404" ht="22.5" hidden="1" customHeight="1">
      <c r="A1404" s="18">
        <v>1501.0</v>
      </c>
      <c r="B1404" s="18">
        <v>88.0</v>
      </c>
      <c r="C1404" s="18">
        <v>29.0</v>
      </c>
      <c r="D1404" s="18">
        <v>3.0</v>
      </c>
      <c r="E1404" s="18" t="b">
        <v>1</v>
      </c>
      <c r="G1404" s="20" t="s">
        <v>46</v>
      </c>
    </row>
    <row r="1405" ht="22.5" hidden="1" customHeight="1">
      <c r="A1405" s="18">
        <v>1502.0</v>
      </c>
      <c r="B1405" s="18">
        <v>88.0</v>
      </c>
      <c r="C1405" s="18">
        <v>29.0</v>
      </c>
      <c r="D1405" s="18">
        <v>6.0</v>
      </c>
      <c r="E1405" s="18" t="b">
        <v>1</v>
      </c>
      <c r="G1405" s="20" t="s">
        <v>46</v>
      </c>
    </row>
    <row r="1406" ht="22.5" hidden="1" customHeight="1">
      <c r="A1406" s="18">
        <v>1503.0</v>
      </c>
      <c r="B1406" s="18">
        <v>88.0</v>
      </c>
      <c r="C1406" s="18">
        <v>29.0</v>
      </c>
      <c r="D1406" s="18">
        <v>7.0</v>
      </c>
      <c r="E1406" s="18" t="b">
        <v>1</v>
      </c>
      <c r="G1406" s="20" t="s">
        <v>46</v>
      </c>
    </row>
    <row r="1407" ht="22.5" hidden="1" customHeight="1">
      <c r="A1407" s="18">
        <v>1504.0</v>
      </c>
      <c r="B1407" s="18">
        <v>88.0</v>
      </c>
      <c r="C1407" s="18">
        <v>29.0</v>
      </c>
      <c r="D1407" s="18">
        <v>8.0</v>
      </c>
      <c r="E1407" s="18" t="b">
        <v>1</v>
      </c>
      <c r="G1407" s="20" t="s">
        <v>46</v>
      </c>
    </row>
    <row r="1408" ht="22.5" hidden="1" customHeight="1">
      <c r="A1408" s="18">
        <v>1505.0</v>
      </c>
      <c r="B1408" s="18">
        <v>88.0</v>
      </c>
      <c r="C1408" s="18">
        <v>29.0</v>
      </c>
      <c r="D1408" s="18">
        <v>9.0</v>
      </c>
      <c r="E1408" s="18" t="b">
        <v>1</v>
      </c>
      <c r="G1408" s="20" t="s">
        <v>46</v>
      </c>
    </row>
    <row r="1409" ht="22.5" hidden="1" customHeight="1">
      <c r="A1409" s="18">
        <v>1506.0</v>
      </c>
      <c r="B1409" s="18">
        <v>88.0</v>
      </c>
      <c r="C1409" s="18">
        <v>29.0</v>
      </c>
      <c r="D1409" s="18">
        <v>12.0</v>
      </c>
      <c r="E1409" s="18" t="b">
        <v>1</v>
      </c>
      <c r="G1409" s="20" t="s">
        <v>46</v>
      </c>
    </row>
    <row r="1410" ht="22.5" hidden="1" customHeight="1">
      <c r="A1410" s="18">
        <v>1507.0</v>
      </c>
      <c r="B1410" s="18">
        <v>88.0</v>
      </c>
      <c r="C1410" s="18">
        <v>29.0</v>
      </c>
      <c r="D1410" s="18">
        <v>14.0</v>
      </c>
      <c r="E1410" s="18" t="b">
        <v>1</v>
      </c>
      <c r="G1410" s="20" t="s">
        <v>46</v>
      </c>
    </row>
    <row r="1411" ht="22.5" hidden="1" customHeight="1">
      <c r="A1411" s="18">
        <v>1508.0</v>
      </c>
      <c r="B1411" s="18">
        <v>88.0</v>
      </c>
      <c r="C1411" s="18">
        <v>29.0</v>
      </c>
      <c r="D1411" s="18">
        <v>16.0</v>
      </c>
      <c r="E1411" s="18" t="b">
        <v>1</v>
      </c>
      <c r="G1411" s="20" t="s">
        <v>46</v>
      </c>
    </row>
    <row r="1412" ht="22.5" hidden="1" customHeight="1">
      <c r="A1412" s="18">
        <v>1509.0</v>
      </c>
      <c r="B1412" s="18">
        <v>88.0</v>
      </c>
      <c r="C1412" s="18">
        <v>29.0</v>
      </c>
      <c r="D1412" s="18">
        <v>19.0</v>
      </c>
      <c r="E1412" s="18" t="b">
        <v>1</v>
      </c>
      <c r="G1412" s="20" t="s">
        <v>46</v>
      </c>
    </row>
    <row r="1413" ht="22.5" hidden="1" customHeight="1">
      <c r="A1413" s="18">
        <v>1510.0</v>
      </c>
      <c r="B1413" s="18">
        <v>89.0</v>
      </c>
      <c r="C1413" s="18">
        <v>29.0</v>
      </c>
      <c r="D1413" s="18">
        <v>8.0</v>
      </c>
      <c r="E1413" s="18" t="b">
        <v>1</v>
      </c>
      <c r="G1413" s="20" t="s">
        <v>46</v>
      </c>
    </row>
    <row r="1414" ht="22.5" hidden="1" customHeight="1">
      <c r="A1414" s="18">
        <v>1511.0</v>
      </c>
      <c r="B1414" s="18">
        <v>89.0</v>
      </c>
      <c r="C1414" s="18">
        <v>29.0</v>
      </c>
      <c r="D1414" s="18">
        <v>14.0</v>
      </c>
      <c r="E1414" s="18" t="b">
        <v>1</v>
      </c>
      <c r="G1414" s="20" t="s">
        <v>46</v>
      </c>
    </row>
    <row r="1415" ht="22.5" hidden="1" customHeight="1">
      <c r="A1415" s="18">
        <v>1512.0</v>
      </c>
      <c r="B1415" s="18">
        <v>90.0</v>
      </c>
      <c r="C1415" s="18">
        <v>29.0</v>
      </c>
      <c r="D1415" s="18">
        <v>1.0</v>
      </c>
      <c r="E1415" s="18" t="b">
        <v>1</v>
      </c>
      <c r="G1415" s="20" t="s">
        <v>46</v>
      </c>
    </row>
    <row r="1416" ht="22.5" customHeight="1">
      <c r="A1416" s="18">
        <v>1514.0</v>
      </c>
      <c r="B1416" s="18">
        <v>91.0</v>
      </c>
      <c r="C1416" s="18">
        <v>33.0</v>
      </c>
      <c r="D1416" s="18">
        <v>3.0</v>
      </c>
      <c r="E1416" s="18" t="b">
        <v>1</v>
      </c>
      <c r="G1416" s="20" t="s">
        <v>46</v>
      </c>
    </row>
    <row r="1417" ht="22.5" customHeight="1">
      <c r="A1417" s="18">
        <v>1515.0</v>
      </c>
      <c r="B1417" s="18">
        <v>91.0</v>
      </c>
      <c r="C1417" s="18">
        <v>33.0</v>
      </c>
      <c r="D1417" s="18">
        <v>6.0</v>
      </c>
      <c r="E1417" s="18" t="b">
        <v>1</v>
      </c>
      <c r="G1417" s="20" t="s">
        <v>46</v>
      </c>
    </row>
    <row r="1418" ht="22.5" customHeight="1">
      <c r="A1418" s="18">
        <v>1516.0</v>
      </c>
      <c r="B1418" s="18">
        <v>91.0</v>
      </c>
      <c r="C1418" s="18">
        <v>33.0</v>
      </c>
      <c r="D1418" s="18">
        <v>8.0</v>
      </c>
      <c r="E1418" s="18" t="b">
        <v>1</v>
      </c>
      <c r="G1418" s="20" t="s">
        <v>46</v>
      </c>
    </row>
    <row r="1419" ht="22.5" customHeight="1">
      <c r="A1419" s="18">
        <v>1517.0</v>
      </c>
      <c r="B1419" s="18">
        <v>91.0</v>
      </c>
      <c r="C1419" s="18">
        <v>33.0</v>
      </c>
      <c r="D1419" s="18">
        <v>14.0</v>
      </c>
      <c r="E1419" s="18" t="b">
        <v>1</v>
      </c>
      <c r="G1419" s="20" t="s">
        <v>46</v>
      </c>
    </row>
    <row r="1420" ht="22.5" customHeight="1">
      <c r="A1420" s="18">
        <v>1518.0</v>
      </c>
      <c r="B1420" s="18">
        <v>91.0</v>
      </c>
      <c r="C1420" s="18">
        <v>33.0</v>
      </c>
      <c r="D1420" s="18">
        <v>16.0</v>
      </c>
      <c r="E1420" s="18" t="b">
        <v>1</v>
      </c>
      <c r="G1420" s="20" t="s">
        <v>46</v>
      </c>
    </row>
    <row r="1421" ht="22.5" hidden="1" customHeight="1">
      <c r="A1421" s="18">
        <v>1519.0</v>
      </c>
      <c r="B1421" s="18">
        <v>92.0</v>
      </c>
      <c r="C1421" s="18">
        <v>33.0</v>
      </c>
      <c r="D1421" s="18">
        <v>3.0</v>
      </c>
      <c r="E1421" s="18" t="b">
        <v>1</v>
      </c>
      <c r="G1421" s="20" t="s">
        <v>46</v>
      </c>
    </row>
    <row r="1422" ht="22.5" hidden="1" customHeight="1">
      <c r="A1422" s="18">
        <v>1520.0</v>
      </c>
      <c r="B1422" s="18">
        <v>92.0</v>
      </c>
      <c r="C1422" s="18">
        <v>33.0</v>
      </c>
      <c r="D1422" s="18">
        <v>8.0</v>
      </c>
      <c r="E1422" s="18" t="b">
        <v>1</v>
      </c>
      <c r="G1422" s="20" t="s">
        <v>46</v>
      </c>
    </row>
    <row r="1423" ht="22.5" hidden="1" customHeight="1">
      <c r="A1423" s="18">
        <v>1521.0</v>
      </c>
      <c r="B1423" s="18">
        <v>92.0</v>
      </c>
      <c r="C1423" s="18">
        <v>33.0</v>
      </c>
      <c r="D1423" s="18">
        <v>14.0</v>
      </c>
      <c r="E1423" s="18" t="b">
        <v>1</v>
      </c>
      <c r="G1423" s="20" t="s">
        <v>46</v>
      </c>
    </row>
    <row r="1424" ht="22.5" hidden="1" customHeight="1">
      <c r="A1424" s="18">
        <v>1522.0</v>
      </c>
      <c r="B1424" s="18">
        <v>112.0</v>
      </c>
      <c r="C1424" s="18">
        <v>35.0</v>
      </c>
      <c r="D1424" s="18">
        <v>2.0</v>
      </c>
      <c r="E1424" s="18" t="b">
        <v>1</v>
      </c>
      <c r="G1424" s="20" t="s">
        <v>46</v>
      </c>
    </row>
    <row r="1425" ht="22.5" hidden="1" customHeight="1">
      <c r="A1425" s="18">
        <v>1523.0</v>
      </c>
      <c r="B1425" s="18">
        <v>112.0</v>
      </c>
      <c r="C1425" s="18">
        <v>35.0</v>
      </c>
      <c r="D1425" s="18">
        <v>4.0</v>
      </c>
      <c r="E1425" s="18" t="b">
        <v>1</v>
      </c>
      <c r="G1425" s="20" t="s">
        <v>46</v>
      </c>
    </row>
    <row r="1426" ht="22.5" hidden="1" customHeight="1">
      <c r="A1426" s="18">
        <v>1524.0</v>
      </c>
      <c r="B1426" s="18">
        <v>112.0</v>
      </c>
      <c r="C1426" s="18">
        <v>35.0</v>
      </c>
      <c r="D1426" s="18">
        <v>6.0</v>
      </c>
      <c r="E1426" s="18" t="b">
        <v>1</v>
      </c>
      <c r="G1426" s="20" t="s">
        <v>46</v>
      </c>
    </row>
    <row r="1427" ht="22.5" hidden="1" customHeight="1">
      <c r="A1427" s="18">
        <v>1525.0</v>
      </c>
      <c r="B1427" s="18">
        <v>112.0</v>
      </c>
      <c r="C1427" s="18">
        <v>35.0</v>
      </c>
      <c r="D1427" s="18">
        <v>8.0</v>
      </c>
      <c r="E1427" s="18" t="b">
        <v>1</v>
      </c>
      <c r="G1427" s="20" t="s">
        <v>46</v>
      </c>
    </row>
    <row r="1428" ht="22.5" hidden="1" customHeight="1">
      <c r="A1428" s="18">
        <v>1526.0</v>
      </c>
      <c r="B1428" s="18">
        <v>112.0</v>
      </c>
      <c r="C1428" s="18">
        <v>35.0</v>
      </c>
      <c r="D1428" s="18">
        <v>11.0</v>
      </c>
      <c r="E1428" s="18" t="b">
        <v>1</v>
      </c>
      <c r="G1428" s="20" t="s">
        <v>46</v>
      </c>
    </row>
    <row r="1429" ht="22.5" hidden="1" customHeight="1">
      <c r="A1429" s="18">
        <v>1527.0</v>
      </c>
      <c r="B1429" s="18">
        <v>112.0</v>
      </c>
      <c r="C1429" s="18">
        <v>35.0</v>
      </c>
      <c r="D1429" s="18">
        <v>16.0</v>
      </c>
      <c r="E1429" s="18" t="b">
        <v>1</v>
      </c>
      <c r="G1429" s="20" t="s">
        <v>46</v>
      </c>
    </row>
    <row r="1430" ht="22.5" hidden="1" customHeight="1">
      <c r="A1430" s="18">
        <v>1528.0</v>
      </c>
      <c r="B1430" s="18">
        <v>113.0</v>
      </c>
      <c r="C1430" s="18">
        <v>35.0</v>
      </c>
      <c r="D1430" s="18">
        <v>2.0</v>
      </c>
      <c r="E1430" s="18" t="b">
        <v>1</v>
      </c>
      <c r="G1430" s="20" t="s">
        <v>46</v>
      </c>
    </row>
    <row r="1431" ht="22.5" hidden="1" customHeight="1">
      <c r="A1431" s="18">
        <v>1529.0</v>
      </c>
      <c r="B1431" s="18">
        <v>113.0</v>
      </c>
      <c r="C1431" s="18">
        <v>35.0</v>
      </c>
      <c r="D1431" s="18">
        <v>4.0</v>
      </c>
      <c r="E1431" s="18" t="b">
        <v>1</v>
      </c>
      <c r="G1431" s="20" t="s">
        <v>46</v>
      </c>
    </row>
    <row r="1432" ht="22.5" hidden="1" customHeight="1">
      <c r="A1432" s="18">
        <v>1530.0</v>
      </c>
      <c r="B1432" s="18">
        <v>113.0</v>
      </c>
      <c r="C1432" s="18">
        <v>35.0</v>
      </c>
      <c r="D1432" s="18">
        <v>6.0</v>
      </c>
      <c r="E1432" s="18" t="b">
        <v>1</v>
      </c>
      <c r="G1432" s="20" t="s">
        <v>46</v>
      </c>
    </row>
    <row r="1433" ht="22.5" hidden="1" customHeight="1">
      <c r="A1433" s="18">
        <v>1531.0</v>
      </c>
      <c r="B1433" s="18">
        <v>113.0</v>
      </c>
      <c r="C1433" s="18">
        <v>35.0</v>
      </c>
      <c r="D1433" s="18">
        <v>8.0</v>
      </c>
      <c r="E1433" s="18" t="b">
        <v>1</v>
      </c>
      <c r="G1433" s="20" t="s">
        <v>46</v>
      </c>
    </row>
    <row r="1434" ht="22.5" hidden="1" customHeight="1">
      <c r="A1434" s="18">
        <v>1532.0</v>
      </c>
      <c r="B1434" s="18">
        <v>113.0</v>
      </c>
      <c r="C1434" s="18">
        <v>35.0</v>
      </c>
      <c r="D1434" s="18">
        <v>16.0</v>
      </c>
      <c r="E1434" s="18" t="b">
        <v>1</v>
      </c>
      <c r="G1434" s="20" t="s">
        <v>46</v>
      </c>
    </row>
    <row r="1435" ht="22.5" hidden="1" customHeight="1">
      <c r="A1435" s="18">
        <v>1534.0</v>
      </c>
      <c r="B1435" s="18">
        <v>114.0</v>
      </c>
      <c r="C1435" s="18">
        <v>29.0</v>
      </c>
      <c r="D1435" s="18">
        <v>2.0</v>
      </c>
      <c r="E1435" s="18" t="b">
        <v>1</v>
      </c>
      <c r="G1435" s="20" t="s">
        <v>46</v>
      </c>
    </row>
    <row r="1436" ht="22.5" hidden="1" customHeight="1">
      <c r="A1436" s="18">
        <v>1540.0</v>
      </c>
      <c r="B1436" s="18">
        <v>114.0</v>
      </c>
      <c r="C1436" s="18">
        <v>29.0</v>
      </c>
      <c r="D1436" s="18">
        <v>8.0</v>
      </c>
      <c r="E1436" s="18" t="b">
        <v>1</v>
      </c>
      <c r="G1436" s="20" t="s">
        <v>46</v>
      </c>
    </row>
    <row r="1437" ht="22.5" hidden="1" customHeight="1">
      <c r="A1437" s="18">
        <v>1543.0</v>
      </c>
      <c r="B1437" s="18">
        <v>114.0</v>
      </c>
      <c r="C1437" s="18">
        <v>29.0</v>
      </c>
      <c r="D1437" s="18">
        <v>12.0</v>
      </c>
      <c r="E1437" s="18" t="b">
        <v>1</v>
      </c>
      <c r="G1437" s="20" t="s">
        <v>46</v>
      </c>
    </row>
    <row r="1438" ht="22.5" hidden="1" customHeight="1">
      <c r="A1438" s="18">
        <v>1545.0</v>
      </c>
      <c r="B1438" s="18">
        <v>114.0</v>
      </c>
      <c r="C1438" s="18">
        <v>29.0</v>
      </c>
      <c r="D1438" s="18">
        <v>14.0</v>
      </c>
      <c r="E1438" s="18" t="b">
        <v>1</v>
      </c>
      <c r="G1438" s="20" t="s">
        <v>46</v>
      </c>
    </row>
    <row r="1439" ht="22.5" hidden="1" customHeight="1">
      <c r="A1439" s="18">
        <v>1551.0</v>
      </c>
      <c r="B1439" s="18">
        <v>93.0</v>
      </c>
      <c r="C1439" s="18">
        <v>36.0</v>
      </c>
      <c r="D1439" s="18">
        <v>4.0</v>
      </c>
      <c r="E1439" s="18" t="b">
        <v>1</v>
      </c>
      <c r="G1439" s="20" t="s">
        <v>46</v>
      </c>
    </row>
    <row r="1440" ht="22.5" hidden="1" customHeight="1">
      <c r="A1440" s="18">
        <v>1552.0</v>
      </c>
      <c r="B1440" s="18">
        <v>93.0</v>
      </c>
      <c r="C1440" s="18">
        <v>36.0</v>
      </c>
      <c r="D1440" s="18">
        <v>8.0</v>
      </c>
      <c r="E1440" s="18" t="b">
        <v>1</v>
      </c>
      <c r="G1440" s="20" t="s">
        <v>46</v>
      </c>
    </row>
    <row r="1441" ht="22.5" hidden="1" customHeight="1">
      <c r="A1441" s="18">
        <v>1553.0</v>
      </c>
      <c r="B1441" s="18">
        <v>93.0</v>
      </c>
      <c r="C1441" s="18">
        <v>36.0</v>
      </c>
      <c r="D1441" s="18">
        <v>13.0</v>
      </c>
      <c r="E1441" s="18" t="b">
        <v>1</v>
      </c>
      <c r="G1441" s="20" t="s">
        <v>46</v>
      </c>
    </row>
    <row r="1442" ht="22.5" hidden="1" customHeight="1">
      <c r="A1442" s="18">
        <v>1554.0</v>
      </c>
      <c r="B1442" s="18">
        <v>94.0</v>
      </c>
      <c r="C1442" s="18">
        <v>37.0</v>
      </c>
      <c r="D1442" s="18">
        <v>4.0</v>
      </c>
      <c r="E1442" s="18" t="b">
        <v>1</v>
      </c>
      <c r="G1442" s="20" t="s">
        <v>46</v>
      </c>
    </row>
    <row r="1443" ht="22.5" hidden="1" customHeight="1">
      <c r="A1443" s="18">
        <v>1555.0</v>
      </c>
      <c r="B1443" s="18">
        <v>94.0</v>
      </c>
      <c r="C1443" s="18">
        <v>37.0</v>
      </c>
      <c r="D1443" s="18">
        <v>8.0</v>
      </c>
      <c r="E1443" s="18" t="b">
        <v>1</v>
      </c>
      <c r="G1443" s="20" t="s">
        <v>46</v>
      </c>
    </row>
    <row r="1444" ht="22.5" hidden="1" customHeight="1">
      <c r="A1444" s="18">
        <v>1556.0</v>
      </c>
      <c r="B1444" s="18">
        <v>94.0</v>
      </c>
      <c r="C1444" s="18">
        <v>37.0</v>
      </c>
      <c r="D1444" s="18">
        <v>13.0</v>
      </c>
      <c r="E1444" s="18" t="b">
        <v>1</v>
      </c>
      <c r="G1444" s="20" t="s">
        <v>46</v>
      </c>
    </row>
    <row r="1445" ht="22.5" hidden="1" customHeight="1">
      <c r="A1445" s="18">
        <v>1557.0</v>
      </c>
      <c r="B1445" s="18">
        <v>95.0</v>
      </c>
      <c r="C1445" s="18">
        <v>38.0</v>
      </c>
      <c r="D1445" s="18">
        <v>4.0</v>
      </c>
      <c r="E1445" s="18" t="b">
        <v>1</v>
      </c>
      <c r="G1445" s="20" t="s">
        <v>46</v>
      </c>
    </row>
    <row r="1446" ht="22.5" hidden="1" customHeight="1">
      <c r="A1446" s="18">
        <v>1558.0</v>
      </c>
      <c r="B1446" s="18">
        <v>95.0</v>
      </c>
      <c r="C1446" s="18">
        <v>38.0</v>
      </c>
      <c r="D1446" s="18">
        <v>8.0</v>
      </c>
      <c r="E1446" s="18" t="b">
        <v>1</v>
      </c>
      <c r="G1446" s="20" t="s">
        <v>46</v>
      </c>
    </row>
    <row r="1447" ht="22.5" hidden="1" customHeight="1">
      <c r="A1447" s="18">
        <v>1559.0</v>
      </c>
      <c r="B1447" s="18">
        <v>95.0</v>
      </c>
      <c r="C1447" s="18">
        <v>38.0</v>
      </c>
      <c r="D1447" s="18">
        <v>13.0</v>
      </c>
      <c r="E1447" s="18" t="b">
        <v>1</v>
      </c>
      <c r="G1447" s="20" t="s">
        <v>46</v>
      </c>
    </row>
    <row r="1448" ht="22.5" hidden="1" customHeight="1">
      <c r="A1448" s="18">
        <v>1560.0</v>
      </c>
      <c r="B1448" s="18">
        <v>96.0</v>
      </c>
      <c r="C1448" s="18">
        <v>21.0</v>
      </c>
      <c r="D1448" s="18">
        <v>4.0</v>
      </c>
      <c r="E1448" s="18" t="b">
        <v>1</v>
      </c>
      <c r="G1448" s="20" t="s">
        <v>46</v>
      </c>
    </row>
    <row r="1449" ht="22.5" hidden="1" customHeight="1">
      <c r="A1449" s="18">
        <v>1561.0</v>
      </c>
      <c r="B1449" s="18">
        <v>96.0</v>
      </c>
      <c r="C1449" s="18">
        <v>21.0</v>
      </c>
      <c r="D1449" s="18">
        <v>8.0</v>
      </c>
      <c r="E1449" s="18" t="b">
        <v>1</v>
      </c>
      <c r="G1449" s="20" t="s">
        <v>46</v>
      </c>
    </row>
    <row r="1450" ht="22.5" hidden="1" customHeight="1">
      <c r="A1450" s="18">
        <v>1562.0</v>
      </c>
      <c r="B1450" s="18">
        <v>96.0</v>
      </c>
      <c r="C1450" s="18">
        <v>21.0</v>
      </c>
      <c r="D1450" s="18">
        <v>9.0</v>
      </c>
      <c r="E1450" s="18" t="b">
        <v>1</v>
      </c>
      <c r="G1450" s="20" t="s">
        <v>46</v>
      </c>
    </row>
    <row r="1451" ht="22.5" hidden="1" customHeight="1">
      <c r="A1451" s="18">
        <v>1563.0</v>
      </c>
      <c r="B1451" s="18">
        <v>96.0</v>
      </c>
      <c r="C1451" s="18">
        <v>21.0</v>
      </c>
      <c r="D1451" s="18">
        <v>11.0</v>
      </c>
      <c r="E1451" s="18" t="b">
        <v>1</v>
      </c>
      <c r="G1451" s="20" t="s">
        <v>46</v>
      </c>
    </row>
    <row r="1452" ht="22.5" hidden="1" customHeight="1">
      <c r="A1452" s="18">
        <v>1564.0</v>
      </c>
      <c r="B1452" s="18">
        <v>96.0</v>
      </c>
      <c r="C1452" s="18">
        <v>21.0</v>
      </c>
      <c r="D1452" s="18">
        <v>13.0</v>
      </c>
      <c r="E1452" s="18" t="b">
        <v>1</v>
      </c>
      <c r="G1452" s="20" t="s">
        <v>46</v>
      </c>
    </row>
    <row r="1453" ht="22.5" hidden="1" customHeight="1">
      <c r="A1453" s="18">
        <v>1565.0</v>
      </c>
      <c r="B1453" s="18">
        <v>97.0</v>
      </c>
      <c r="C1453" s="18">
        <v>20.0</v>
      </c>
      <c r="D1453" s="18">
        <v>4.0</v>
      </c>
      <c r="E1453" s="18" t="b">
        <v>1</v>
      </c>
      <c r="G1453" s="20" t="s">
        <v>46</v>
      </c>
    </row>
    <row r="1454" ht="22.5" hidden="1" customHeight="1">
      <c r="A1454" s="18">
        <v>1566.0</v>
      </c>
      <c r="B1454" s="18">
        <v>97.0</v>
      </c>
      <c r="C1454" s="18">
        <v>20.0</v>
      </c>
      <c r="D1454" s="18">
        <v>7.0</v>
      </c>
      <c r="E1454" s="18" t="b">
        <v>1</v>
      </c>
      <c r="G1454" s="20" t="s">
        <v>46</v>
      </c>
    </row>
    <row r="1455" ht="22.5" hidden="1" customHeight="1">
      <c r="A1455" s="18">
        <v>1567.0</v>
      </c>
      <c r="B1455" s="18">
        <v>97.0</v>
      </c>
      <c r="C1455" s="18">
        <v>20.0</v>
      </c>
      <c r="D1455" s="18">
        <v>8.0</v>
      </c>
      <c r="E1455" s="18" t="b">
        <v>1</v>
      </c>
      <c r="G1455" s="20" t="s">
        <v>46</v>
      </c>
    </row>
    <row r="1456" ht="22.5" hidden="1" customHeight="1">
      <c r="A1456" s="18">
        <v>1568.0</v>
      </c>
      <c r="B1456" s="18">
        <v>97.0</v>
      </c>
      <c r="C1456" s="18">
        <v>20.0</v>
      </c>
      <c r="D1456" s="18">
        <v>9.0</v>
      </c>
      <c r="E1456" s="18" t="b">
        <v>1</v>
      </c>
      <c r="G1456" s="20" t="s">
        <v>46</v>
      </c>
    </row>
    <row r="1457" ht="22.5" hidden="1" customHeight="1">
      <c r="A1457" s="18">
        <v>1569.0</v>
      </c>
      <c r="B1457" s="18">
        <v>97.0</v>
      </c>
      <c r="C1457" s="18">
        <v>20.0</v>
      </c>
      <c r="D1457" s="18">
        <v>13.0</v>
      </c>
      <c r="E1457" s="18" t="b">
        <v>1</v>
      </c>
      <c r="G1457" s="20" t="s">
        <v>46</v>
      </c>
    </row>
    <row r="1458" ht="22.5" hidden="1" customHeight="1">
      <c r="A1458" s="18">
        <v>1570.0</v>
      </c>
      <c r="B1458" s="18">
        <v>97.0</v>
      </c>
      <c r="C1458" s="18">
        <v>21.0</v>
      </c>
      <c r="D1458" s="18">
        <v>4.0</v>
      </c>
      <c r="E1458" s="18" t="b">
        <v>0</v>
      </c>
      <c r="G1458" s="20" t="s">
        <v>46</v>
      </c>
    </row>
    <row r="1459" ht="22.5" hidden="1" customHeight="1">
      <c r="A1459" s="18">
        <v>1571.0</v>
      </c>
      <c r="B1459" s="18">
        <v>97.0</v>
      </c>
      <c r="C1459" s="18">
        <v>21.0</v>
      </c>
      <c r="D1459" s="18">
        <v>7.0</v>
      </c>
      <c r="E1459" s="18" t="b">
        <v>0</v>
      </c>
      <c r="G1459" s="20" t="s">
        <v>46</v>
      </c>
    </row>
    <row r="1460" ht="22.5" hidden="1" customHeight="1">
      <c r="A1460" s="18">
        <v>1572.0</v>
      </c>
      <c r="B1460" s="18">
        <v>97.0</v>
      </c>
      <c r="C1460" s="18">
        <v>21.0</v>
      </c>
      <c r="D1460" s="18">
        <v>8.0</v>
      </c>
      <c r="E1460" s="18" t="b">
        <v>0</v>
      </c>
      <c r="G1460" s="20" t="s">
        <v>46</v>
      </c>
    </row>
    <row r="1461" ht="22.5" hidden="1" customHeight="1">
      <c r="A1461" s="18">
        <v>1573.0</v>
      </c>
      <c r="B1461" s="18">
        <v>97.0</v>
      </c>
      <c r="C1461" s="18">
        <v>21.0</v>
      </c>
      <c r="D1461" s="18">
        <v>9.0</v>
      </c>
      <c r="E1461" s="18" t="b">
        <v>0</v>
      </c>
      <c r="G1461" s="20" t="s">
        <v>46</v>
      </c>
    </row>
    <row r="1462" ht="22.5" hidden="1" customHeight="1">
      <c r="A1462" s="18">
        <v>1574.0</v>
      </c>
      <c r="B1462" s="18">
        <v>97.0</v>
      </c>
      <c r="C1462" s="18">
        <v>21.0</v>
      </c>
      <c r="D1462" s="18">
        <v>13.0</v>
      </c>
      <c r="E1462" s="18" t="b">
        <v>0</v>
      </c>
      <c r="G1462" s="20" t="s">
        <v>46</v>
      </c>
    </row>
    <row r="1463" ht="22.5" hidden="1" customHeight="1">
      <c r="A1463" s="18">
        <v>1575.0</v>
      </c>
      <c r="B1463" s="18">
        <v>98.0</v>
      </c>
      <c r="C1463" s="18">
        <v>21.0</v>
      </c>
      <c r="D1463" s="18">
        <v>4.0</v>
      </c>
      <c r="E1463" s="18" t="b">
        <v>1</v>
      </c>
      <c r="G1463" s="20" t="s">
        <v>46</v>
      </c>
    </row>
    <row r="1464" ht="22.5" hidden="1" customHeight="1">
      <c r="A1464" s="18">
        <v>1576.0</v>
      </c>
      <c r="B1464" s="18">
        <v>98.0</v>
      </c>
      <c r="C1464" s="18">
        <v>21.0</v>
      </c>
      <c r="D1464" s="18">
        <v>8.0</v>
      </c>
      <c r="E1464" s="18" t="b">
        <v>1</v>
      </c>
      <c r="G1464" s="20" t="s">
        <v>46</v>
      </c>
    </row>
    <row r="1465" ht="22.5" hidden="1" customHeight="1">
      <c r="A1465" s="18">
        <v>1577.0</v>
      </c>
      <c r="B1465" s="18">
        <v>98.0</v>
      </c>
      <c r="C1465" s="18">
        <v>21.0</v>
      </c>
      <c r="D1465" s="18">
        <v>9.0</v>
      </c>
      <c r="E1465" s="18" t="b">
        <v>1</v>
      </c>
      <c r="G1465" s="20" t="s">
        <v>46</v>
      </c>
    </row>
    <row r="1466" ht="22.5" hidden="1" customHeight="1">
      <c r="A1466" s="18">
        <v>1578.0</v>
      </c>
      <c r="B1466" s="18">
        <v>98.0</v>
      </c>
      <c r="C1466" s="18">
        <v>21.0</v>
      </c>
      <c r="D1466" s="18">
        <v>13.0</v>
      </c>
      <c r="E1466" s="18" t="b">
        <v>1</v>
      </c>
      <c r="G1466" s="20" t="s">
        <v>46</v>
      </c>
    </row>
    <row r="1467" ht="22.5" hidden="1" customHeight="1">
      <c r="A1467" s="18">
        <v>1579.0</v>
      </c>
      <c r="B1467" s="18">
        <v>99.0</v>
      </c>
      <c r="C1467" s="18">
        <v>21.0</v>
      </c>
      <c r="D1467" s="18">
        <v>4.0</v>
      </c>
      <c r="E1467" s="18" t="b">
        <v>1</v>
      </c>
      <c r="G1467" s="20" t="s">
        <v>46</v>
      </c>
    </row>
    <row r="1468" ht="22.5" hidden="1" customHeight="1">
      <c r="A1468" s="18">
        <v>1580.0</v>
      </c>
      <c r="B1468" s="18">
        <v>99.0</v>
      </c>
      <c r="C1468" s="18">
        <v>21.0</v>
      </c>
      <c r="D1468" s="18">
        <v>8.0</v>
      </c>
      <c r="E1468" s="18" t="b">
        <v>1</v>
      </c>
      <c r="G1468" s="20" t="s">
        <v>46</v>
      </c>
    </row>
    <row r="1469" ht="22.5" hidden="1" customHeight="1">
      <c r="A1469" s="18">
        <v>1581.0</v>
      </c>
      <c r="B1469" s="18">
        <v>99.0</v>
      </c>
      <c r="C1469" s="18">
        <v>21.0</v>
      </c>
      <c r="D1469" s="18">
        <v>9.0</v>
      </c>
      <c r="E1469" s="18" t="b">
        <v>1</v>
      </c>
      <c r="G1469" s="20" t="s">
        <v>46</v>
      </c>
    </row>
    <row r="1470" ht="22.5" hidden="1" customHeight="1">
      <c r="A1470" s="18">
        <v>1582.0</v>
      </c>
      <c r="B1470" s="18">
        <v>99.0</v>
      </c>
      <c r="C1470" s="18">
        <v>21.0</v>
      </c>
      <c r="D1470" s="18">
        <v>13.0</v>
      </c>
      <c r="E1470" s="18" t="b">
        <v>1</v>
      </c>
      <c r="G1470" s="20" t="s">
        <v>46</v>
      </c>
    </row>
    <row r="1471" ht="22.5" hidden="1" customHeight="1">
      <c r="A1471" s="18">
        <v>1583.0</v>
      </c>
      <c r="B1471" s="18">
        <v>100.0</v>
      </c>
      <c r="C1471" s="18">
        <v>21.0</v>
      </c>
      <c r="D1471" s="18">
        <v>4.0</v>
      </c>
      <c r="E1471" s="18" t="b">
        <v>1</v>
      </c>
      <c r="G1471" s="20" t="s">
        <v>46</v>
      </c>
    </row>
    <row r="1472" ht="22.5" hidden="1" customHeight="1">
      <c r="A1472" s="18">
        <v>1584.0</v>
      </c>
      <c r="B1472" s="18">
        <v>100.0</v>
      </c>
      <c r="C1472" s="18">
        <v>21.0</v>
      </c>
      <c r="D1472" s="18">
        <v>8.0</v>
      </c>
      <c r="E1472" s="18" t="b">
        <v>1</v>
      </c>
      <c r="G1472" s="20" t="s">
        <v>46</v>
      </c>
    </row>
    <row r="1473" ht="22.5" hidden="1" customHeight="1">
      <c r="A1473" s="18">
        <v>1585.0</v>
      </c>
      <c r="B1473" s="18">
        <v>100.0</v>
      </c>
      <c r="C1473" s="18">
        <v>21.0</v>
      </c>
      <c r="D1473" s="18">
        <v>9.0</v>
      </c>
      <c r="E1473" s="18" t="b">
        <v>1</v>
      </c>
      <c r="G1473" s="20" t="s">
        <v>46</v>
      </c>
    </row>
    <row r="1474" ht="22.5" hidden="1" customHeight="1">
      <c r="A1474" s="18">
        <v>1586.0</v>
      </c>
      <c r="B1474" s="18">
        <v>100.0</v>
      </c>
      <c r="C1474" s="18">
        <v>21.0</v>
      </c>
      <c r="D1474" s="18">
        <v>13.0</v>
      </c>
      <c r="E1474" s="18" t="b">
        <v>1</v>
      </c>
      <c r="G1474" s="20" t="s">
        <v>46</v>
      </c>
    </row>
    <row r="1475" ht="22.5" hidden="1" customHeight="1">
      <c r="A1475" s="18">
        <v>1587.0</v>
      </c>
      <c r="B1475" s="18">
        <v>101.0</v>
      </c>
      <c r="C1475" s="18">
        <v>21.0</v>
      </c>
      <c r="D1475" s="18">
        <v>4.0</v>
      </c>
      <c r="E1475" s="18" t="b">
        <v>1</v>
      </c>
      <c r="G1475" s="20" t="s">
        <v>46</v>
      </c>
    </row>
    <row r="1476" ht="22.5" hidden="1" customHeight="1">
      <c r="A1476" s="18">
        <v>1588.0</v>
      </c>
      <c r="B1476" s="18">
        <v>101.0</v>
      </c>
      <c r="C1476" s="18">
        <v>21.0</v>
      </c>
      <c r="D1476" s="18">
        <v>8.0</v>
      </c>
      <c r="E1476" s="18" t="b">
        <v>1</v>
      </c>
      <c r="G1476" s="20" t="s">
        <v>46</v>
      </c>
    </row>
    <row r="1477" ht="22.5" hidden="1" customHeight="1">
      <c r="A1477" s="18">
        <v>1589.0</v>
      </c>
      <c r="B1477" s="18">
        <v>101.0</v>
      </c>
      <c r="C1477" s="18">
        <v>21.0</v>
      </c>
      <c r="D1477" s="18">
        <v>9.0</v>
      </c>
      <c r="E1477" s="18" t="b">
        <v>1</v>
      </c>
      <c r="G1477" s="20" t="s">
        <v>46</v>
      </c>
    </row>
    <row r="1478" ht="22.5" hidden="1" customHeight="1">
      <c r="A1478" s="18">
        <v>1590.0</v>
      </c>
      <c r="B1478" s="18">
        <v>101.0</v>
      </c>
      <c r="C1478" s="18">
        <v>21.0</v>
      </c>
      <c r="D1478" s="18">
        <v>13.0</v>
      </c>
      <c r="E1478" s="18" t="b">
        <v>1</v>
      </c>
      <c r="G1478" s="20" t="s">
        <v>46</v>
      </c>
    </row>
    <row r="1479" ht="22.5" hidden="1" customHeight="1">
      <c r="A1479" s="18">
        <v>1591.0</v>
      </c>
      <c r="B1479" s="18">
        <v>102.0</v>
      </c>
      <c r="C1479" s="18">
        <v>21.0</v>
      </c>
      <c r="D1479" s="18">
        <v>4.0</v>
      </c>
      <c r="E1479" s="18" t="b">
        <v>1</v>
      </c>
      <c r="G1479" s="20" t="s">
        <v>46</v>
      </c>
    </row>
    <row r="1480" ht="22.5" hidden="1" customHeight="1">
      <c r="A1480" s="18">
        <v>1592.0</v>
      </c>
      <c r="B1480" s="18">
        <v>102.0</v>
      </c>
      <c r="C1480" s="18">
        <v>21.0</v>
      </c>
      <c r="D1480" s="18">
        <v>8.0</v>
      </c>
      <c r="E1480" s="18" t="b">
        <v>1</v>
      </c>
      <c r="G1480" s="20" t="s">
        <v>46</v>
      </c>
    </row>
    <row r="1481" ht="22.5" hidden="1" customHeight="1">
      <c r="A1481" s="18">
        <v>1593.0</v>
      </c>
      <c r="B1481" s="18">
        <v>102.0</v>
      </c>
      <c r="C1481" s="18">
        <v>21.0</v>
      </c>
      <c r="D1481" s="18">
        <v>9.0</v>
      </c>
      <c r="E1481" s="18" t="b">
        <v>1</v>
      </c>
      <c r="G1481" s="20" t="s">
        <v>46</v>
      </c>
    </row>
    <row r="1482" ht="22.5" hidden="1" customHeight="1">
      <c r="A1482" s="18">
        <v>1594.0</v>
      </c>
      <c r="B1482" s="18">
        <v>102.0</v>
      </c>
      <c r="C1482" s="18">
        <v>21.0</v>
      </c>
      <c r="D1482" s="18">
        <v>13.0</v>
      </c>
      <c r="E1482" s="18" t="b">
        <v>1</v>
      </c>
      <c r="G1482" s="20" t="s">
        <v>46</v>
      </c>
    </row>
    <row r="1483" ht="22.5" hidden="1" customHeight="1">
      <c r="A1483" s="18">
        <v>1595.0</v>
      </c>
      <c r="B1483" s="18">
        <v>103.0</v>
      </c>
      <c r="C1483" s="18">
        <v>32.0</v>
      </c>
      <c r="D1483" s="18">
        <v>2.0</v>
      </c>
      <c r="E1483" s="18" t="b">
        <v>1</v>
      </c>
      <c r="G1483" s="20" t="s">
        <v>46</v>
      </c>
    </row>
    <row r="1484" ht="22.5" hidden="1" customHeight="1">
      <c r="A1484" s="18">
        <v>1596.0</v>
      </c>
      <c r="B1484" s="18">
        <v>103.0</v>
      </c>
      <c r="C1484" s="18">
        <v>32.0</v>
      </c>
      <c r="D1484" s="18">
        <v>6.0</v>
      </c>
      <c r="E1484" s="18" t="b">
        <v>1</v>
      </c>
      <c r="G1484" s="20" t="s">
        <v>46</v>
      </c>
    </row>
    <row r="1485" ht="22.5" hidden="1" customHeight="1">
      <c r="A1485" s="18">
        <v>1597.0</v>
      </c>
      <c r="B1485" s="18">
        <v>103.0</v>
      </c>
      <c r="C1485" s="18">
        <v>32.0</v>
      </c>
      <c r="D1485" s="18">
        <v>8.0</v>
      </c>
      <c r="E1485" s="18" t="b">
        <v>1</v>
      </c>
      <c r="G1485" s="20" t="s">
        <v>46</v>
      </c>
    </row>
    <row r="1486" ht="22.5" hidden="1" customHeight="1">
      <c r="A1486" s="18">
        <v>1598.0</v>
      </c>
      <c r="B1486" s="18">
        <v>103.0</v>
      </c>
      <c r="C1486" s="18">
        <v>32.0</v>
      </c>
      <c r="D1486" s="18">
        <v>14.0</v>
      </c>
      <c r="E1486" s="18" t="b">
        <v>1</v>
      </c>
      <c r="G1486" s="20" t="s">
        <v>46</v>
      </c>
    </row>
    <row r="1487" ht="22.5" hidden="1" customHeight="1">
      <c r="A1487" s="18">
        <v>1599.0</v>
      </c>
      <c r="B1487" s="18">
        <v>104.0</v>
      </c>
      <c r="C1487" s="18">
        <v>32.0</v>
      </c>
      <c r="D1487" s="18">
        <v>2.0</v>
      </c>
      <c r="E1487" s="18" t="b">
        <v>1</v>
      </c>
      <c r="G1487" s="20" t="s">
        <v>46</v>
      </c>
    </row>
    <row r="1488" ht="22.5" hidden="1" customHeight="1">
      <c r="A1488" s="18">
        <v>1600.0</v>
      </c>
      <c r="B1488" s="18">
        <v>104.0</v>
      </c>
      <c r="C1488" s="18">
        <v>32.0</v>
      </c>
      <c r="D1488" s="18">
        <v>6.0</v>
      </c>
      <c r="E1488" s="18" t="b">
        <v>1</v>
      </c>
      <c r="G1488" s="20" t="s">
        <v>46</v>
      </c>
    </row>
    <row r="1489" ht="22.5" hidden="1" customHeight="1">
      <c r="A1489" s="18">
        <v>1601.0</v>
      </c>
      <c r="B1489" s="18">
        <v>104.0</v>
      </c>
      <c r="C1489" s="18">
        <v>32.0</v>
      </c>
      <c r="D1489" s="18">
        <v>8.0</v>
      </c>
      <c r="E1489" s="18" t="b">
        <v>1</v>
      </c>
      <c r="G1489" s="20" t="s">
        <v>46</v>
      </c>
    </row>
    <row r="1490" ht="22.5" hidden="1" customHeight="1">
      <c r="A1490" s="18">
        <v>1602.0</v>
      </c>
      <c r="B1490" s="18">
        <v>104.0</v>
      </c>
      <c r="C1490" s="18">
        <v>32.0</v>
      </c>
      <c r="D1490" s="18">
        <v>14.0</v>
      </c>
      <c r="E1490" s="18" t="b">
        <v>1</v>
      </c>
      <c r="G1490" s="20" t="s">
        <v>46</v>
      </c>
    </row>
    <row r="1491" ht="22.5" hidden="1" customHeight="1">
      <c r="A1491" s="18">
        <v>1603.0</v>
      </c>
      <c r="B1491" s="18">
        <v>105.0</v>
      </c>
      <c r="C1491" s="18">
        <v>32.0</v>
      </c>
      <c r="D1491" s="18">
        <v>3.0</v>
      </c>
      <c r="E1491" s="18" t="b">
        <v>1</v>
      </c>
      <c r="G1491" s="20" t="s">
        <v>46</v>
      </c>
    </row>
    <row r="1492" ht="22.5" hidden="1" customHeight="1">
      <c r="A1492" s="18">
        <v>1604.0</v>
      </c>
      <c r="B1492" s="18">
        <v>105.0</v>
      </c>
      <c r="C1492" s="18">
        <v>32.0</v>
      </c>
      <c r="D1492" s="18">
        <v>8.0</v>
      </c>
      <c r="E1492" s="18" t="b">
        <v>1</v>
      </c>
      <c r="G1492" s="20" t="s">
        <v>46</v>
      </c>
    </row>
    <row r="1493" ht="22.5" hidden="1" customHeight="1">
      <c r="A1493" s="18">
        <v>1605.0</v>
      </c>
      <c r="B1493" s="18">
        <v>105.0</v>
      </c>
      <c r="C1493" s="18">
        <v>32.0</v>
      </c>
      <c r="D1493" s="18">
        <v>14.0</v>
      </c>
      <c r="E1493" s="18" t="b">
        <v>1</v>
      </c>
      <c r="G1493" s="20" t="s">
        <v>46</v>
      </c>
    </row>
    <row r="1494" ht="22.5" hidden="1" customHeight="1">
      <c r="A1494" s="18">
        <v>1606.0</v>
      </c>
      <c r="B1494" s="18">
        <v>106.0</v>
      </c>
      <c r="C1494" s="18">
        <v>32.0</v>
      </c>
      <c r="D1494" s="18">
        <v>6.0</v>
      </c>
      <c r="E1494" s="18" t="b">
        <v>1</v>
      </c>
      <c r="G1494" s="20" t="s">
        <v>46</v>
      </c>
    </row>
    <row r="1495" ht="22.5" hidden="1" customHeight="1">
      <c r="A1495" s="18">
        <v>1607.0</v>
      </c>
      <c r="B1495" s="18">
        <v>106.0</v>
      </c>
      <c r="C1495" s="18">
        <v>32.0</v>
      </c>
      <c r="D1495" s="18">
        <v>8.0</v>
      </c>
      <c r="E1495" s="18" t="b">
        <v>1</v>
      </c>
      <c r="G1495" s="20" t="s">
        <v>46</v>
      </c>
    </row>
    <row r="1496" ht="22.5" hidden="1" customHeight="1">
      <c r="A1496" s="18">
        <v>1608.0</v>
      </c>
      <c r="B1496" s="18">
        <v>106.0</v>
      </c>
      <c r="C1496" s="18">
        <v>32.0</v>
      </c>
      <c r="D1496" s="18">
        <v>14.0</v>
      </c>
      <c r="E1496" s="18" t="b">
        <v>1</v>
      </c>
      <c r="G1496" s="20" t="s">
        <v>46</v>
      </c>
    </row>
    <row r="1497" ht="22.5" hidden="1" customHeight="1">
      <c r="A1497" s="18">
        <v>1609.0</v>
      </c>
      <c r="B1497" s="18">
        <v>106.0</v>
      </c>
      <c r="C1497" s="18">
        <v>32.0</v>
      </c>
      <c r="D1497" s="18">
        <v>16.0</v>
      </c>
      <c r="E1497" s="18" t="b">
        <v>1</v>
      </c>
      <c r="G1497" s="20" t="s">
        <v>46</v>
      </c>
    </row>
    <row r="1498" ht="22.5" hidden="1" customHeight="1">
      <c r="A1498" s="18">
        <v>1610.0</v>
      </c>
      <c r="B1498" s="18">
        <v>107.0</v>
      </c>
      <c r="C1498" s="18">
        <v>32.0</v>
      </c>
      <c r="D1498" s="18">
        <v>3.0</v>
      </c>
      <c r="E1498" s="18" t="b">
        <v>1</v>
      </c>
      <c r="G1498" s="20" t="s">
        <v>46</v>
      </c>
    </row>
    <row r="1499" ht="22.5" hidden="1" customHeight="1">
      <c r="A1499" s="18">
        <v>1611.0</v>
      </c>
      <c r="B1499" s="18">
        <v>107.0</v>
      </c>
      <c r="C1499" s="18">
        <v>32.0</v>
      </c>
      <c r="D1499" s="18">
        <v>6.0</v>
      </c>
      <c r="E1499" s="18" t="b">
        <v>1</v>
      </c>
      <c r="G1499" s="20" t="s">
        <v>46</v>
      </c>
    </row>
    <row r="1500" ht="22.5" hidden="1" customHeight="1">
      <c r="A1500" s="18">
        <v>1612.0</v>
      </c>
      <c r="B1500" s="18">
        <v>107.0</v>
      </c>
      <c r="C1500" s="18">
        <v>32.0</v>
      </c>
      <c r="D1500" s="18">
        <v>8.0</v>
      </c>
      <c r="E1500" s="18" t="b">
        <v>1</v>
      </c>
      <c r="G1500" s="20" t="s">
        <v>46</v>
      </c>
    </row>
    <row r="1501" ht="22.5" hidden="1" customHeight="1">
      <c r="A1501" s="18">
        <v>1613.0</v>
      </c>
      <c r="B1501" s="18">
        <v>107.0</v>
      </c>
      <c r="C1501" s="18">
        <v>32.0</v>
      </c>
      <c r="D1501" s="18">
        <v>14.0</v>
      </c>
      <c r="E1501" s="18" t="b">
        <v>1</v>
      </c>
      <c r="G1501" s="20" t="s">
        <v>46</v>
      </c>
    </row>
    <row r="1502" ht="22.5" hidden="1" customHeight="1">
      <c r="A1502" s="18">
        <v>1614.0</v>
      </c>
      <c r="B1502" s="18">
        <v>107.0</v>
      </c>
      <c r="C1502" s="18">
        <v>32.0</v>
      </c>
      <c r="D1502" s="18">
        <v>16.0</v>
      </c>
      <c r="E1502" s="18" t="b">
        <v>1</v>
      </c>
      <c r="G1502" s="20" t="s">
        <v>46</v>
      </c>
    </row>
    <row r="1503" ht="22.5" hidden="1" customHeight="1">
      <c r="A1503" s="18">
        <v>1615.0</v>
      </c>
      <c r="B1503" s="18">
        <v>108.0</v>
      </c>
      <c r="C1503" s="18">
        <v>32.0</v>
      </c>
      <c r="D1503" s="18">
        <v>8.0</v>
      </c>
      <c r="E1503" s="18" t="b">
        <v>1</v>
      </c>
      <c r="G1503" s="20" t="s">
        <v>46</v>
      </c>
    </row>
    <row r="1504" ht="22.5" hidden="1" customHeight="1">
      <c r="A1504" s="18">
        <v>1616.0</v>
      </c>
      <c r="B1504" s="18">
        <v>108.0</v>
      </c>
      <c r="C1504" s="18">
        <v>32.0</v>
      </c>
      <c r="D1504" s="18">
        <v>14.0</v>
      </c>
      <c r="E1504" s="18" t="b">
        <v>1</v>
      </c>
      <c r="G1504" s="20" t="s">
        <v>46</v>
      </c>
    </row>
    <row r="1505" ht="22.5" hidden="1" customHeight="1">
      <c r="A1505" s="23">
        <v>1617.0</v>
      </c>
      <c r="B1505" s="23">
        <v>33.0</v>
      </c>
      <c r="C1505" s="23">
        <v>29.0</v>
      </c>
      <c r="D1505" s="23">
        <v>17.0</v>
      </c>
      <c r="E1505" s="23" t="b">
        <v>1</v>
      </c>
      <c r="F1505" s="25"/>
      <c r="G1505" s="20" t="s">
        <v>46</v>
      </c>
    </row>
    <row r="1506" ht="22.5" hidden="1" customHeight="1">
      <c r="A1506" s="18">
        <v>1618.0</v>
      </c>
      <c r="B1506" s="23">
        <v>67.0</v>
      </c>
      <c r="C1506" s="23">
        <v>28.0</v>
      </c>
      <c r="D1506" s="23">
        <v>14.0</v>
      </c>
      <c r="E1506" s="23" t="b">
        <v>1</v>
      </c>
      <c r="F1506" s="25"/>
      <c r="G1506" s="20" t="s">
        <v>46</v>
      </c>
    </row>
    <row r="1507" ht="22.5" hidden="1" customHeight="1">
      <c r="A1507" s="18">
        <v>1619.0</v>
      </c>
      <c r="B1507" s="23">
        <v>67.0</v>
      </c>
      <c r="C1507" s="23">
        <v>29.0</v>
      </c>
      <c r="D1507" s="23">
        <v>14.0</v>
      </c>
      <c r="E1507" s="23" t="b">
        <v>0</v>
      </c>
      <c r="F1507" s="25"/>
      <c r="G1507" s="20" t="s">
        <v>46</v>
      </c>
    </row>
    <row r="1508" ht="22.5" hidden="1" customHeight="1">
      <c r="A1508" s="23">
        <v>1620.0</v>
      </c>
      <c r="B1508" s="23">
        <v>66.0</v>
      </c>
      <c r="C1508" s="23">
        <v>28.0</v>
      </c>
      <c r="D1508" s="23">
        <v>14.0</v>
      </c>
      <c r="E1508" s="23" t="b">
        <v>1</v>
      </c>
      <c r="F1508" s="25"/>
      <c r="G1508" s="20" t="s">
        <v>46</v>
      </c>
    </row>
    <row r="1509" ht="22.5" hidden="1" customHeight="1">
      <c r="A1509" s="18">
        <v>1621.0</v>
      </c>
      <c r="B1509" s="23">
        <v>66.0</v>
      </c>
      <c r="C1509" s="23">
        <v>29.0</v>
      </c>
      <c r="D1509" s="23">
        <v>14.0</v>
      </c>
      <c r="E1509" s="23" t="b">
        <v>0</v>
      </c>
      <c r="F1509" s="25"/>
      <c r="G1509" s="20" t="s">
        <v>46</v>
      </c>
    </row>
    <row r="1510" ht="22.5" hidden="1" customHeight="1">
      <c r="A1510" s="18">
        <v>1622.0</v>
      </c>
      <c r="B1510" s="23">
        <v>30.0</v>
      </c>
      <c r="C1510" s="18">
        <v>29.0</v>
      </c>
      <c r="D1510" s="24">
        <v>5.0</v>
      </c>
      <c r="E1510" s="18" t="b">
        <v>1</v>
      </c>
      <c r="F1510" s="25"/>
      <c r="G1510" s="20" t="s">
        <v>46</v>
      </c>
    </row>
    <row r="1511" ht="22.5" hidden="1" customHeight="1">
      <c r="A1511" s="23">
        <v>1623.0</v>
      </c>
      <c r="B1511" s="23">
        <v>30.0</v>
      </c>
      <c r="C1511" s="18">
        <v>29.0</v>
      </c>
      <c r="D1511" s="24">
        <v>6.0</v>
      </c>
      <c r="E1511" s="18" t="b">
        <v>1</v>
      </c>
      <c r="F1511" s="25"/>
      <c r="G1511" s="20" t="s">
        <v>46</v>
      </c>
    </row>
    <row r="1512" ht="22.5" hidden="1" customHeight="1">
      <c r="A1512" s="18">
        <v>1624.0</v>
      </c>
      <c r="B1512" s="23">
        <v>30.0</v>
      </c>
      <c r="C1512" s="18">
        <v>29.0</v>
      </c>
      <c r="D1512" s="24">
        <v>7.0</v>
      </c>
      <c r="E1512" s="18" t="b">
        <v>1</v>
      </c>
      <c r="F1512" s="25"/>
      <c r="G1512" s="20" t="s">
        <v>46</v>
      </c>
    </row>
    <row r="1513" ht="22.5" hidden="1" customHeight="1">
      <c r="A1513" s="18">
        <v>1625.0</v>
      </c>
      <c r="B1513" s="23">
        <v>30.0</v>
      </c>
      <c r="C1513" s="18">
        <v>29.0</v>
      </c>
      <c r="D1513" s="24">
        <v>8.0</v>
      </c>
      <c r="E1513" s="18" t="b">
        <v>1</v>
      </c>
      <c r="F1513" s="25"/>
      <c r="G1513" s="20" t="s">
        <v>46</v>
      </c>
    </row>
    <row r="1514" ht="22.5" hidden="1" customHeight="1">
      <c r="A1514" s="23">
        <v>1626.0</v>
      </c>
      <c r="B1514" s="23">
        <v>30.0</v>
      </c>
      <c r="C1514" s="18">
        <v>29.0</v>
      </c>
      <c r="D1514" s="24">
        <v>9.0</v>
      </c>
      <c r="E1514" s="18" t="b">
        <v>1</v>
      </c>
      <c r="F1514" s="25"/>
      <c r="G1514" s="20" t="s">
        <v>46</v>
      </c>
    </row>
    <row r="1515" ht="22.5" hidden="1" customHeight="1">
      <c r="A1515" s="18">
        <v>1627.0</v>
      </c>
      <c r="B1515" s="23">
        <v>30.0</v>
      </c>
      <c r="C1515" s="18">
        <v>29.0</v>
      </c>
      <c r="D1515" s="24">
        <v>11.0</v>
      </c>
      <c r="E1515" s="18" t="b">
        <v>1</v>
      </c>
      <c r="F1515" s="25"/>
      <c r="G1515" s="20" t="s">
        <v>46</v>
      </c>
    </row>
    <row r="1516" ht="22.5" hidden="1" customHeight="1">
      <c r="A1516" s="18">
        <v>1628.0</v>
      </c>
      <c r="B1516" s="23">
        <v>30.0</v>
      </c>
      <c r="C1516" s="18">
        <v>29.0</v>
      </c>
      <c r="D1516" s="24">
        <v>12.0</v>
      </c>
      <c r="E1516" s="18" t="b">
        <v>1</v>
      </c>
      <c r="F1516" s="25"/>
      <c r="G1516" s="20" t="s">
        <v>46</v>
      </c>
    </row>
    <row r="1517" ht="22.5" hidden="1" customHeight="1">
      <c r="A1517" s="23">
        <v>1629.0</v>
      </c>
      <c r="B1517" s="23">
        <v>30.0</v>
      </c>
      <c r="C1517" s="18">
        <v>29.0</v>
      </c>
      <c r="D1517" s="24">
        <v>14.0</v>
      </c>
      <c r="E1517" s="18" t="b">
        <v>1</v>
      </c>
      <c r="F1517" s="25"/>
      <c r="G1517" s="20" t="s">
        <v>46</v>
      </c>
    </row>
    <row r="1518" ht="22.5" hidden="1" customHeight="1">
      <c r="A1518" s="18">
        <v>1630.0</v>
      </c>
      <c r="B1518" s="23">
        <v>30.0</v>
      </c>
      <c r="C1518" s="18">
        <v>29.0</v>
      </c>
      <c r="D1518" s="24">
        <v>15.0</v>
      </c>
      <c r="E1518" s="18" t="b">
        <v>1</v>
      </c>
      <c r="F1518" s="25"/>
      <c r="G1518" s="20" t="s">
        <v>46</v>
      </c>
    </row>
    <row r="1519" ht="22.5" hidden="1" customHeight="1">
      <c r="A1519" s="18">
        <v>1631.0</v>
      </c>
      <c r="B1519" s="23">
        <v>30.0</v>
      </c>
      <c r="C1519" s="18">
        <v>29.0</v>
      </c>
      <c r="D1519" s="24">
        <v>16.0</v>
      </c>
      <c r="E1519" s="18" t="b">
        <v>1</v>
      </c>
      <c r="F1519" s="25"/>
      <c r="G1519" s="20" t="s">
        <v>46</v>
      </c>
    </row>
    <row r="1520" ht="22.5" hidden="1" customHeight="1">
      <c r="A1520" s="23">
        <v>1632.0</v>
      </c>
      <c r="B1520" s="23">
        <v>30.0</v>
      </c>
      <c r="C1520" s="18">
        <v>29.0</v>
      </c>
      <c r="D1520" s="24">
        <v>17.0</v>
      </c>
      <c r="E1520" s="18" t="b">
        <v>1</v>
      </c>
      <c r="F1520" s="25"/>
      <c r="G1520" s="20" t="s">
        <v>46</v>
      </c>
    </row>
    <row r="1521" ht="22.5" hidden="1" customHeight="1">
      <c r="A1521" s="18">
        <v>1633.0</v>
      </c>
      <c r="B1521" s="23">
        <v>30.0</v>
      </c>
      <c r="C1521" s="18">
        <v>29.0</v>
      </c>
      <c r="D1521" s="24">
        <v>19.0</v>
      </c>
      <c r="E1521" s="18" t="b">
        <v>1</v>
      </c>
      <c r="F1521" s="25"/>
      <c r="G1521" s="20" t="s">
        <v>46</v>
      </c>
    </row>
    <row r="1522" ht="22.5" hidden="1" customHeight="1">
      <c r="A1522" s="23">
        <v>1634.0</v>
      </c>
      <c r="B1522" s="23">
        <v>65.0</v>
      </c>
      <c r="C1522" s="23">
        <v>34.0</v>
      </c>
      <c r="D1522" s="23">
        <v>15.0</v>
      </c>
      <c r="E1522" s="23" t="b">
        <v>1</v>
      </c>
      <c r="F1522" s="25"/>
      <c r="G1522" s="20" t="s">
        <v>46</v>
      </c>
    </row>
    <row r="1523" ht="22.5" hidden="1" customHeight="1">
      <c r="A1523" s="23">
        <v>1635.0</v>
      </c>
      <c r="B1523" s="23">
        <v>46.0</v>
      </c>
      <c r="C1523" s="23">
        <v>33.0</v>
      </c>
      <c r="D1523" s="23">
        <v>6.0</v>
      </c>
      <c r="E1523" s="23" t="b">
        <v>1</v>
      </c>
      <c r="F1523" s="25"/>
      <c r="G1523" s="20" t="s">
        <v>46</v>
      </c>
    </row>
    <row r="1524" ht="22.5" hidden="1" customHeight="1">
      <c r="A1524" s="23">
        <v>1636.0</v>
      </c>
      <c r="B1524" s="23">
        <v>43.0</v>
      </c>
      <c r="C1524" s="23">
        <v>29.0</v>
      </c>
      <c r="D1524" s="23">
        <v>4.0</v>
      </c>
      <c r="E1524" s="23" t="b">
        <v>1</v>
      </c>
      <c r="F1524" s="25"/>
      <c r="G1524" s="20" t="s">
        <v>46</v>
      </c>
    </row>
    <row r="1525" ht="22.5" hidden="1" customHeight="1">
      <c r="A1525" s="23">
        <v>1637.0</v>
      </c>
      <c r="B1525" s="23">
        <v>116.0</v>
      </c>
      <c r="C1525" s="23">
        <v>22.0</v>
      </c>
      <c r="D1525" s="23">
        <v>3.0</v>
      </c>
      <c r="E1525" s="18" t="b">
        <v>1</v>
      </c>
      <c r="F1525" s="25"/>
      <c r="G1525" s="20" t="s">
        <v>46</v>
      </c>
    </row>
    <row r="1526" ht="22.5" hidden="1" customHeight="1">
      <c r="A1526" s="23">
        <v>1638.0</v>
      </c>
      <c r="B1526" s="23">
        <v>116.0</v>
      </c>
      <c r="C1526" s="23">
        <v>22.0</v>
      </c>
      <c r="D1526" s="23">
        <v>5.0</v>
      </c>
      <c r="E1526" s="18" t="b">
        <v>1</v>
      </c>
      <c r="F1526" s="25"/>
      <c r="G1526" s="20" t="s">
        <v>46</v>
      </c>
    </row>
    <row r="1527" ht="22.5" hidden="1" customHeight="1">
      <c r="A1527" s="23">
        <v>1639.0</v>
      </c>
      <c r="B1527" s="23">
        <v>116.0</v>
      </c>
      <c r="C1527" s="23">
        <v>22.0</v>
      </c>
      <c r="D1527" s="23">
        <v>8.0</v>
      </c>
      <c r="E1527" s="18" t="b">
        <v>1</v>
      </c>
      <c r="F1527" s="25"/>
      <c r="G1527" s="20" t="s">
        <v>46</v>
      </c>
    </row>
    <row r="1528" ht="22.5" hidden="1" customHeight="1">
      <c r="A1528" s="23">
        <v>1640.0</v>
      </c>
      <c r="B1528" s="23">
        <v>116.0</v>
      </c>
      <c r="C1528" s="23">
        <v>22.0</v>
      </c>
      <c r="D1528" s="23">
        <v>9.0</v>
      </c>
      <c r="E1528" s="18" t="b">
        <v>1</v>
      </c>
      <c r="F1528" s="25"/>
      <c r="G1528" s="20" t="s">
        <v>46</v>
      </c>
    </row>
    <row r="1529" ht="22.5" hidden="1" customHeight="1">
      <c r="A1529" s="23">
        <v>1641.0</v>
      </c>
      <c r="B1529" s="23">
        <v>116.0</v>
      </c>
      <c r="C1529" s="23">
        <v>22.0</v>
      </c>
      <c r="D1529" s="23">
        <v>18.0</v>
      </c>
      <c r="E1529" s="18" t="b">
        <v>1</v>
      </c>
      <c r="F1529" s="25"/>
      <c r="G1529" s="20" t="s">
        <v>46</v>
      </c>
    </row>
    <row r="1530" ht="22.5" hidden="1" customHeight="1">
      <c r="A1530" s="23">
        <v>1642.0</v>
      </c>
      <c r="B1530" s="23">
        <v>117.0</v>
      </c>
      <c r="C1530" s="23">
        <v>22.0</v>
      </c>
      <c r="D1530" s="23">
        <v>1.0</v>
      </c>
      <c r="E1530" s="23" t="b">
        <v>1</v>
      </c>
      <c r="F1530" s="25"/>
      <c r="G1530" s="20" t="s">
        <v>46</v>
      </c>
    </row>
    <row r="1531" ht="22.5" hidden="1" customHeight="1">
      <c r="A1531" s="23">
        <v>1643.0</v>
      </c>
      <c r="B1531" s="23">
        <v>117.0</v>
      </c>
      <c r="C1531" s="23">
        <v>22.0</v>
      </c>
      <c r="D1531" s="23">
        <v>2.0</v>
      </c>
      <c r="E1531" s="23" t="b">
        <v>1</v>
      </c>
      <c r="F1531" s="25"/>
      <c r="G1531" s="20" t="s">
        <v>46</v>
      </c>
    </row>
    <row r="1532" ht="22.5" hidden="1" customHeight="1">
      <c r="A1532" s="23">
        <v>1644.0</v>
      </c>
      <c r="B1532" s="23">
        <v>117.0</v>
      </c>
      <c r="C1532" s="23">
        <v>22.0</v>
      </c>
      <c r="D1532" s="23">
        <v>3.0</v>
      </c>
      <c r="E1532" s="23" t="b">
        <v>1</v>
      </c>
      <c r="F1532" s="25"/>
      <c r="G1532" s="20" t="s">
        <v>46</v>
      </c>
    </row>
    <row r="1533" ht="22.5" hidden="1" customHeight="1">
      <c r="A1533" s="23">
        <v>1645.0</v>
      </c>
      <c r="B1533" s="23">
        <v>117.0</v>
      </c>
      <c r="C1533" s="23">
        <v>22.0</v>
      </c>
      <c r="D1533" s="23">
        <v>6.0</v>
      </c>
      <c r="E1533" s="23" t="b">
        <v>1</v>
      </c>
      <c r="F1533" s="25"/>
      <c r="G1533" s="20" t="s">
        <v>46</v>
      </c>
    </row>
    <row r="1534" ht="22.5" hidden="1" customHeight="1">
      <c r="A1534" s="23">
        <v>1646.0</v>
      </c>
      <c r="B1534" s="23">
        <v>117.0</v>
      </c>
      <c r="C1534" s="23">
        <v>22.0</v>
      </c>
      <c r="D1534" s="23">
        <v>7.0</v>
      </c>
      <c r="E1534" s="23" t="b">
        <v>1</v>
      </c>
      <c r="F1534" s="25"/>
      <c r="G1534" s="20" t="s">
        <v>46</v>
      </c>
    </row>
    <row r="1535" ht="22.5" hidden="1" customHeight="1">
      <c r="A1535" s="23">
        <v>1647.0</v>
      </c>
      <c r="B1535" s="23">
        <v>117.0</v>
      </c>
      <c r="C1535" s="23">
        <v>22.0</v>
      </c>
      <c r="D1535" s="23">
        <v>8.0</v>
      </c>
      <c r="E1535" s="23" t="b">
        <v>1</v>
      </c>
      <c r="F1535" s="25"/>
      <c r="G1535" s="20" t="s">
        <v>46</v>
      </c>
    </row>
    <row r="1536" ht="22.5" hidden="1" customHeight="1">
      <c r="A1536" s="23">
        <v>1648.0</v>
      </c>
      <c r="B1536" s="23">
        <v>117.0</v>
      </c>
      <c r="C1536" s="23">
        <v>22.0</v>
      </c>
      <c r="D1536" s="23">
        <v>9.0</v>
      </c>
      <c r="E1536" s="23" t="b">
        <v>1</v>
      </c>
      <c r="F1536" s="25"/>
      <c r="G1536" s="20" t="s">
        <v>46</v>
      </c>
    </row>
    <row r="1537" ht="22.5" hidden="1" customHeight="1">
      <c r="A1537" s="23">
        <v>1649.0</v>
      </c>
      <c r="B1537" s="23">
        <v>117.0</v>
      </c>
      <c r="C1537" s="23">
        <v>22.0</v>
      </c>
      <c r="D1537" s="23">
        <v>11.0</v>
      </c>
      <c r="E1537" s="23" t="b">
        <v>1</v>
      </c>
      <c r="F1537" s="25"/>
      <c r="G1537" s="20" t="s">
        <v>46</v>
      </c>
    </row>
    <row r="1538" ht="22.5" hidden="1" customHeight="1">
      <c r="A1538" s="23">
        <v>1650.0</v>
      </c>
      <c r="B1538" s="23">
        <v>117.0</v>
      </c>
      <c r="C1538" s="23">
        <v>22.0</v>
      </c>
      <c r="D1538" s="23">
        <v>12.0</v>
      </c>
      <c r="E1538" s="23" t="b">
        <v>1</v>
      </c>
      <c r="F1538" s="25"/>
      <c r="G1538" s="20" t="s">
        <v>46</v>
      </c>
    </row>
    <row r="1539" ht="22.5" hidden="1" customHeight="1">
      <c r="A1539" s="23">
        <v>1651.0</v>
      </c>
      <c r="B1539" s="23">
        <v>117.0</v>
      </c>
      <c r="C1539" s="23">
        <v>22.0</v>
      </c>
      <c r="D1539" s="23">
        <v>13.0</v>
      </c>
      <c r="E1539" s="23" t="b">
        <v>1</v>
      </c>
      <c r="F1539" s="25"/>
      <c r="G1539" s="20" t="s">
        <v>46</v>
      </c>
    </row>
    <row r="1540" ht="22.5" hidden="1" customHeight="1">
      <c r="A1540" s="23">
        <v>1652.0</v>
      </c>
      <c r="B1540" s="23">
        <v>117.0</v>
      </c>
      <c r="C1540" s="23">
        <v>29.0</v>
      </c>
      <c r="D1540" s="23">
        <v>14.0</v>
      </c>
      <c r="E1540" s="23" t="b">
        <v>1</v>
      </c>
      <c r="F1540" s="25"/>
      <c r="G1540" s="20" t="s">
        <v>46</v>
      </c>
    </row>
    <row r="1541" ht="22.5" hidden="1" customHeight="1">
      <c r="A1541" s="23">
        <v>1653.0</v>
      </c>
      <c r="B1541" s="23">
        <v>117.0</v>
      </c>
      <c r="C1541" s="23">
        <v>22.0</v>
      </c>
      <c r="D1541" s="23">
        <v>15.0</v>
      </c>
      <c r="E1541" s="23" t="b">
        <v>1</v>
      </c>
      <c r="F1541" s="25"/>
      <c r="G1541" s="20" t="s">
        <v>46</v>
      </c>
    </row>
    <row r="1542" ht="22.5" hidden="1" customHeight="1">
      <c r="A1542" s="23">
        <v>1654.0</v>
      </c>
      <c r="B1542" s="23">
        <v>117.0</v>
      </c>
      <c r="C1542" s="23">
        <v>22.0</v>
      </c>
      <c r="D1542" s="23">
        <v>16.0</v>
      </c>
      <c r="E1542" s="23" t="b">
        <v>1</v>
      </c>
      <c r="F1542" s="25"/>
      <c r="G1542" s="20" t="s">
        <v>46</v>
      </c>
    </row>
    <row r="1543" ht="22.5" hidden="1" customHeight="1">
      <c r="A1543" s="23">
        <v>1655.0</v>
      </c>
      <c r="B1543" s="23">
        <v>118.0</v>
      </c>
      <c r="C1543" s="23">
        <v>28.0</v>
      </c>
      <c r="D1543" s="23">
        <v>1.0</v>
      </c>
      <c r="E1543" s="23" t="b">
        <v>1</v>
      </c>
      <c r="F1543" s="25"/>
      <c r="G1543" s="20" t="s">
        <v>46</v>
      </c>
    </row>
    <row r="1544" ht="22.5" hidden="1" customHeight="1">
      <c r="A1544" s="23">
        <v>1656.0</v>
      </c>
      <c r="B1544" s="23">
        <v>118.0</v>
      </c>
      <c r="C1544" s="23">
        <v>29.0</v>
      </c>
      <c r="D1544" s="23">
        <v>1.0</v>
      </c>
      <c r="E1544" s="23" t="b">
        <v>0</v>
      </c>
      <c r="F1544" s="25"/>
      <c r="G1544" s="20" t="s">
        <v>46</v>
      </c>
    </row>
    <row r="1545" ht="22.5" hidden="1" customHeight="1">
      <c r="A1545" s="23">
        <v>1657.0</v>
      </c>
      <c r="B1545" s="23">
        <v>118.0</v>
      </c>
      <c r="C1545" s="23">
        <v>28.0</v>
      </c>
      <c r="D1545" s="23">
        <v>2.0</v>
      </c>
      <c r="E1545" s="23" t="b">
        <v>1</v>
      </c>
      <c r="F1545" s="25"/>
      <c r="G1545" s="20" t="s">
        <v>46</v>
      </c>
    </row>
    <row r="1546" ht="22.5" hidden="1" customHeight="1">
      <c r="A1546" s="23">
        <v>1658.0</v>
      </c>
      <c r="B1546" s="23">
        <v>118.0</v>
      </c>
      <c r="C1546" s="23">
        <v>29.0</v>
      </c>
      <c r="D1546" s="23">
        <v>2.0</v>
      </c>
      <c r="E1546" s="23" t="b">
        <v>0</v>
      </c>
      <c r="F1546" s="25"/>
      <c r="G1546" s="20" t="s">
        <v>46</v>
      </c>
    </row>
    <row r="1547" ht="22.5" hidden="1" customHeight="1">
      <c r="A1547" s="23">
        <v>1659.0</v>
      </c>
      <c r="B1547" s="23">
        <v>118.0</v>
      </c>
      <c r="C1547" s="23">
        <v>28.0</v>
      </c>
      <c r="D1547" s="23">
        <v>3.0</v>
      </c>
      <c r="E1547" s="23" t="b">
        <v>1</v>
      </c>
      <c r="F1547" s="25"/>
      <c r="G1547" s="20" t="s">
        <v>46</v>
      </c>
    </row>
    <row r="1548" ht="22.5" hidden="1" customHeight="1">
      <c r="A1548" s="23">
        <v>1660.0</v>
      </c>
      <c r="B1548" s="23">
        <v>118.0</v>
      </c>
      <c r="C1548" s="23">
        <v>29.0</v>
      </c>
      <c r="D1548" s="23">
        <v>3.0</v>
      </c>
      <c r="E1548" s="23" t="b">
        <v>0</v>
      </c>
      <c r="F1548" s="25"/>
      <c r="G1548" s="20" t="s">
        <v>46</v>
      </c>
    </row>
    <row r="1549" ht="22.5" hidden="1" customHeight="1">
      <c r="A1549" s="23">
        <v>1661.0</v>
      </c>
      <c r="B1549" s="23">
        <v>118.0</v>
      </c>
      <c r="C1549" s="23">
        <v>28.0</v>
      </c>
      <c r="D1549" s="23">
        <v>4.0</v>
      </c>
      <c r="E1549" s="23" t="b">
        <v>1</v>
      </c>
      <c r="F1549" s="25"/>
      <c r="G1549" s="20" t="s">
        <v>46</v>
      </c>
    </row>
    <row r="1550" ht="22.5" hidden="1" customHeight="1">
      <c r="A1550" s="23">
        <v>1662.0</v>
      </c>
      <c r="B1550" s="23">
        <v>118.0</v>
      </c>
      <c r="C1550" s="23">
        <v>29.0</v>
      </c>
      <c r="D1550" s="23">
        <v>4.0</v>
      </c>
      <c r="E1550" s="23" t="b">
        <v>0</v>
      </c>
      <c r="F1550" s="25"/>
      <c r="G1550" s="20" t="s">
        <v>46</v>
      </c>
    </row>
    <row r="1551" ht="22.5" hidden="1" customHeight="1">
      <c r="A1551" s="23">
        <v>1663.0</v>
      </c>
      <c r="B1551" s="23">
        <v>118.0</v>
      </c>
      <c r="C1551" s="23">
        <v>28.0</v>
      </c>
      <c r="D1551" s="23">
        <v>5.0</v>
      </c>
      <c r="E1551" s="23" t="b">
        <v>1</v>
      </c>
      <c r="F1551" s="25"/>
      <c r="G1551" s="20" t="s">
        <v>46</v>
      </c>
    </row>
    <row r="1552" ht="22.5" hidden="1" customHeight="1">
      <c r="A1552" s="23">
        <v>1664.0</v>
      </c>
      <c r="B1552" s="23">
        <v>118.0</v>
      </c>
      <c r="C1552" s="23">
        <v>29.0</v>
      </c>
      <c r="D1552" s="23">
        <v>5.0</v>
      </c>
      <c r="E1552" s="23" t="b">
        <v>0</v>
      </c>
      <c r="F1552" s="25"/>
      <c r="G1552" s="20" t="s">
        <v>46</v>
      </c>
    </row>
    <row r="1553" ht="22.5" hidden="1" customHeight="1">
      <c r="A1553" s="23">
        <v>1665.0</v>
      </c>
      <c r="B1553" s="23">
        <v>118.0</v>
      </c>
      <c r="C1553" s="23">
        <v>28.0</v>
      </c>
      <c r="D1553" s="23">
        <v>6.0</v>
      </c>
      <c r="E1553" s="23" t="b">
        <v>1</v>
      </c>
      <c r="F1553" s="25"/>
      <c r="G1553" s="20" t="s">
        <v>46</v>
      </c>
    </row>
    <row r="1554" ht="22.5" hidden="1" customHeight="1">
      <c r="A1554" s="23">
        <v>1666.0</v>
      </c>
      <c r="B1554" s="23">
        <v>118.0</v>
      </c>
      <c r="C1554" s="23">
        <v>29.0</v>
      </c>
      <c r="D1554" s="23">
        <v>6.0</v>
      </c>
      <c r="E1554" s="23" t="b">
        <v>0</v>
      </c>
      <c r="F1554" s="25"/>
      <c r="G1554" s="20" t="s">
        <v>46</v>
      </c>
    </row>
    <row r="1555" ht="22.5" hidden="1" customHeight="1">
      <c r="A1555" s="23">
        <v>1667.0</v>
      </c>
      <c r="B1555" s="23">
        <v>118.0</v>
      </c>
      <c r="C1555" s="23">
        <v>28.0</v>
      </c>
      <c r="D1555" s="23">
        <v>7.0</v>
      </c>
      <c r="E1555" s="23" t="b">
        <v>1</v>
      </c>
      <c r="F1555" s="25"/>
      <c r="G1555" s="20" t="s">
        <v>46</v>
      </c>
    </row>
    <row r="1556" ht="22.5" hidden="1" customHeight="1">
      <c r="A1556" s="23">
        <v>1668.0</v>
      </c>
      <c r="B1556" s="23">
        <v>118.0</v>
      </c>
      <c r="C1556" s="23">
        <v>29.0</v>
      </c>
      <c r="D1556" s="23">
        <v>7.0</v>
      </c>
      <c r="E1556" s="23" t="b">
        <v>0</v>
      </c>
      <c r="F1556" s="25"/>
      <c r="G1556" s="20" t="s">
        <v>46</v>
      </c>
    </row>
    <row r="1557" ht="22.5" hidden="1" customHeight="1">
      <c r="A1557" s="23">
        <v>1669.0</v>
      </c>
      <c r="B1557" s="23">
        <v>118.0</v>
      </c>
      <c r="C1557" s="23">
        <v>28.0</v>
      </c>
      <c r="D1557" s="23">
        <v>8.0</v>
      </c>
      <c r="E1557" s="23" t="b">
        <v>1</v>
      </c>
      <c r="F1557" s="25"/>
      <c r="G1557" s="20" t="s">
        <v>46</v>
      </c>
    </row>
    <row r="1558" ht="22.5" hidden="1" customHeight="1">
      <c r="A1558" s="23">
        <v>1670.0</v>
      </c>
      <c r="B1558" s="23">
        <v>118.0</v>
      </c>
      <c r="C1558" s="23">
        <v>29.0</v>
      </c>
      <c r="D1558" s="23">
        <v>8.0</v>
      </c>
      <c r="E1558" s="23" t="b">
        <v>0</v>
      </c>
      <c r="F1558" s="25"/>
      <c r="G1558" s="20" t="s">
        <v>46</v>
      </c>
    </row>
    <row r="1559" ht="22.5" hidden="1" customHeight="1">
      <c r="A1559" s="23">
        <v>1671.0</v>
      </c>
      <c r="B1559" s="23">
        <v>118.0</v>
      </c>
      <c r="C1559" s="23">
        <v>28.0</v>
      </c>
      <c r="D1559" s="23">
        <v>9.0</v>
      </c>
      <c r="E1559" s="23" t="b">
        <v>1</v>
      </c>
      <c r="F1559" s="25"/>
      <c r="G1559" s="20" t="s">
        <v>46</v>
      </c>
    </row>
    <row r="1560" ht="22.5" hidden="1" customHeight="1">
      <c r="A1560" s="23">
        <v>1672.0</v>
      </c>
      <c r="B1560" s="23">
        <v>118.0</v>
      </c>
      <c r="C1560" s="23">
        <v>29.0</v>
      </c>
      <c r="D1560" s="23">
        <v>9.0</v>
      </c>
      <c r="E1560" s="23" t="b">
        <v>0</v>
      </c>
      <c r="F1560" s="25"/>
      <c r="G1560" s="20" t="s">
        <v>46</v>
      </c>
    </row>
    <row r="1561" ht="22.5" hidden="1" customHeight="1">
      <c r="A1561" s="23">
        <v>1673.0</v>
      </c>
      <c r="B1561" s="23">
        <v>118.0</v>
      </c>
      <c r="C1561" s="23">
        <v>28.0</v>
      </c>
      <c r="D1561" s="23">
        <v>11.0</v>
      </c>
      <c r="E1561" s="23" t="b">
        <v>1</v>
      </c>
      <c r="F1561" s="25"/>
      <c r="G1561" s="20" t="s">
        <v>46</v>
      </c>
    </row>
    <row r="1562" ht="22.5" hidden="1" customHeight="1">
      <c r="A1562" s="23">
        <v>1674.0</v>
      </c>
      <c r="B1562" s="23">
        <v>118.0</v>
      </c>
      <c r="C1562" s="23">
        <v>29.0</v>
      </c>
      <c r="D1562" s="23">
        <v>11.0</v>
      </c>
      <c r="E1562" s="23" t="b">
        <v>0</v>
      </c>
      <c r="F1562" s="25"/>
      <c r="G1562" s="20" t="s">
        <v>46</v>
      </c>
    </row>
    <row r="1563" ht="22.5" hidden="1" customHeight="1">
      <c r="A1563" s="23">
        <v>1675.0</v>
      </c>
      <c r="B1563" s="23">
        <v>118.0</v>
      </c>
      <c r="C1563" s="23">
        <v>28.0</v>
      </c>
      <c r="D1563" s="23">
        <v>12.0</v>
      </c>
      <c r="E1563" s="23" t="b">
        <v>1</v>
      </c>
      <c r="F1563" s="25"/>
      <c r="G1563" s="20" t="s">
        <v>46</v>
      </c>
    </row>
    <row r="1564" ht="22.5" hidden="1" customHeight="1">
      <c r="A1564" s="23">
        <v>1676.0</v>
      </c>
      <c r="B1564" s="23">
        <v>118.0</v>
      </c>
      <c r="C1564" s="23">
        <v>29.0</v>
      </c>
      <c r="D1564" s="23">
        <v>12.0</v>
      </c>
      <c r="E1564" s="23" t="b">
        <v>0</v>
      </c>
      <c r="F1564" s="25"/>
      <c r="G1564" s="20" t="s">
        <v>46</v>
      </c>
    </row>
    <row r="1565" ht="22.5" hidden="1" customHeight="1">
      <c r="A1565" s="23">
        <v>1677.0</v>
      </c>
      <c r="B1565" s="23">
        <v>118.0</v>
      </c>
      <c r="C1565" s="23">
        <v>28.0</v>
      </c>
      <c r="D1565" s="23">
        <v>13.0</v>
      </c>
      <c r="E1565" s="23" t="b">
        <v>1</v>
      </c>
      <c r="F1565" s="25"/>
      <c r="G1565" s="20" t="s">
        <v>46</v>
      </c>
    </row>
    <row r="1566" ht="22.5" hidden="1" customHeight="1">
      <c r="A1566" s="23">
        <v>1678.0</v>
      </c>
      <c r="B1566" s="23">
        <v>118.0</v>
      </c>
      <c r="C1566" s="23">
        <v>29.0</v>
      </c>
      <c r="D1566" s="23">
        <v>13.0</v>
      </c>
      <c r="E1566" s="23" t="b">
        <v>0</v>
      </c>
      <c r="F1566" s="25"/>
      <c r="G1566" s="20" t="s">
        <v>46</v>
      </c>
    </row>
    <row r="1567" ht="22.5" hidden="1" customHeight="1">
      <c r="A1567" s="23">
        <v>1679.0</v>
      </c>
      <c r="B1567" s="23">
        <v>118.0</v>
      </c>
      <c r="C1567" s="23">
        <v>28.0</v>
      </c>
      <c r="D1567" s="23">
        <v>14.0</v>
      </c>
      <c r="E1567" s="23" t="b">
        <v>1</v>
      </c>
      <c r="F1567" s="25"/>
      <c r="G1567" s="20" t="s">
        <v>46</v>
      </c>
    </row>
    <row r="1568" ht="22.5" hidden="1" customHeight="1">
      <c r="A1568" s="23">
        <v>1680.0</v>
      </c>
      <c r="B1568" s="23">
        <v>118.0</v>
      </c>
      <c r="C1568" s="23">
        <v>29.0</v>
      </c>
      <c r="D1568" s="23">
        <v>14.0</v>
      </c>
      <c r="E1568" s="23" t="b">
        <v>0</v>
      </c>
      <c r="F1568" s="25"/>
      <c r="G1568" s="20" t="s">
        <v>46</v>
      </c>
    </row>
    <row r="1569" ht="22.5" hidden="1" customHeight="1">
      <c r="A1569" s="23">
        <v>1681.0</v>
      </c>
      <c r="B1569" s="23">
        <v>118.0</v>
      </c>
      <c r="C1569" s="23">
        <v>28.0</v>
      </c>
      <c r="D1569" s="23">
        <v>15.0</v>
      </c>
      <c r="E1569" s="23" t="b">
        <v>1</v>
      </c>
      <c r="F1569" s="25"/>
      <c r="G1569" s="20" t="s">
        <v>46</v>
      </c>
    </row>
    <row r="1570" ht="22.5" hidden="1" customHeight="1">
      <c r="A1570" s="23">
        <v>1682.0</v>
      </c>
      <c r="B1570" s="23">
        <v>118.0</v>
      </c>
      <c r="C1570" s="23">
        <v>29.0</v>
      </c>
      <c r="D1570" s="23">
        <v>15.0</v>
      </c>
      <c r="E1570" s="23" t="b">
        <v>0</v>
      </c>
      <c r="F1570" s="25"/>
      <c r="G1570" s="20" t="s">
        <v>46</v>
      </c>
    </row>
    <row r="1571" ht="22.5" hidden="1" customHeight="1">
      <c r="A1571" s="23">
        <v>1683.0</v>
      </c>
      <c r="B1571" s="23">
        <v>118.0</v>
      </c>
      <c r="C1571" s="23">
        <v>28.0</v>
      </c>
      <c r="D1571" s="23">
        <v>16.0</v>
      </c>
      <c r="E1571" s="23" t="b">
        <v>1</v>
      </c>
      <c r="F1571" s="25"/>
      <c r="G1571" s="20" t="s">
        <v>46</v>
      </c>
    </row>
    <row r="1572" ht="22.5" hidden="1" customHeight="1">
      <c r="A1572" s="23">
        <v>1684.0</v>
      </c>
      <c r="B1572" s="23">
        <v>118.0</v>
      </c>
      <c r="C1572" s="23">
        <v>29.0</v>
      </c>
      <c r="D1572" s="23">
        <v>16.0</v>
      </c>
      <c r="E1572" s="23" t="b">
        <v>0</v>
      </c>
      <c r="F1572" s="25"/>
      <c r="G1572" s="20" t="s">
        <v>46</v>
      </c>
    </row>
    <row r="1573" ht="22.5" hidden="1" customHeight="1">
      <c r="A1573" s="23">
        <v>1685.0</v>
      </c>
      <c r="B1573" s="23">
        <v>118.0</v>
      </c>
      <c r="C1573" s="23">
        <v>28.0</v>
      </c>
      <c r="D1573" s="23">
        <v>17.0</v>
      </c>
      <c r="E1573" s="23" t="b">
        <v>1</v>
      </c>
      <c r="F1573" s="25"/>
      <c r="G1573" s="20" t="s">
        <v>46</v>
      </c>
    </row>
    <row r="1574" ht="22.5" hidden="1" customHeight="1">
      <c r="A1574" s="23">
        <v>1686.0</v>
      </c>
      <c r="B1574" s="23">
        <v>118.0</v>
      </c>
      <c r="C1574" s="23">
        <v>29.0</v>
      </c>
      <c r="D1574" s="23">
        <v>17.0</v>
      </c>
      <c r="E1574" s="23" t="b">
        <v>0</v>
      </c>
      <c r="F1574" s="25"/>
      <c r="G1574" s="20" t="s">
        <v>46</v>
      </c>
    </row>
    <row r="1575" ht="22.5" hidden="1" customHeight="1">
      <c r="A1575" s="23">
        <v>1687.0</v>
      </c>
      <c r="B1575" s="23">
        <v>118.0</v>
      </c>
      <c r="C1575" s="23">
        <v>28.0</v>
      </c>
      <c r="D1575" s="23">
        <v>18.0</v>
      </c>
      <c r="E1575" s="23" t="b">
        <v>1</v>
      </c>
      <c r="F1575" s="25"/>
      <c r="G1575" s="20" t="s">
        <v>46</v>
      </c>
    </row>
    <row r="1576" ht="22.5" hidden="1" customHeight="1">
      <c r="A1576" s="23">
        <v>1688.0</v>
      </c>
      <c r="B1576" s="23">
        <v>118.0</v>
      </c>
      <c r="C1576" s="23">
        <v>29.0</v>
      </c>
      <c r="D1576" s="23">
        <v>18.0</v>
      </c>
      <c r="E1576" s="23" t="b">
        <v>0</v>
      </c>
      <c r="F1576" s="25"/>
      <c r="G1576" s="20" t="s">
        <v>46</v>
      </c>
    </row>
    <row r="1577" ht="22.5" hidden="1" customHeight="1">
      <c r="A1577" s="23">
        <v>1689.0</v>
      </c>
      <c r="B1577" s="23">
        <v>118.0</v>
      </c>
      <c r="C1577" s="23">
        <v>28.0</v>
      </c>
      <c r="D1577" s="23">
        <v>19.0</v>
      </c>
      <c r="E1577" s="23" t="b">
        <v>1</v>
      </c>
      <c r="F1577" s="25"/>
      <c r="G1577" s="20" t="s">
        <v>46</v>
      </c>
    </row>
    <row r="1578" ht="22.5" hidden="1" customHeight="1">
      <c r="A1578" s="23">
        <v>1690.0</v>
      </c>
      <c r="B1578" s="23">
        <v>118.0</v>
      </c>
      <c r="C1578" s="23">
        <v>29.0</v>
      </c>
      <c r="D1578" s="23">
        <v>19.0</v>
      </c>
      <c r="E1578" s="23" t="b">
        <v>0</v>
      </c>
      <c r="F1578" s="25"/>
      <c r="G1578" s="20" t="s">
        <v>46</v>
      </c>
    </row>
    <row r="1579" ht="22.5" hidden="1" customHeight="1">
      <c r="A1579" s="23">
        <v>1691.0</v>
      </c>
      <c r="B1579" s="18">
        <v>119.0</v>
      </c>
      <c r="C1579" s="18">
        <v>33.0</v>
      </c>
      <c r="D1579" s="24">
        <v>1.0</v>
      </c>
      <c r="E1579" s="23" t="b">
        <v>1</v>
      </c>
      <c r="F1579" s="25"/>
      <c r="G1579" s="20" t="s">
        <v>46</v>
      </c>
    </row>
    <row r="1580" ht="22.5" hidden="1" customHeight="1">
      <c r="A1580" s="23">
        <v>1692.0</v>
      </c>
      <c r="B1580" s="18">
        <v>119.0</v>
      </c>
      <c r="C1580" s="18">
        <v>33.0</v>
      </c>
      <c r="D1580" s="24">
        <v>8.0</v>
      </c>
      <c r="E1580" s="23" t="b">
        <v>1</v>
      </c>
      <c r="F1580" s="25"/>
      <c r="G1580" s="20" t="s">
        <v>46</v>
      </c>
    </row>
    <row r="1581" ht="22.5" hidden="1" customHeight="1">
      <c r="A1581" s="23">
        <v>1693.0</v>
      </c>
      <c r="B1581" s="23">
        <v>29.0</v>
      </c>
      <c r="C1581" s="23">
        <v>22.0</v>
      </c>
      <c r="D1581" s="23">
        <v>13.0</v>
      </c>
      <c r="E1581" s="18" t="b">
        <v>1</v>
      </c>
      <c r="F1581" s="25"/>
      <c r="G1581" s="20" t="s">
        <v>46</v>
      </c>
    </row>
    <row r="1582" ht="22.5" hidden="1" customHeight="1">
      <c r="A1582" s="23">
        <v>1694.0</v>
      </c>
      <c r="B1582" s="23">
        <v>117.0</v>
      </c>
      <c r="C1582" s="23">
        <v>34.0</v>
      </c>
      <c r="D1582" s="23">
        <v>1.0</v>
      </c>
      <c r="E1582" s="23" t="b">
        <v>0</v>
      </c>
      <c r="F1582" s="25"/>
      <c r="G1582" s="20" t="s">
        <v>46</v>
      </c>
    </row>
    <row r="1583" ht="22.5" hidden="1" customHeight="1">
      <c r="A1583" s="23">
        <v>1695.0</v>
      </c>
      <c r="B1583" s="23">
        <v>117.0</v>
      </c>
      <c r="C1583" s="23">
        <v>34.0</v>
      </c>
      <c r="D1583" s="23">
        <v>2.0</v>
      </c>
      <c r="E1583" s="23" t="b">
        <v>0</v>
      </c>
      <c r="F1583" s="25"/>
      <c r="G1583" s="20" t="s">
        <v>46</v>
      </c>
    </row>
    <row r="1584" ht="22.5" hidden="1" customHeight="1">
      <c r="A1584" s="23">
        <v>1696.0</v>
      </c>
      <c r="B1584" s="23">
        <v>117.0</v>
      </c>
      <c r="C1584" s="23">
        <v>34.0</v>
      </c>
      <c r="D1584" s="23">
        <v>3.0</v>
      </c>
      <c r="E1584" s="23" t="b">
        <v>0</v>
      </c>
      <c r="F1584" s="25"/>
      <c r="G1584" s="20" t="s">
        <v>46</v>
      </c>
    </row>
    <row r="1585" ht="22.5" hidden="1" customHeight="1">
      <c r="A1585" s="23">
        <v>1697.0</v>
      </c>
      <c r="B1585" s="23">
        <v>117.0</v>
      </c>
      <c r="C1585" s="23">
        <v>34.0</v>
      </c>
      <c r="D1585" s="23">
        <v>6.0</v>
      </c>
      <c r="E1585" s="23" t="b">
        <v>0</v>
      </c>
      <c r="F1585" s="25"/>
      <c r="G1585" s="20" t="s">
        <v>46</v>
      </c>
    </row>
    <row r="1586" ht="22.5" hidden="1" customHeight="1">
      <c r="A1586" s="23">
        <v>1698.0</v>
      </c>
      <c r="B1586" s="23">
        <v>117.0</v>
      </c>
      <c r="C1586" s="23">
        <v>34.0</v>
      </c>
      <c r="D1586" s="23">
        <v>7.0</v>
      </c>
      <c r="E1586" s="23" t="b">
        <v>0</v>
      </c>
      <c r="F1586" s="25"/>
      <c r="G1586" s="20" t="s">
        <v>46</v>
      </c>
    </row>
    <row r="1587" ht="22.5" hidden="1" customHeight="1">
      <c r="A1587" s="23">
        <v>1699.0</v>
      </c>
      <c r="B1587" s="23">
        <v>117.0</v>
      </c>
      <c r="C1587" s="23">
        <v>34.0</v>
      </c>
      <c r="D1587" s="23">
        <v>8.0</v>
      </c>
      <c r="E1587" s="23" t="b">
        <v>0</v>
      </c>
      <c r="F1587" s="25"/>
      <c r="G1587" s="20" t="s">
        <v>46</v>
      </c>
    </row>
    <row r="1588" ht="22.5" hidden="1" customHeight="1">
      <c r="A1588" s="23">
        <v>1700.0</v>
      </c>
      <c r="B1588" s="23">
        <v>117.0</v>
      </c>
      <c r="C1588" s="23">
        <v>34.0</v>
      </c>
      <c r="D1588" s="23">
        <v>9.0</v>
      </c>
      <c r="E1588" s="23" t="b">
        <v>0</v>
      </c>
      <c r="F1588" s="25"/>
      <c r="G1588" s="20" t="s">
        <v>46</v>
      </c>
    </row>
    <row r="1589" ht="22.5" hidden="1" customHeight="1">
      <c r="A1589" s="23">
        <v>1701.0</v>
      </c>
      <c r="B1589" s="23">
        <v>117.0</v>
      </c>
      <c r="C1589" s="23">
        <v>34.0</v>
      </c>
      <c r="D1589" s="23">
        <v>11.0</v>
      </c>
      <c r="E1589" s="23" t="b">
        <v>0</v>
      </c>
      <c r="F1589" s="25"/>
      <c r="G1589" s="20" t="s">
        <v>46</v>
      </c>
    </row>
    <row r="1590" ht="22.5" hidden="1" customHeight="1">
      <c r="A1590" s="23">
        <v>1702.0</v>
      </c>
      <c r="B1590" s="23">
        <v>117.0</v>
      </c>
      <c r="C1590" s="23">
        <v>34.0</v>
      </c>
      <c r="D1590" s="23">
        <v>12.0</v>
      </c>
      <c r="E1590" s="23" t="b">
        <v>0</v>
      </c>
      <c r="F1590" s="25"/>
      <c r="G1590" s="20" t="s">
        <v>46</v>
      </c>
    </row>
    <row r="1591" ht="22.5" hidden="1" customHeight="1">
      <c r="A1591" s="23">
        <v>1703.0</v>
      </c>
      <c r="B1591" s="23">
        <v>117.0</v>
      </c>
      <c r="C1591" s="23">
        <v>34.0</v>
      </c>
      <c r="D1591" s="23">
        <v>13.0</v>
      </c>
      <c r="E1591" s="23" t="b">
        <v>0</v>
      </c>
      <c r="F1591" s="25"/>
      <c r="G1591" s="20" t="s">
        <v>46</v>
      </c>
    </row>
    <row r="1592" ht="22.5" hidden="1" customHeight="1">
      <c r="A1592" s="23">
        <v>1704.0</v>
      </c>
      <c r="B1592" s="23">
        <v>117.0</v>
      </c>
      <c r="C1592" s="23">
        <v>34.0</v>
      </c>
      <c r="D1592" s="23">
        <v>15.0</v>
      </c>
      <c r="E1592" s="23" t="b">
        <v>0</v>
      </c>
      <c r="F1592" s="25"/>
      <c r="G1592" s="20" t="s">
        <v>46</v>
      </c>
    </row>
    <row r="1593" ht="22.5" hidden="1" customHeight="1">
      <c r="A1593" s="23">
        <v>1705.0</v>
      </c>
      <c r="B1593" s="23">
        <v>117.0</v>
      </c>
      <c r="C1593" s="23">
        <v>34.0</v>
      </c>
      <c r="D1593" s="23">
        <v>16.0</v>
      </c>
      <c r="E1593" s="23" t="b">
        <v>0</v>
      </c>
      <c r="F1593" s="25"/>
      <c r="G1593" s="20" t="s">
        <v>46</v>
      </c>
    </row>
    <row r="1594">
      <c r="G1594" s="22"/>
    </row>
    <row r="1595">
      <c r="G1595" s="22"/>
    </row>
    <row r="1596">
      <c r="G1596" s="22"/>
    </row>
    <row r="1597">
      <c r="G1597" s="22"/>
    </row>
    <row r="1598">
      <c r="G1598" s="22"/>
    </row>
    <row r="1599">
      <c r="G1599" s="22"/>
    </row>
    <row r="1600">
      <c r="G1600" s="22"/>
    </row>
    <row r="1601">
      <c r="G1601" s="22"/>
    </row>
    <row r="1602">
      <c r="G1602" s="22"/>
    </row>
    <row r="1603">
      <c r="G1603" s="22"/>
    </row>
    <row r="1604">
      <c r="G1604" s="22"/>
    </row>
    <row r="1605">
      <c r="G1605" s="22"/>
    </row>
    <row r="1606">
      <c r="G1606" s="22"/>
    </row>
    <row r="1607">
      <c r="G1607" s="22"/>
    </row>
    <row r="1608">
      <c r="G1608" s="22"/>
    </row>
    <row r="1609">
      <c r="G1609" s="22"/>
    </row>
    <row r="1610">
      <c r="G1610" s="22"/>
    </row>
    <row r="1611">
      <c r="G1611" s="22"/>
    </row>
    <row r="1612">
      <c r="G1612" s="22"/>
    </row>
    <row r="1613">
      <c r="G1613" s="22"/>
    </row>
    <row r="1614">
      <c r="G1614" s="22"/>
    </row>
    <row r="1615">
      <c r="G1615" s="22"/>
    </row>
    <row r="1616">
      <c r="G1616" s="22"/>
    </row>
    <row r="1617">
      <c r="G1617" s="22"/>
    </row>
    <row r="1618">
      <c r="G1618" s="22"/>
    </row>
    <row r="1619">
      <c r="G1619" s="22"/>
    </row>
    <row r="1620">
      <c r="G1620" s="22"/>
    </row>
    <row r="1621">
      <c r="G1621" s="22"/>
    </row>
    <row r="1622">
      <c r="G1622" s="22"/>
    </row>
    <row r="1623">
      <c r="G1623" s="22"/>
    </row>
    <row r="1624">
      <c r="G1624" s="22"/>
    </row>
    <row r="1625">
      <c r="G1625" s="22"/>
    </row>
    <row r="1626">
      <c r="G1626" s="22"/>
    </row>
    <row r="1627">
      <c r="G1627" s="22"/>
    </row>
    <row r="1628">
      <c r="G1628" s="22"/>
    </row>
    <row r="1629">
      <c r="G1629" s="22"/>
    </row>
    <row r="1630">
      <c r="G1630" s="22"/>
    </row>
    <row r="1631">
      <c r="G1631" s="22"/>
    </row>
    <row r="1632">
      <c r="G1632" s="22"/>
    </row>
    <row r="1633">
      <c r="G1633" s="22"/>
    </row>
    <row r="1634">
      <c r="G1634" s="22"/>
    </row>
    <row r="1635">
      <c r="G1635" s="22"/>
    </row>
    <row r="1636">
      <c r="G1636" s="22"/>
    </row>
    <row r="1637">
      <c r="G1637" s="22"/>
    </row>
    <row r="1638">
      <c r="G1638" s="22"/>
    </row>
    <row r="1639">
      <c r="G1639" s="22"/>
    </row>
    <row r="1640">
      <c r="G1640" s="22"/>
    </row>
    <row r="1641">
      <c r="G1641" s="22"/>
    </row>
    <row r="1642">
      <c r="G1642" s="22"/>
    </row>
    <row r="1643">
      <c r="G1643" s="22"/>
    </row>
    <row r="1644">
      <c r="G1644" s="22"/>
    </row>
    <row r="1645">
      <c r="G1645" s="22"/>
    </row>
    <row r="1646">
      <c r="G1646" s="22"/>
    </row>
    <row r="1647">
      <c r="G1647" s="22"/>
    </row>
    <row r="1648">
      <c r="G1648" s="22"/>
    </row>
    <row r="1649">
      <c r="G1649" s="22"/>
    </row>
    <row r="1650">
      <c r="G1650" s="22"/>
    </row>
    <row r="1651">
      <c r="G1651" s="22"/>
    </row>
    <row r="1652">
      <c r="G1652" s="22"/>
    </row>
    <row r="1653">
      <c r="G1653" s="22"/>
    </row>
    <row r="1654">
      <c r="G1654" s="22"/>
    </row>
    <row r="1655">
      <c r="G1655" s="22"/>
    </row>
    <row r="1656">
      <c r="G1656" s="22"/>
    </row>
    <row r="1657">
      <c r="G1657" s="22"/>
    </row>
    <row r="1658">
      <c r="G1658" s="22"/>
    </row>
    <row r="1659">
      <c r="G1659" s="22"/>
    </row>
    <row r="1660">
      <c r="G1660" s="22"/>
    </row>
    <row r="1661">
      <c r="G1661" s="22"/>
    </row>
    <row r="1662">
      <c r="G1662" s="22"/>
    </row>
    <row r="1663">
      <c r="G1663" s="22"/>
    </row>
    <row r="1664">
      <c r="G1664" s="22"/>
    </row>
    <row r="1665">
      <c r="G1665" s="22"/>
    </row>
    <row r="1666">
      <c r="G1666" s="22"/>
    </row>
    <row r="1667">
      <c r="G1667" s="22"/>
    </row>
    <row r="1668">
      <c r="G1668" s="22"/>
    </row>
    <row r="1669">
      <c r="G1669" s="22"/>
    </row>
    <row r="1670">
      <c r="G1670" s="22"/>
    </row>
    <row r="1671">
      <c r="G1671" s="22"/>
    </row>
    <row r="1672">
      <c r="G1672" s="22"/>
    </row>
    <row r="1673">
      <c r="G1673" s="22"/>
    </row>
    <row r="1674">
      <c r="G1674" s="22"/>
    </row>
    <row r="1675">
      <c r="G1675" s="22"/>
    </row>
    <row r="1676">
      <c r="G1676" s="22"/>
    </row>
    <row r="1677">
      <c r="G1677" s="22"/>
    </row>
    <row r="1678">
      <c r="G1678" s="22"/>
    </row>
    <row r="1679">
      <c r="G1679" s="22"/>
    </row>
    <row r="1680">
      <c r="G1680" s="22"/>
    </row>
    <row r="1681">
      <c r="G1681" s="22"/>
    </row>
    <row r="1682">
      <c r="G1682" s="22"/>
    </row>
    <row r="1683">
      <c r="G1683" s="22"/>
    </row>
    <row r="1684">
      <c r="G1684" s="22"/>
    </row>
    <row r="1685">
      <c r="G1685" s="22"/>
    </row>
    <row r="1686">
      <c r="G1686" s="22"/>
    </row>
    <row r="1687">
      <c r="G1687" s="22"/>
    </row>
    <row r="1688">
      <c r="G1688" s="22"/>
    </row>
    <row r="1689">
      <c r="G1689" s="22"/>
    </row>
    <row r="1690">
      <c r="G1690" s="22"/>
    </row>
    <row r="1691">
      <c r="G1691" s="22"/>
    </row>
    <row r="1692">
      <c r="G1692" s="22"/>
    </row>
    <row r="1693">
      <c r="G1693" s="22"/>
    </row>
    <row r="1694">
      <c r="G1694" s="22"/>
    </row>
    <row r="1695">
      <c r="G1695" s="22"/>
    </row>
    <row r="1696">
      <c r="G1696" s="22"/>
    </row>
    <row r="1697">
      <c r="G1697" s="22"/>
    </row>
    <row r="1698">
      <c r="G1698" s="22"/>
    </row>
    <row r="1699">
      <c r="G1699" s="22"/>
    </row>
    <row r="1700">
      <c r="G1700" s="22"/>
    </row>
    <row r="1701">
      <c r="G1701" s="22"/>
    </row>
    <row r="1702">
      <c r="G1702" s="22"/>
    </row>
    <row r="1703">
      <c r="G1703" s="22"/>
    </row>
    <row r="1704">
      <c r="G1704" s="22"/>
    </row>
    <row r="1705">
      <c r="G1705" s="22"/>
    </row>
    <row r="1706">
      <c r="G1706" s="22"/>
    </row>
    <row r="1707">
      <c r="G1707" s="22"/>
    </row>
    <row r="1708">
      <c r="G1708" s="22"/>
    </row>
    <row r="1709">
      <c r="G1709" s="22"/>
    </row>
    <row r="1710">
      <c r="G1710" s="22"/>
    </row>
    <row r="1711">
      <c r="G1711" s="22"/>
    </row>
    <row r="1712">
      <c r="G1712" s="22"/>
    </row>
    <row r="1713">
      <c r="G1713" s="22"/>
    </row>
    <row r="1714">
      <c r="G1714" s="22"/>
    </row>
    <row r="1715">
      <c r="G1715" s="22"/>
    </row>
    <row r="1716">
      <c r="G1716" s="22"/>
    </row>
    <row r="1717">
      <c r="G1717" s="22"/>
    </row>
    <row r="1718">
      <c r="G1718" s="22"/>
    </row>
    <row r="1719">
      <c r="G1719" s="22"/>
    </row>
    <row r="1720">
      <c r="G1720" s="22"/>
    </row>
    <row r="1721">
      <c r="G1721" s="22"/>
    </row>
    <row r="1722">
      <c r="G1722" s="22"/>
    </row>
    <row r="1723">
      <c r="G1723" s="22"/>
    </row>
    <row r="1724">
      <c r="G1724" s="22"/>
    </row>
    <row r="1725">
      <c r="G1725" s="22"/>
    </row>
    <row r="1726">
      <c r="G1726" s="22"/>
    </row>
    <row r="1727">
      <c r="G1727" s="22"/>
    </row>
    <row r="1728">
      <c r="G1728" s="22"/>
    </row>
    <row r="1729">
      <c r="G1729" s="22"/>
    </row>
    <row r="1730">
      <c r="G1730" s="22"/>
    </row>
    <row r="1731">
      <c r="G1731" s="22"/>
    </row>
    <row r="1732">
      <c r="G1732" s="22"/>
    </row>
    <row r="1733">
      <c r="G1733" s="22"/>
    </row>
    <row r="1734">
      <c r="G1734" s="22"/>
    </row>
    <row r="1735">
      <c r="G1735" s="22"/>
    </row>
    <row r="1736">
      <c r="G1736" s="22"/>
    </row>
    <row r="1737">
      <c r="G1737" s="22"/>
    </row>
    <row r="1738">
      <c r="G1738" s="22"/>
    </row>
    <row r="1739">
      <c r="G1739" s="22"/>
    </row>
    <row r="1740">
      <c r="G1740" s="22"/>
    </row>
    <row r="1741">
      <c r="G1741" s="22"/>
    </row>
    <row r="1742">
      <c r="G1742" s="22"/>
    </row>
    <row r="1743">
      <c r="G1743" s="22"/>
    </row>
    <row r="1744">
      <c r="G1744" s="22"/>
    </row>
    <row r="1745">
      <c r="G1745" s="22"/>
    </row>
    <row r="1746">
      <c r="G1746" s="22"/>
    </row>
    <row r="1747">
      <c r="G1747" s="22"/>
    </row>
    <row r="1748">
      <c r="G1748" s="22"/>
    </row>
    <row r="1749">
      <c r="G1749" s="22"/>
    </row>
    <row r="1750">
      <c r="G1750" s="22"/>
    </row>
    <row r="1751">
      <c r="G1751" s="22"/>
    </row>
    <row r="1752">
      <c r="G1752" s="22"/>
    </row>
    <row r="1753">
      <c r="G1753" s="22"/>
    </row>
    <row r="1754">
      <c r="G1754" s="22"/>
    </row>
    <row r="1755">
      <c r="G1755" s="22"/>
    </row>
    <row r="1756">
      <c r="G1756" s="22"/>
    </row>
    <row r="1757">
      <c r="G1757" s="22"/>
    </row>
    <row r="1758">
      <c r="G1758" s="22"/>
    </row>
    <row r="1759">
      <c r="G1759" s="22"/>
    </row>
    <row r="1760">
      <c r="G1760" s="22"/>
    </row>
    <row r="1761">
      <c r="G1761" s="22"/>
    </row>
    <row r="1762">
      <c r="G1762" s="22"/>
    </row>
    <row r="1763">
      <c r="G1763" s="22"/>
    </row>
    <row r="1764">
      <c r="G1764" s="22"/>
    </row>
    <row r="1765">
      <c r="G1765" s="22"/>
    </row>
    <row r="1766">
      <c r="G1766" s="22"/>
    </row>
    <row r="1767">
      <c r="G1767" s="22"/>
    </row>
    <row r="1768">
      <c r="G1768" s="22"/>
    </row>
    <row r="1769">
      <c r="G1769" s="22"/>
    </row>
    <row r="1770">
      <c r="G1770" s="22"/>
    </row>
    <row r="1771">
      <c r="G1771" s="22"/>
    </row>
    <row r="1772">
      <c r="G1772" s="22"/>
    </row>
    <row r="1773">
      <c r="G1773" s="22"/>
    </row>
    <row r="1774">
      <c r="G1774" s="22"/>
    </row>
    <row r="1775">
      <c r="G1775" s="22"/>
    </row>
    <row r="1776">
      <c r="G1776" s="22"/>
    </row>
    <row r="1777">
      <c r="G1777" s="22"/>
    </row>
    <row r="1778">
      <c r="G1778" s="22"/>
    </row>
    <row r="1779">
      <c r="G1779" s="22"/>
    </row>
    <row r="1780">
      <c r="G1780" s="22"/>
    </row>
    <row r="1781">
      <c r="G1781" s="22"/>
    </row>
    <row r="1782">
      <c r="G1782" s="22"/>
    </row>
    <row r="1783">
      <c r="G1783" s="22"/>
    </row>
    <row r="1784">
      <c r="G1784" s="22"/>
    </row>
    <row r="1785">
      <c r="G1785" s="22"/>
    </row>
    <row r="1786">
      <c r="G1786" s="22"/>
    </row>
    <row r="1787">
      <c r="G1787" s="22"/>
    </row>
    <row r="1788">
      <c r="G1788" s="22"/>
    </row>
    <row r="1789">
      <c r="G1789" s="22"/>
    </row>
    <row r="1790">
      <c r="G1790" s="22"/>
    </row>
    <row r="1791">
      <c r="G1791" s="22"/>
    </row>
    <row r="1792">
      <c r="G1792" s="22"/>
    </row>
    <row r="1793">
      <c r="G1793" s="22"/>
    </row>
    <row r="1794">
      <c r="G1794" s="22"/>
    </row>
    <row r="1795">
      <c r="G1795" s="22"/>
    </row>
    <row r="1796">
      <c r="G1796" s="22"/>
    </row>
    <row r="1797">
      <c r="G1797" s="22"/>
    </row>
    <row r="1798">
      <c r="G1798" s="22"/>
    </row>
    <row r="1799">
      <c r="G1799" s="22"/>
    </row>
    <row r="1800">
      <c r="G1800" s="22"/>
    </row>
    <row r="1801">
      <c r="G1801" s="22"/>
    </row>
    <row r="1802">
      <c r="G1802" s="22"/>
    </row>
    <row r="1803">
      <c r="G1803" s="22"/>
    </row>
    <row r="1804">
      <c r="G1804" s="22"/>
    </row>
    <row r="1805">
      <c r="G1805" s="22"/>
    </row>
    <row r="1806">
      <c r="G1806" s="22"/>
    </row>
  </sheetData>
  <conditionalFormatting sqref="A2:A1806 C847:C849 C1436:C1438 C1510:C1521 B1525:B1529 C1579:C1580">
    <cfRule type="expression" dxfId="5" priority="1">
      <formula>AND($A2&lt;&gt;"",COUNTIF($A:$A,$A2)&gt;1)</formula>
    </cfRule>
  </conditionalFormatting>
  <conditionalFormatting sqref="B2:D1806">
    <cfRule type="expression" dxfId="6" priority="2">
      <formula>AND($B2&lt;&gt;"",$C2&lt;&gt;"",$D2&lt;&gt;"",COUNTIFS($B:$B,$B2,$C:$C,$C2,$D:$D,$D2)&gt;1)</formula>
    </cfRule>
  </conditionalFormatting>
  <conditionalFormatting sqref="E2:E1806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1" t="s">
        <v>1499</v>
      </c>
      <c r="B1" s="21" t="s">
        <v>70</v>
      </c>
      <c r="C1" s="21" t="s">
        <v>20</v>
      </c>
      <c r="D1" s="21" t="s">
        <v>1500</v>
      </c>
      <c r="E1" s="21" t="s">
        <v>30</v>
      </c>
      <c r="F1" s="21" t="s">
        <v>305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8" t="s">
        <v>46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8" t="s">
        <v>46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8" t="s">
        <v>46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8" t="s">
        <v>46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8" t="s">
        <v>46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8" t="s">
        <v>46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8" t="s">
        <v>46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8" t="s">
        <v>46</v>
      </c>
    </row>
    <row r="10" ht="22.5" customHeight="1">
      <c r="A10" s="18">
        <v>10.0</v>
      </c>
      <c r="B10" s="18">
        <v>10.0</v>
      </c>
      <c r="C10" s="18">
        <v>9.0</v>
      </c>
      <c r="D10" s="18" t="b">
        <v>1</v>
      </c>
      <c r="E10" s="8" t="s">
        <v>46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8" t="s">
        <v>46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8" t="s">
        <v>46</v>
      </c>
    </row>
    <row r="13" ht="22.5" customHeight="1">
      <c r="A13" s="18">
        <v>13.0</v>
      </c>
      <c r="B13" s="18">
        <v>13.0</v>
      </c>
      <c r="C13" s="18">
        <v>19.0</v>
      </c>
      <c r="D13" s="18" t="b">
        <v>1</v>
      </c>
      <c r="E13" s="8" t="s">
        <v>46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8" t="s">
        <v>46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8" t="s">
        <v>46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8" t="s">
        <v>46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8" t="s">
        <v>46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8" t="s">
        <v>46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8" t="s">
        <v>46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8" t="s">
        <v>46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8" t="s">
        <v>88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8" t="s">
        <v>46</v>
      </c>
    </row>
    <row r="23" ht="22.5" customHeight="1">
      <c r="A23" s="18">
        <v>23.0</v>
      </c>
      <c r="B23" s="18">
        <v>23.0</v>
      </c>
      <c r="C23" s="18">
        <v>16.0</v>
      </c>
      <c r="D23" s="18" t="b">
        <v>1</v>
      </c>
      <c r="E23" s="8" t="s">
        <v>46</v>
      </c>
    </row>
    <row r="24" ht="22.5" customHeight="1">
      <c r="A24" s="18">
        <v>25.0</v>
      </c>
      <c r="B24" s="18">
        <v>25.0</v>
      </c>
      <c r="C24" s="18">
        <v>4.0</v>
      </c>
      <c r="D24" s="18" t="b">
        <v>1</v>
      </c>
      <c r="E24" s="8" t="s">
        <v>46</v>
      </c>
    </row>
    <row r="25" ht="22.5" customHeight="1">
      <c r="A25" s="18">
        <v>26.0</v>
      </c>
      <c r="B25" s="18">
        <v>26.0</v>
      </c>
      <c r="C25" s="18">
        <v>17.0</v>
      </c>
      <c r="D25" s="18" t="b">
        <v>1</v>
      </c>
      <c r="E25" s="8" t="s">
        <v>46</v>
      </c>
    </row>
    <row r="26" ht="22.5" customHeight="1">
      <c r="A26" s="18">
        <v>27.0</v>
      </c>
      <c r="B26" s="18">
        <v>27.0</v>
      </c>
      <c r="C26" s="18">
        <v>15.0</v>
      </c>
      <c r="D26" s="18" t="b">
        <v>1</v>
      </c>
      <c r="E26" s="8" t="s">
        <v>46</v>
      </c>
    </row>
    <row r="27" ht="22.5" customHeight="1">
      <c r="A27" s="18">
        <v>28.0</v>
      </c>
      <c r="B27" s="18">
        <v>28.0</v>
      </c>
      <c r="C27" s="18">
        <v>8.0</v>
      </c>
      <c r="D27" s="18" t="b">
        <v>1</v>
      </c>
      <c r="E27" s="8" t="s">
        <v>46</v>
      </c>
    </row>
    <row r="28" ht="22.5" customHeight="1">
      <c r="A28" s="18">
        <v>29.0</v>
      </c>
      <c r="B28" s="18">
        <v>29.0</v>
      </c>
      <c r="C28" s="18">
        <v>18.0</v>
      </c>
      <c r="D28" s="18" t="b">
        <v>1</v>
      </c>
      <c r="E28" s="8" t="s">
        <v>46</v>
      </c>
    </row>
    <row r="29" ht="22.5" customHeight="1">
      <c r="A29" s="18">
        <v>30.0</v>
      </c>
      <c r="B29" s="18">
        <v>30.0</v>
      </c>
      <c r="C29" s="18">
        <v>5.0</v>
      </c>
      <c r="D29" s="18" t="b">
        <v>1</v>
      </c>
      <c r="E29" s="8" t="s">
        <v>46</v>
      </c>
    </row>
    <row r="30" ht="22.5" customHeight="1">
      <c r="A30" s="18">
        <v>31.0</v>
      </c>
      <c r="B30" s="18">
        <v>31.0</v>
      </c>
      <c r="C30" s="18">
        <v>15.0</v>
      </c>
      <c r="D30" s="18" t="b">
        <v>1</v>
      </c>
      <c r="E30" s="8" t="s">
        <v>46</v>
      </c>
    </row>
    <row r="31" ht="22.5" customHeight="1">
      <c r="A31" s="18">
        <v>32.0</v>
      </c>
      <c r="B31" s="18">
        <v>32.0</v>
      </c>
      <c r="C31" s="18">
        <v>14.0</v>
      </c>
      <c r="D31" s="18" t="b">
        <v>1</v>
      </c>
      <c r="E31" s="8" t="s">
        <v>46</v>
      </c>
    </row>
    <row r="32" ht="22.5" customHeight="1">
      <c r="A32" s="18">
        <v>33.0</v>
      </c>
      <c r="B32" s="18">
        <v>33.0</v>
      </c>
      <c r="C32" s="18">
        <v>14.0</v>
      </c>
      <c r="D32" s="18" t="b">
        <v>1</v>
      </c>
      <c r="E32" s="8" t="s">
        <v>46</v>
      </c>
    </row>
    <row r="33" ht="22.5" customHeight="1">
      <c r="A33" s="18">
        <v>34.0</v>
      </c>
      <c r="B33" s="18">
        <v>34.0</v>
      </c>
      <c r="C33" s="18">
        <v>5.0</v>
      </c>
      <c r="D33" s="18" t="b">
        <v>1</v>
      </c>
      <c r="E33" s="8" t="s">
        <v>46</v>
      </c>
    </row>
    <row r="34" ht="22.5" customHeight="1">
      <c r="A34" s="18">
        <v>35.0</v>
      </c>
      <c r="B34" s="18">
        <v>35.0</v>
      </c>
      <c r="C34" s="18">
        <v>7.0</v>
      </c>
      <c r="D34" s="18" t="b">
        <v>1</v>
      </c>
      <c r="E34" s="8" t="s">
        <v>46</v>
      </c>
    </row>
    <row r="35" ht="22.5" customHeight="1">
      <c r="A35" s="18">
        <v>36.0</v>
      </c>
      <c r="B35" s="18">
        <v>36.0</v>
      </c>
      <c r="C35" s="18">
        <v>3.0</v>
      </c>
      <c r="D35" s="18" t="b">
        <v>1</v>
      </c>
      <c r="E35" s="8" t="s">
        <v>46</v>
      </c>
    </row>
    <row r="36" ht="22.5" customHeight="1">
      <c r="A36" s="18">
        <v>37.0</v>
      </c>
      <c r="B36" s="18">
        <v>37.0</v>
      </c>
      <c r="C36" s="18">
        <v>3.0</v>
      </c>
      <c r="D36" s="18" t="b">
        <v>1</v>
      </c>
      <c r="E36" s="8" t="s">
        <v>46</v>
      </c>
    </row>
    <row r="37" ht="22.5" customHeight="1">
      <c r="A37" s="23">
        <v>40.0</v>
      </c>
      <c r="B37" s="23">
        <v>34.0</v>
      </c>
      <c r="C37" s="23">
        <v>1.0</v>
      </c>
      <c r="D37" s="23" t="b">
        <v>0</v>
      </c>
      <c r="E37" s="8" t="s">
        <v>46</v>
      </c>
      <c r="F37" s="25"/>
    </row>
    <row r="38" ht="22.5" customHeight="1">
      <c r="A38" s="23">
        <v>41.0</v>
      </c>
      <c r="B38" s="23">
        <v>34.0</v>
      </c>
      <c r="C38" s="23">
        <v>2.0</v>
      </c>
      <c r="D38" s="23" t="b">
        <v>0</v>
      </c>
      <c r="E38" s="8" t="s">
        <v>46</v>
      </c>
      <c r="F38" s="25"/>
    </row>
    <row r="39" ht="22.5" customHeight="1">
      <c r="A39" s="23">
        <v>42.0</v>
      </c>
      <c r="B39" s="23">
        <v>3.0</v>
      </c>
      <c r="C39" s="23">
        <v>8.0</v>
      </c>
      <c r="D39" s="18" t="b">
        <v>1</v>
      </c>
      <c r="E39" s="8" t="s">
        <v>46</v>
      </c>
      <c r="F39" s="25"/>
    </row>
    <row r="40" ht="22.5" customHeight="1">
      <c r="A40" s="23">
        <v>43.0</v>
      </c>
      <c r="B40" s="23">
        <v>4.0</v>
      </c>
      <c r="C40" s="23">
        <v>1.0</v>
      </c>
      <c r="D40" s="18" t="b">
        <v>1</v>
      </c>
      <c r="E40" s="8" t="s">
        <v>46</v>
      </c>
      <c r="F40" s="25"/>
    </row>
    <row r="41" ht="22.5" customHeight="1">
      <c r="A41" s="23">
        <v>44.0</v>
      </c>
      <c r="B41" s="23">
        <v>6.0</v>
      </c>
      <c r="C41" s="23">
        <v>15.0</v>
      </c>
      <c r="D41" s="18" t="b">
        <v>1</v>
      </c>
      <c r="E41" s="8" t="s">
        <v>46</v>
      </c>
      <c r="F41" s="25"/>
    </row>
    <row r="42" ht="22.5" customHeight="1">
      <c r="A42" s="23">
        <v>45.0</v>
      </c>
      <c r="B42" s="18">
        <v>7.0</v>
      </c>
      <c r="C42" s="23">
        <v>5.0</v>
      </c>
      <c r="D42" s="18" t="b">
        <v>1</v>
      </c>
      <c r="E42" s="8" t="s">
        <v>46</v>
      </c>
      <c r="F42" s="25"/>
    </row>
    <row r="43" ht="22.5" customHeight="1">
      <c r="A43" s="23">
        <v>46.0</v>
      </c>
      <c r="B43" s="18">
        <v>7.0</v>
      </c>
      <c r="C43" s="23">
        <v>12.0</v>
      </c>
      <c r="D43" s="18" t="b">
        <v>1</v>
      </c>
      <c r="E43" s="8" t="s">
        <v>46</v>
      </c>
      <c r="F43" s="25"/>
    </row>
    <row r="44" ht="22.5" customHeight="1">
      <c r="A44" s="23">
        <v>47.0</v>
      </c>
      <c r="B44" s="18">
        <v>7.0</v>
      </c>
      <c r="C44" s="23">
        <v>1.0</v>
      </c>
      <c r="D44" s="18" t="b">
        <v>1</v>
      </c>
      <c r="E44" s="8" t="s">
        <v>46</v>
      </c>
      <c r="F44" s="25"/>
    </row>
    <row r="45" ht="22.5" customHeight="1">
      <c r="A45" s="23">
        <v>48.0</v>
      </c>
      <c r="B45" s="18">
        <v>7.0</v>
      </c>
      <c r="C45" s="23">
        <v>4.0</v>
      </c>
      <c r="D45" s="18" t="b">
        <v>1</v>
      </c>
      <c r="E45" s="8" t="s">
        <v>46</v>
      </c>
      <c r="F45" s="25"/>
    </row>
    <row r="46" ht="22.5" customHeight="1">
      <c r="A46" s="23">
        <v>49.0</v>
      </c>
      <c r="B46" s="18">
        <v>7.0</v>
      </c>
      <c r="C46" s="23">
        <v>7.0</v>
      </c>
      <c r="D46" s="18" t="b">
        <v>1</v>
      </c>
      <c r="E46" s="8" t="s">
        <v>46</v>
      </c>
      <c r="F46" s="25"/>
    </row>
    <row r="47" ht="22.5" customHeight="1">
      <c r="A47" s="23">
        <v>50.0</v>
      </c>
      <c r="B47" s="18">
        <v>7.0</v>
      </c>
      <c r="C47" s="23">
        <v>8.0</v>
      </c>
      <c r="D47" s="18" t="b">
        <v>1</v>
      </c>
      <c r="E47" s="8" t="s">
        <v>46</v>
      </c>
      <c r="F47" s="25"/>
    </row>
    <row r="48" ht="22.5" customHeight="1">
      <c r="A48" s="23">
        <v>51.0</v>
      </c>
      <c r="B48" s="18">
        <v>7.0</v>
      </c>
      <c r="C48" s="23">
        <v>6.0</v>
      </c>
      <c r="D48" s="18" t="b">
        <v>1</v>
      </c>
      <c r="E48" s="8" t="s">
        <v>46</v>
      </c>
      <c r="F48" s="25"/>
    </row>
    <row r="49" ht="22.5" customHeight="1">
      <c r="A49" s="23">
        <v>52.0</v>
      </c>
      <c r="B49" s="18">
        <v>8.0</v>
      </c>
      <c r="C49" s="23">
        <v>18.0</v>
      </c>
      <c r="D49" s="18" t="b">
        <v>1</v>
      </c>
      <c r="E49" s="8" t="s">
        <v>46</v>
      </c>
      <c r="F49" s="25"/>
    </row>
    <row r="50" ht="22.5" customHeight="1">
      <c r="A50" s="23">
        <v>53.0</v>
      </c>
      <c r="B50" s="18">
        <v>10.0</v>
      </c>
      <c r="C50" s="23">
        <v>18.0</v>
      </c>
      <c r="D50" s="18" t="b">
        <v>1</v>
      </c>
      <c r="E50" s="8" t="s">
        <v>46</v>
      </c>
      <c r="F50" s="25"/>
    </row>
    <row r="51" ht="22.5" customHeight="1">
      <c r="A51" s="23">
        <v>54.0</v>
      </c>
      <c r="B51" s="18">
        <v>10.0</v>
      </c>
      <c r="C51" s="23">
        <v>8.0</v>
      </c>
      <c r="D51" s="18" t="b">
        <v>1</v>
      </c>
      <c r="E51" s="8" t="s">
        <v>46</v>
      </c>
      <c r="F51" s="25"/>
    </row>
    <row r="52" ht="22.5" customHeight="1">
      <c r="A52" s="23">
        <v>55.0</v>
      </c>
      <c r="B52" s="18">
        <v>12.0</v>
      </c>
      <c r="C52" s="23">
        <v>16.0</v>
      </c>
      <c r="D52" s="18" t="b">
        <v>1</v>
      </c>
      <c r="E52" s="8" t="s">
        <v>46</v>
      </c>
      <c r="F52" s="25"/>
    </row>
    <row r="53" ht="22.5" customHeight="1">
      <c r="A53" s="23">
        <v>56.0</v>
      </c>
      <c r="B53" s="18">
        <v>12.0</v>
      </c>
      <c r="C53" s="23">
        <v>15.0</v>
      </c>
      <c r="D53" s="18" t="b">
        <v>1</v>
      </c>
      <c r="E53" s="8" t="s">
        <v>46</v>
      </c>
      <c r="F53" s="25"/>
    </row>
    <row r="54" ht="22.5" customHeight="1">
      <c r="A54" s="23">
        <v>57.0</v>
      </c>
      <c r="B54" s="18">
        <v>12.0</v>
      </c>
      <c r="C54" s="23">
        <v>9.0</v>
      </c>
      <c r="D54" s="18" t="b">
        <v>1</v>
      </c>
      <c r="E54" s="8" t="s">
        <v>46</v>
      </c>
      <c r="F54" s="25"/>
    </row>
    <row r="55" ht="22.5" customHeight="1">
      <c r="A55" s="23">
        <v>58.0</v>
      </c>
      <c r="B55" s="18">
        <v>12.0</v>
      </c>
      <c r="C55" s="23">
        <v>14.0</v>
      </c>
      <c r="D55" s="18" t="b">
        <v>1</v>
      </c>
      <c r="E55" s="8" t="s">
        <v>46</v>
      </c>
      <c r="F55" s="25"/>
    </row>
    <row r="56" ht="22.5" customHeight="1">
      <c r="A56" s="23">
        <v>59.0</v>
      </c>
      <c r="B56" s="18">
        <v>12.0</v>
      </c>
      <c r="C56" s="23">
        <v>4.0</v>
      </c>
      <c r="D56" s="18" t="b">
        <v>1</v>
      </c>
      <c r="E56" s="8" t="s">
        <v>46</v>
      </c>
      <c r="F56" s="25"/>
    </row>
    <row r="57" ht="22.5" customHeight="1">
      <c r="A57" s="23">
        <v>60.0</v>
      </c>
      <c r="B57" s="18">
        <v>12.0</v>
      </c>
      <c r="C57" s="23">
        <v>8.0</v>
      </c>
      <c r="D57" s="18" t="b">
        <v>1</v>
      </c>
      <c r="E57" s="8" t="s">
        <v>46</v>
      </c>
      <c r="F57" s="25"/>
    </row>
    <row r="58" ht="22.5" customHeight="1">
      <c r="A58" s="23">
        <v>61.0</v>
      </c>
      <c r="B58" s="18">
        <v>12.0</v>
      </c>
      <c r="C58" s="23">
        <v>5.0</v>
      </c>
      <c r="D58" s="18" t="b">
        <v>1</v>
      </c>
      <c r="E58" s="8" t="s">
        <v>46</v>
      </c>
      <c r="F58" s="25"/>
    </row>
    <row r="59" ht="22.5" customHeight="1">
      <c r="A59" s="23">
        <v>62.0</v>
      </c>
      <c r="B59" s="18">
        <v>14.0</v>
      </c>
      <c r="C59" s="23">
        <v>8.0</v>
      </c>
      <c r="D59" s="18" t="b">
        <v>1</v>
      </c>
      <c r="E59" s="8" t="s">
        <v>46</v>
      </c>
      <c r="F59" s="25"/>
    </row>
    <row r="60" ht="22.5" customHeight="1">
      <c r="A60" s="23">
        <v>63.0</v>
      </c>
      <c r="B60" s="18">
        <v>14.0</v>
      </c>
      <c r="C60" s="23">
        <v>9.0</v>
      </c>
      <c r="D60" s="18" t="b">
        <v>1</v>
      </c>
      <c r="E60" s="8" t="s">
        <v>46</v>
      </c>
      <c r="F60" s="25"/>
    </row>
    <row r="61" ht="22.5" customHeight="1">
      <c r="A61" s="23">
        <v>64.0</v>
      </c>
      <c r="B61" s="18">
        <v>14.0</v>
      </c>
      <c r="C61" s="23">
        <v>4.0</v>
      </c>
      <c r="D61" s="18" t="b">
        <v>1</v>
      </c>
      <c r="E61" s="8" t="s">
        <v>46</v>
      </c>
      <c r="F61" s="25"/>
    </row>
    <row r="62" ht="22.5" customHeight="1">
      <c r="A62" s="23">
        <v>65.0</v>
      </c>
      <c r="B62" s="18">
        <v>14.0</v>
      </c>
      <c r="C62" s="23">
        <v>7.0</v>
      </c>
      <c r="D62" s="18" t="b">
        <v>1</v>
      </c>
      <c r="E62" s="8" t="s">
        <v>46</v>
      </c>
      <c r="F62" s="25"/>
    </row>
    <row r="63" ht="22.5" customHeight="1">
      <c r="A63" s="23">
        <v>66.0</v>
      </c>
      <c r="B63" s="23">
        <v>15.0</v>
      </c>
      <c r="C63" s="23">
        <v>13.0</v>
      </c>
      <c r="D63" s="18" t="b">
        <v>1</v>
      </c>
      <c r="E63" s="8" t="s">
        <v>46</v>
      </c>
      <c r="F63" s="25"/>
    </row>
    <row r="64" ht="22.5" customHeight="1">
      <c r="A64" s="23">
        <v>67.0</v>
      </c>
      <c r="B64" s="23">
        <v>18.0</v>
      </c>
      <c r="C64" s="23">
        <v>11.0</v>
      </c>
      <c r="D64" s="18" t="b">
        <v>1</v>
      </c>
      <c r="E64" s="8" t="s">
        <v>46</v>
      </c>
      <c r="F64" s="25"/>
    </row>
    <row r="65" ht="22.5" customHeight="1">
      <c r="A65" s="23">
        <v>68.0</v>
      </c>
      <c r="B65" s="23">
        <v>19.0</v>
      </c>
      <c r="C65" s="23">
        <v>3.0</v>
      </c>
      <c r="D65" s="18" t="b">
        <v>1</v>
      </c>
      <c r="E65" s="8" t="s">
        <v>46</v>
      </c>
      <c r="F65" s="25"/>
    </row>
    <row r="66" ht="22.5" customHeight="1">
      <c r="A66" s="23">
        <v>69.0</v>
      </c>
      <c r="B66" s="23">
        <v>26.0</v>
      </c>
      <c r="C66" s="23">
        <v>18.0</v>
      </c>
      <c r="D66" s="18" t="b">
        <v>1</v>
      </c>
      <c r="E66" s="8" t="s">
        <v>46</v>
      </c>
      <c r="F66" s="25"/>
    </row>
    <row r="67" ht="22.5" customHeight="1">
      <c r="A67" s="23">
        <v>70.0</v>
      </c>
      <c r="B67" s="18">
        <v>27.0</v>
      </c>
      <c r="C67" s="23">
        <v>17.0</v>
      </c>
      <c r="D67" s="18" t="b">
        <v>1</v>
      </c>
      <c r="E67" s="8" t="s">
        <v>46</v>
      </c>
      <c r="F67" s="25"/>
    </row>
    <row r="68" ht="22.5" customHeight="1">
      <c r="A68" s="23">
        <v>71.0</v>
      </c>
      <c r="B68" s="18">
        <v>28.0</v>
      </c>
      <c r="C68" s="23">
        <v>7.0</v>
      </c>
      <c r="D68" s="18" t="b">
        <v>1</v>
      </c>
      <c r="E68" s="8" t="s">
        <v>46</v>
      </c>
      <c r="F68" s="25"/>
    </row>
    <row r="69" ht="22.5" customHeight="1">
      <c r="A69" s="23">
        <v>72.0</v>
      </c>
      <c r="B69" s="18">
        <v>28.0</v>
      </c>
      <c r="C69" s="23">
        <v>2.0</v>
      </c>
      <c r="D69" s="18" t="b">
        <v>1</v>
      </c>
      <c r="E69" s="8" t="s">
        <v>46</v>
      </c>
      <c r="F69" s="25"/>
    </row>
    <row r="70" ht="22.5" customHeight="1">
      <c r="A70" s="23">
        <v>73.0</v>
      </c>
      <c r="B70" s="18">
        <v>28.0</v>
      </c>
      <c r="C70" s="23">
        <v>6.0</v>
      </c>
      <c r="D70" s="18" t="b">
        <v>1</v>
      </c>
      <c r="E70" s="8" t="s">
        <v>46</v>
      </c>
      <c r="F70" s="25"/>
    </row>
    <row r="71" ht="22.5" customHeight="1">
      <c r="A71" s="23">
        <v>74.0</v>
      </c>
      <c r="B71" s="18">
        <v>28.0</v>
      </c>
      <c r="C71" s="23">
        <v>1.0</v>
      </c>
      <c r="D71" s="18" t="b">
        <v>1</v>
      </c>
      <c r="E71" s="8" t="s">
        <v>46</v>
      </c>
      <c r="F71" s="25"/>
    </row>
    <row r="72" ht="22.5" customHeight="1">
      <c r="A72" s="23">
        <v>75.0</v>
      </c>
      <c r="B72" s="18">
        <v>28.0</v>
      </c>
      <c r="C72" s="23">
        <v>9.0</v>
      </c>
      <c r="D72" s="18" t="b">
        <v>1</v>
      </c>
      <c r="E72" s="8" t="s">
        <v>46</v>
      </c>
      <c r="F72" s="25"/>
    </row>
    <row r="73" ht="22.5" customHeight="1">
      <c r="A73" s="23">
        <v>76.0</v>
      </c>
      <c r="B73" s="18">
        <v>28.0</v>
      </c>
      <c r="C73" s="23">
        <v>11.0</v>
      </c>
      <c r="D73" s="18" t="b">
        <v>1</v>
      </c>
      <c r="E73" s="8" t="s">
        <v>46</v>
      </c>
      <c r="F73" s="25"/>
    </row>
    <row r="74" ht="22.5" customHeight="1">
      <c r="A74" s="23">
        <v>77.0</v>
      </c>
      <c r="B74" s="18">
        <v>29.0</v>
      </c>
      <c r="C74" s="23">
        <v>19.0</v>
      </c>
      <c r="D74" s="18" t="b">
        <v>1</v>
      </c>
      <c r="E74" s="8" t="s">
        <v>46</v>
      </c>
      <c r="F74" s="25"/>
    </row>
    <row r="75" ht="22.5" customHeight="1">
      <c r="A75" s="23">
        <v>78.0</v>
      </c>
      <c r="B75" s="18">
        <v>30.0</v>
      </c>
      <c r="C75" s="23">
        <v>11.0</v>
      </c>
      <c r="D75" s="18" t="b">
        <v>1</v>
      </c>
      <c r="E75" s="8" t="s">
        <v>46</v>
      </c>
      <c r="F75" s="25"/>
    </row>
    <row r="76" ht="22.5" customHeight="1">
      <c r="A76" s="23">
        <v>79.0</v>
      </c>
      <c r="B76" s="18">
        <v>30.0</v>
      </c>
      <c r="C76" s="23">
        <v>8.0</v>
      </c>
      <c r="D76" s="18" t="b">
        <v>1</v>
      </c>
      <c r="E76" s="8" t="s">
        <v>46</v>
      </c>
      <c r="F76" s="25"/>
    </row>
    <row r="77" ht="22.5" customHeight="1">
      <c r="A77" s="23">
        <v>80.0</v>
      </c>
      <c r="B77" s="18">
        <v>30.0</v>
      </c>
      <c r="C77" s="23">
        <v>9.0</v>
      </c>
      <c r="D77" s="18" t="b">
        <v>1</v>
      </c>
      <c r="E77" s="8" t="s">
        <v>46</v>
      </c>
      <c r="F77" s="25"/>
    </row>
    <row r="78" ht="22.5" customHeight="1">
      <c r="A78" s="23">
        <v>81.0</v>
      </c>
      <c r="B78" s="18">
        <v>30.0</v>
      </c>
      <c r="C78" s="23">
        <v>7.0</v>
      </c>
      <c r="D78" s="18" t="b">
        <v>1</v>
      </c>
      <c r="E78" s="8" t="s">
        <v>46</v>
      </c>
      <c r="F78" s="25"/>
    </row>
    <row r="79" ht="22.5" customHeight="1">
      <c r="A79" s="23">
        <v>82.0</v>
      </c>
      <c r="B79" s="18">
        <v>30.0</v>
      </c>
      <c r="C79" s="23">
        <v>12.0</v>
      </c>
      <c r="D79" s="18" t="b">
        <v>1</v>
      </c>
      <c r="E79" s="8" t="s">
        <v>46</v>
      </c>
      <c r="F79" s="25"/>
    </row>
    <row r="80" ht="22.5" customHeight="1">
      <c r="A80" s="23">
        <v>84.0</v>
      </c>
      <c r="B80" s="18">
        <v>31.0</v>
      </c>
      <c r="C80" s="23">
        <v>17.0</v>
      </c>
      <c r="D80" s="18" t="b">
        <v>1</v>
      </c>
      <c r="E80" s="8" t="s">
        <v>46</v>
      </c>
      <c r="F80" s="25"/>
    </row>
    <row r="81" ht="22.5" customHeight="1">
      <c r="A81" s="23">
        <v>85.0</v>
      </c>
      <c r="B81" s="18">
        <v>33.0</v>
      </c>
      <c r="C81" s="23">
        <v>13.0</v>
      </c>
      <c r="D81" s="18" t="b">
        <v>1</v>
      </c>
      <c r="E81" s="8" t="s">
        <v>46</v>
      </c>
      <c r="F81" s="25"/>
    </row>
    <row r="82" ht="22.5" customHeight="1">
      <c r="A82" s="23">
        <v>86.0</v>
      </c>
      <c r="B82" s="23">
        <v>34.0</v>
      </c>
      <c r="C82" s="23">
        <v>7.0</v>
      </c>
      <c r="D82" s="23" t="b">
        <v>0</v>
      </c>
      <c r="E82" s="8" t="s">
        <v>46</v>
      </c>
      <c r="F82" s="25"/>
    </row>
    <row r="83" ht="22.5" customHeight="1">
      <c r="A83" s="23">
        <v>87.0</v>
      </c>
      <c r="B83" s="23">
        <v>34.0</v>
      </c>
      <c r="C83" s="23">
        <v>8.0</v>
      </c>
      <c r="D83" s="23" t="b">
        <v>0</v>
      </c>
      <c r="E83" s="8" t="s">
        <v>46</v>
      </c>
      <c r="F83" s="25"/>
    </row>
    <row r="84" ht="22.5" customHeight="1">
      <c r="A84" s="23">
        <v>88.0</v>
      </c>
      <c r="B84" s="23">
        <v>34.0</v>
      </c>
      <c r="C84" s="23">
        <v>11.0</v>
      </c>
      <c r="D84" s="23" t="b">
        <v>0</v>
      </c>
      <c r="E84" s="8" t="s">
        <v>46</v>
      </c>
      <c r="F84" s="25"/>
    </row>
    <row r="85" ht="22.5" customHeight="1">
      <c r="A85" s="23">
        <v>89.0</v>
      </c>
      <c r="B85" s="23">
        <v>34.0</v>
      </c>
      <c r="C85" s="23">
        <v>3.0</v>
      </c>
      <c r="D85" s="23" t="b">
        <v>0</v>
      </c>
      <c r="E85" s="8" t="s">
        <v>46</v>
      </c>
      <c r="F85" s="25"/>
    </row>
    <row r="86" ht="22.5" customHeight="1">
      <c r="A86" s="23">
        <v>90.0</v>
      </c>
      <c r="B86" s="18">
        <v>35.0</v>
      </c>
      <c r="C86" s="23">
        <v>5.0</v>
      </c>
      <c r="D86" s="18" t="b">
        <v>1</v>
      </c>
      <c r="E86" s="8" t="s">
        <v>46</v>
      </c>
      <c r="F86" s="25"/>
    </row>
    <row r="87" ht="22.5" customHeight="1">
      <c r="A87" s="23">
        <v>91.0</v>
      </c>
      <c r="B87" s="18">
        <v>35.0</v>
      </c>
      <c r="C87" s="23">
        <v>4.0</v>
      </c>
      <c r="D87" s="18" t="b">
        <v>1</v>
      </c>
      <c r="E87" s="8" t="s">
        <v>46</v>
      </c>
      <c r="F87" s="25"/>
    </row>
    <row r="88" ht="22.5" customHeight="1">
      <c r="A88" s="23">
        <v>92.0</v>
      </c>
      <c r="B88" s="23">
        <v>49.0</v>
      </c>
      <c r="C88" s="23">
        <v>8.0</v>
      </c>
      <c r="D88" s="23" t="b">
        <v>1</v>
      </c>
      <c r="E88" s="14" t="s">
        <v>46</v>
      </c>
      <c r="F88" s="25"/>
    </row>
    <row r="89" ht="22.5" customHeight="1">
      <c r="A89" s="23">
        <v>93.0</v>
      </c>
      <c r="B89" s="23">
        <v>49.0</v>
      </c>
      <c r="C89" s="23">
        <v>7.0</v>
      </c>
      <c r="D89" s="23" t="b">
        <v>1</v>
      </c>
      <c r="E89" s="14" t="s">
        <v>46</v>
      </c>
      <c r="F89" s="25"/>
    </row>
    <row r="90" ht="22.5" customHeight="1">
      <c r="A90" s="23">
        <v>94.0</v>
      </c>
      <c r="B90" s="23">
        <v>49.0</v>
      </c>
      <c r="C90" s="23">
        <v>2.0</v>
      </c>
      <c r="D90" s="23" t="b">
        <v>1</v>
      </c>
      <c r="E90" s="14" t="s">
        <v>46</v>
      </c>
      <c r="F90" s="25"/>
    </row>
    <row r="91" ht="22.5" customHeight="1">
      <c r="A91" s="23">
        <v>95.0</v>
      </c>
      <c r="B91" s="23">
        <v>49.0</v>
      </c>
      <c r="C91" s="23">
        <v>5.0</v>
      </c>
      <c r="D91" s="23" t="b">
        <v>1</v>
      </c>
      <c r="E91" s="14" t="s">
        <v>46</v>
      </c>
      <c r="F91" s="25"/>
    </row>
    <row r="92" ht="22.5" customHeight="1">
      <c r="A92" s="23">
        <v>96.0</v>
      </c>
      <c r="B92" s="23">
        <v>49.0</v>
      </c>
      <c r="C92" s="23">
        <v>12.0</v>
      </c>
      <c r="D92" s="23" t="b">
        <v>1</v>
      </c>
      <c r="E92" s="14" t="s">
        <v>46</v>
      </c>
      <c r="F92" s="25"/>
    </row>
    <row r="93" ht="22.5" customHeight="1">
      <c r="A93" s="23">
        <v>97.0</v>
      </c>
      <c r="B93" s="23">
        <v>49.0</v>
      </c>
      <c r="C93" s="23">
        <v>11.0</v>
      </c>
      <c r="D93" s="23" t="b">
        <v>1</v>
      </c>
      <c r="E93" s="14" t="s">
        <v>46</v>
      </c>
      <c r="F93" s="25"/>
    </row>
    <row r="94" ht="22.5" customHeight="1">
      <c r="A94" s="23">
        <v>98.0</v>
      </c>
      <c r="B94" s="23">
        <v>45.0</v>
      </c>
      <c r="C94" s="23">
        <v>8.0</v>
      </c>
      <c r="D94" s="23" t="b">
        <v>1</v>
      </c>
      <c r="E94" s="14" t="s">
        <v>46</v>
      </c>
      <c r="F94" s="25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1" t="s">
        <v>1502</v>
      </c>
      <c r="B1" s="21" t="s">
        <v>8</v>
      </c>
      <c r="C1" s="21" t="s">
        <v>1503</v>
      </c>
      <c r="D1" s="21" t="s">
        <v>1504</v>
      </c>
    </row>
    <row r="2" ht="22.5" customHeight="1">
      <c r="A2" s="18">
        <v>1.0</v>
      </c>
      <c r="B2" s="18">
        <v>1.0</v>
      </c>
      <c r="C2" s="18" t="s">
        <v>1505</v>
      </c>
      <c r="D2" s="18" t="s">
        <v>1506</v>
      </c>
    </row>
    <row r="3" ht="22.5" customHeight="1">
      <c r="A3" s="18">
        <v>2.0</v>
      </c>
      <c r="B3" s="18">
        <v>1.0</v>
      </c>
      <c r="C3" s="18" t="s">
        <v>1507</v>
      </c>
      <c r="D3" s="18" t="s">
        <v>1508</v>
      </c>
    </row>
    <row r="4" ht="22.5" customHeight="1">
      <c r="A4" s="18">
        <v>3.0</v>
      </c>
      <c r="B4" s="18">
        <v>1.0</v>
      </c>
      <c r="C4" s="18" t="s">
        <v>1509</v>
      </c>
      <c r="D4" s="18" t="s">
        <v>1510</v>
      </c>
    </row>
    <row r="5" ht="22.5" customHeight="1">
      <c r="A5" s="18">
        <v>4.0</v>
      </c>
      <c r="B5" s="18">
        <v>1.0</v>
      </c>
      <c r="C5" s="18" t="s">
        <v>1511</v>
      </c>
      <c r="D5" s="18" t="s">
        <v>1510</v>
      </c>
    </row>
    <row r="6" ht="22.5" customHeight="1">
      <c r="A6" s="18">
        <v>5.0</v>
      </c>
      <c r="B6" s="18">
        <v>1.0</v>
      </c>
      <c r="C6" s="18" t="s">
        <v>41</v>
      </c>
      <c r="D6" s="18" t="s">
        <v>1512</v>
      </c>
    </row>
    <row r="7" ht="22.5" customHeight="1">
      <c r="A7" s="18">
        <v>6.0</v>
      </c>
      <c r="B7" s="18">
        <v>1.0</v>
      </c>
      <c r="C7" s="18" t="s">
        <v>39</v>
      </c>
      <c r="D7" s="18" t="s">
        <v>1513</v>
      </c>
    </row>
    <row r="8" ht="22.5" customHeight="1">
      <c r="A8" s="18">
        <v>7.0</v>
      </c>
      <c r="B8" s="18">
        <v>2.0</v>
      </c>
      <c r="C8" s="18" t="s">
        <v>1514</v>
      </c>
      <c r="D8" s="18" t="s">
        <v>1506</v>
      </c>
    </row>
    <row r="9" ht="22.5" customHeight="1">
      <c r="A9" s="18">
        <v>8.0</v>
      </c>
      <c r="B9" s="18">
        <v>2.0</v>
      </c>
      <c r="C9" s="18" t="s">
        <v>50</v>
      </c>
      <c r="D9" s="18" t="s">
        <v>1512</v>
      </c>
    </row>
    <row r="10" ht="22.5" customHeight="1">
      <c r="A10" s="18">
        <v>9.0</v>
      </c>
      <c r="B10" s="18">
        <v>2.0</v>
      </c>
      <c r="C10" s="18" t="s">
        <v>1515</v>
      </c>
      <c r="D10" s="18" t="s">
        <v>1510</v>
      </c>
    </row>
    <row r="11" ht="22.5" customHeight="1">
      <c r="A11" s="18">
        <v>10.0</v>
      </c>
      <c r="B11" s="18">
        <v>2.0</v>
      </c>
      <c r="C11" s="18" t="s">
        <v>1516</v>
      </c>
      <c r="D11" s="18" t="s">
        <v>1510</v>
      </c>
    </row>
    <row r="12" ht="22.5" customHeight="1">
      <c r="A12" s="18">
        <v>11.0</v>
      </c>
      <c r="B12" s="18">
        <v>2.0</v>
      </c>
      <c r="C12" s="18" t="s">
        <v>1517</v>
      </c>
      <c r="D12" s="18" t="s">
        <v>1512</v>
      </c>
    </row>
    <row r="13" ht="22.5" customHeight="1">
      <c r="A13" s="18">
        <v>12.0</v>
      </c>
      <c r="B13" s="18">
        <v>3.0</v>
      </c>
      <c r="C13" s="18" t="s">
        <v>1518</v>
      </c>
      <c r="D13" s="18" t="s">
        <v>1508</v>
      </c>
    </row>
    <row r="14" ht="22.5" customHeight="1">
      <c r="A14" s="18">
        <v>13.0</v>
      </c>
      <c r="B14" s="18">
        <v>3.0</v>
      </c>
      <c r="C14" s="18" t="s">
        <v>55</v>
      </c>
      <c r="D14" s="18" t="s">
        <v>1512</v>
      </c>
    </row>
    <row r="15" ht="22.5" customHeight="1">
      <c r="A15" s="18">
        <v>14.0</v>
      </c>
      <c r="B15" s="18">
        <v>3.0</v>
      </c>
      <c r="C15" s="18" t="s">
        <v>1519</v>
      </c>
      <c r="D15" s="18" t="s">
        <v>1506</v>
      </c>
    </row>
    <row r="16" ht="22.5" customHeight="1">
      <c r="A16" s="18">
        <v>15.0</v>
      </c>
      <c r="B16" s="18">
        <v>3.0</v>
      </c>
      <c r="C16" s="18" t="s">
        <v>1520</v>
      </c>
      <c r="D16" s="18" t="s">
        <v>1510</v>
      </c>
    </row>
    <row r="17" ht="22.5" customHeight="1">
      <c r="A17" s="18">
        <v>16.0</v>
      </c>
      <c r="B17" s="18">
        <v>4.0</v>
      </c>
      <c r="C17" s="18" t="s">
        <v>1521</v>
      </c>
      <c r="D17" s="18" t="s">
        <v>1506</v>
      </c>
    </row>
    <row r="18" ht="22.5" customHeight="1">
      <c r="A18" s="18">
        <v>17.0</v>
      </c>
      <c r="B18" s="18">
        <v>4.0</v>
      </c>
      <c r="C18" s="18" t="s">
        <v>58</v>
      </c>
      <c r="D18" s="18" t="s">
        <v>1512</v>
      </c>
    </row>
    <row r="19" ht="22.5" customHeight="1">
      <c r="A19" s="18">
        <v>18.0</v>
      </c>
      <c r="B19" s="18">
        <v>4.0</v>
      </c>
      <c r="C19" s="18" t="s">
        <v>1522</v>
      </c>
      <c r="D19" s="18" t="s">
        <v>1510</v>
      </c>
    </row>
    <row r="20" ht="22.5" customHeight="1">
      <c r="A20" s="18">
        <v>19.0</v>
      </c>
      <c r="B20" s="18">
        <v>4.0</v>
      </c>
      <c r="C20" s="18" t="s">
        <v>1523</v>
      </c>
      <c r="D20" s="18" t="s">
        <v>1510</v>
      </c>
    </row>
    <row r="21" ht="22.5" customHeight="1">
      <c r="A21" s="18">
        <v>20.0</v>
      </c>
      <c r="B21" s="18">
        <v>5.0</v>
      </c>
      <c r="C21" s="18" t="s">
        <v>1524</v>
      </c>
      <c r="D21" s="18" t="s">
        <v>1506</v>
      </c>
    </row>
    <row r="22" ht="22.5" customHeight="1">
      <c r="A22" s="18">
        <v>21.0</v>
      </c>
      <c r="B22" s="18">
        <v>5.0</v>
      </c>
      <c r="C22" s="18" t="s">
        <v>1525</v>
      </c>
      <c r="D22" s="18" t="s">
        <v>1510</v>
      </c>
    </row>
    <row r="23" ht="22.5" customHeight="1">
      <c r="A23" s="18">
        <v>22.0</v>
      </c>
      <c r="B23" s="18">
        <v>5.0</v>
      </c>
      <c r="C23" s="18" t="s">
        <v>1526</v>
      </c>
      <c r="D23" s="18" t="s">
        <v>1510</v>
      </c>
    </row>
    <row r="24" ht="22.5" customHeight="1">
      <c r="A24" s="18">
        <v>23.0</v>
      </c>
      <c r="B24" s="18">
        <v>5.0</v>
      </c>
      <c r="C24" s="18" t="s">
        <v>62</v>
      </c>
      <c r="D24" s="18" t="s">
        <v>1512</v>
      </c>
    </row>
    <row r="25" ht="22.5" customHeight="1">
      <c r="A25" s="18">
        <v>24.0</v>
      </c>
      <c r="B25" s="18">
        <v>6.0</v>
      </c>
      <c r="C25" s="18" t="s">
        <v>68</v>
      </c>
      <c r="D25" s="18" t="s">
        <v>1506</v>
      </c>
    </row>
    <row r="26" ht="22.5" customHeight="1">
      <c r="A26" s="18">
        <v>25.0</v>
      </c>
      <c r="B26" s="18">
        <v>6.0</v>
      </c>
      <c r="C26" s="18" t="s">
        <v>1527</v>
      </c>
      <c r="D26" s="18" t="s">
        <v>1512</v>
      </c>
    </row>
    <row r="27" ht="22.5" customHeight="1">
      <c r="A27" s="18">
        <v>26.0</v>
      </c>
      <c r="B27" s="18">
        <v>6.0</v>
      </c>
      <c r="C27" s="18" t="s">
        <v>1528</v>
      </c>
      <c r="D27" s="18" t="s">
        <v>1510</v>
      </c>
    </row>
    <row r="28" ht="22.5" customHeight="1">
      <c r="A28" s="18">
        <v>27.0</v>
      </c>
      <c r="B28" s="18">
        <v>7.0</v>
      </c>
      <c r="C28" s="18" t="s">
        <v>78</v>
      </c>
      <c r="D28" s="18" t="s">
        <v>1512</v>
      </c>
    </row>
    <row r="29" ht="22.5" customHeight="1">
      <c r="A29" s="18">
        <v>28.0</v>
      </c>
      <c r="B29" s="18">
        <v>7.0</v>
      </c>
      <c r="C29" s="18" t="s">
        <v>1529</v>
      </c>
      <c r="D29" s="18" t="s">
        <v>1506</v>
      </c>
    </row>
    <row r="30" ht="22.5" customHeight="1">
      <c r="A30" s="18">
        <v>29.0</v>
      </c>
      <c r="B30" s="18">
        <v>7.0</v>
      </c>
      <c r="C30" s="18" t="s">
        <v>1530</v>
      </c>
      <c r="D30" s="18" t="s">
        <v>1510</v>
      </c>
    </row>
    <row r="31" ht="22.5" customHeight="1">
      <c r="A31" s="18">
        <v>30.0</v>
      </c>
      <c r="B31" s="18">
        <v>7.0</v>
      </c>
      <c r="C31" s="18" t="s">
        <v>1531</v>
      </c>
      <c r="D31" s="18" t="s">
        <v>1510</v>
      </c>
    </row>
    <row r="32" ht="22.5" customHeight="1">
      <c r="A32" s="18">
        <v>31.0</v>
      </c>
      <c r="B32" s="18">
        <v>8.0</v>
      </c>
      <c r="C32" s="18" t="s">
        <v>86</v>
      </c>
      <c r="D32" s="18" t="s">
        <v>1508</v>
      </c>
    </row>
    <row r="33" ht="22.5" customHeight="1">
      <c r="A33" s="18">
        <v>32.0</v>
      </c>
      <c r="B33" s="18">
        <v>8.0</v>
      </c>
      <c r="C33" s="18" t="s">
        <v>1532</v>
      </c>
      <c r="D33" s="18" t="s">
        <v>1512</v>
      </c>
    </row>
    <row r="34" ht="22.5" customHeight="1">
      <c r="A34" s="18">
        <v>33.0</v>
      </c>
      <c r="B34" s="18">
        <v>8.0</v>
      </c>
      <c r="C34" s="18" t="s">
        <v>1533</v>
      </c>
      <c r="D34" s="18" t="s">
        <v>1510</v>
      </c>
    </row>
    <row r="35" ht="22.5" customHeight="1">
      <c r="A35" s="18">
        <v>34.0</v>
      </c>
      <c r="B35" s="18">
        <v>8.0</v>
      </c>
      <c r="C35" s="18" t="s">
        <v>1534</v>
      </c>
      <c r="D35" s="18" t="s">
        <v>1506</v>
      </c>
    </row>
    <row r="36" ht="22.5" customHeight="1">
      <c r="A36" s="18">
        <v>35.0</v>
      </c>
      <c r="B36" s="18">
        <v>9.0</v>
      </c>
      <c r="C36" s="18" t="s">
        <v>1535</v>
      </c>
      <c r="D36" s="18" t="s">
        <v>1506</v>
      </c>
    </row>
    <row r="37" ht="22.5" customHeight="1">
      <c r="A37" s="18">
        <v>36.0</v>
      </c>
      <c r="B37" s="18">
        <v>9.0</v>
      </c>
      <c r="C37" s="18" t="s">
        <v>1536</v>
      </c>
      <c r="D37" s="18" t="s">
        <v>1510</v>
      </c>
    </row>
    <row r="38" ht="22.5" customHeight="1">
      <c r="A38" s="18">
        <v>37.0</v>
      </c>
      <c r="B38" s="18">
        <v>9.0</v>
      </c>
      <c r="C38" s="18" t="s">
        <v>1537</v>
      </c>
      <c r="D38" s="18" t="s">
        <v>1510</v>
      </c>
    </row>
    <row r="39" ht="22.5" customHeight="1">
      <c r="A39" s="18">
        <v>38.0</v>
      </c>
      <c r="B39" s="18">
        <v>9.0</v>
      </c>
      <c r="C39" s="18" t="s">
        <v>1538</v>
      </c>
      <c r="D39" s="18" t="s">
        <v>1508</v>
      </c>
    </row>
    <row r="40" ht="22.5" customHeight="1">
      <c r="A40" s="18">
        <v>39.0</v>
      </c>
      <c r="B40" s="18">
        <v>10.0</v>
      </c>
      <c r="C40" s="18" t="s">
        <v>1539</v>
      </c>
      <c r="D40" s="18" t="s">
        <v>1512</v>
      </c>
    </row>
    <row r="41" ht="22.5" customHeight="1">
      <c r="A41" s="18">
        <v>40.0</v>
      </c>
      <c r="B41" s="18">
        <v>10.0</v>
      </c>
      <c r="C41" s="18" t="s">
        <v>1540</v>
      </c>
      <c r="D41" s="18" t="s">
        <v>1508</v>
      </c>
    </row>
    <row r="42" ht="22.5" customHeight="1">
      <c r="A42" s="18">
        <v>41.0</v>
      </c>
      <c r="B42" s="18">
        <v>10.0</v>
      </c>
      <c r="C42" s="18" t="s">
        <v>1541</v>
      </c>
      <c r="D42" s="18" t="s">
        <v>1510</v>
      </c>
    </row>
    <row r="43" ht="22.5" customHeight="1">
      <c r="A43" s="18">
        <v>42.0</v>
      </c>
      <c r="B43" s="18">
        <v>10.0</v>
      </c>
      <c r="C43" s="18" t="s">
        <v>1542</v>
      </c>
      <c r="D43" s="18" t="s">
        <v>1506</v>
      </c>
    </row>
    <row r="44" ht="22.5" customHeight="1">
      <c r="A44" s="18">
        <v>43.0</v>
      </c>
      <c r="B44" s="18">
        <v>11.0</v>
      </c>
      <c r="C44" s="18" t="s">
        <v>1543</v>
      </c>
      <c r="D44" s="18" t="s">
        <v>1508</v>
      </c>
    </row>
    <row r="45" ht="22.5" customHeight="1">
      <c r="A45" s="18">
        <v>44.0</v>
      </c>
      <c r="B45" s="18">
        <v>11.0</v>
      </c>
      <c r="C45" s="18" t="s">
        <v>1544</v>
      </c>
      <c r="D45" s="18" t="s">
        <v>1506</v>
      </c>
    </row>
    <row r="46" ht="22.5" customHeight="1">
      <c r="A46" s="18">
        <v>45.0</v>
      </c>
      <c r="B46" s="18">
        <v>11.0</v>
      </c>
      <c r="C46" s="18" t="s">
        <v>1545</v>
      </c>
      <c r="D46" s="18" t="s">
        <v>1510</v>
      </c>
    </row>
    <row r="47" ht="22.5" customHeight="1">
      <c r="A47" s="18">
        <v>46.0</v>
      </c>
      <c r="B47" s="18">
        <v>11.0</v>
      </c>
      <c r="C47" s="18" t="s">
        <v>1546</v>
      </c>
      <c r="D47" s="18" t="s">
        <v>1547</v>
      </c>
    </row>
    <row r="48" ht="22.5" customHeight="1">
      <c r="A48" s="18">
        <v>47.0</v>
      </c>
      <c r="B48" s="18">
        <v>12.0</v>
      </c>
      <c r="C48" s="18" t="s">
        <v>107</v>
      </c>
      <c r="D48" s="18" t="s">
        <v>1512</v>
      </c>
    </row>
    <row r="49" ht="22.5" customHeight="1">
      <c r="A49" s="18">
        <v>48.0</v>
      </c>
      <c r="B49" s="18">
        <v>12.0</v>
      </c>
      <c r="C49" s="18" t="s">
        <v>1548</v>
      </c>
      <c r="D49" s="18" t="s">
        <v>1508</v>
      </c>
    </row>
    <row r="50" ht="22.5" customHeight="1">
      <c r="A50" s="18">
        <v>49.0</v>
      </c>
      <c r="B50" s="18">
        <v>12.0</v>
      </c>
      <c r="C50" s="18" t="s">
        <v>1549</v>
      </c>
      <c r="D50" s="18" t="s">
        <v>1512</v>
      </c>
    </row>
    <row r="51" ht="22.5" customHeight="1">
      <c r="A51" s="18">
        <v>50.0</v>
      </c>
      <c r="B51" s="18">
        <v>12.0</v>
      </c>
      <c r="C51" s="18" t="s">
        <v>1550</v>
      </c>
      <c r="D51" s="18" t="s">
        <v>1506</v>
      </c>
    </row>
    <row r="52" ht="22.5" customHeight="1">
      <c r="A52" s="18">
        <v>51.0</v>
      </c>
      <c r="B52" s="18">
        <v>13.0</v>
      </c>
      <c r="C52" s="18" t="s">
        <v>1551</v>
      </c>
      <c r="D52" s="18" t="s">
        <v>1506</v>
      </c>
    </row>
    <row r="53" ht="22.5" customHeight="1">
      <c r="A53" s="18">
        <v>52.0</v>
      </c>
      <c r="B53" s="18">
        <v>13.0</v>
      </c>
      <c r="C53" s="18" t="s">
        <v>113</v>
      </c>
      <c r="D53" s="18" t="s">
        <v>1512</v>
      </c>
    </row>
    <row r="54" ht="22.5" customHeight="1">
      <c r="A54" s="18">
        <v>53.0</v>
      </c>
      <c r="B54" s="18">
        <v>13.0</v>
      </c>
      <c r="C54" s="18" t="s">
        <v>1552</v>
      </c>
      <c r="D54" s="18" t="s">
        <v>1510</v>
      </c>
    </row>
    <row r="55" ht="22.5" customHeight="1">
      <c r="A55" s="18">
        <v>54.0</v>
      </c>
      <c r="B55" s="18">
        <v>14.0</v>
      </c>
      <c r="C55" s="18" t="s">
        <v>120</v>
      </c>
      <c r="D55" s="18" t="s">
        <v>1512</v>
      </c>
    </row>
    <row r="56" ht="22.5" customHeight="1">
      <c r="A56" s="18">
        <v>55.0</v>
      </c>
      <c r="B56" s="18">
        <v>14.0</v>
      </c>
      <c r="C56" s="18" t="s">
        <v>1553</v>
      </c>
      <c r="D56" s="18" t="s">
        <v>1510</v>
      </c>
    </row>
    <row r="57" ht="22.5" customHeight="1">
      <c r="A57" s="18">
        <v>56.0</v>
      </c>
      <c r="B57" s="18">
        <v>14.0</v>
      </c>
      <c r="C57" s="18" t="s">
        <v>1554</v>
      </c>
      <c r="D57" s="18" t="s">
        <v>1506</v>
      </c>
    </row>
    <row r="58" ht="22.5" customHeight="1">
      <c r="A58" s="18">
        <v>57.0</v>
      </c>
      <c r="B58" s="18">
        <v>15.0</v>
      </c>
      <c r="C58" s="18" t="s">
        <v>124</v>
      </c>
      <c r="D58" s="18" t="s">
        <v>1512</v>
      </c>
    </row>
    <row r="59" ht="22.5" customHeight="1">
      <c r="A59" s="18">
        <v>58.0</v>
      </c>
      <c r="B59" s="18">
        <v>15.0</v>
      </c>
      <c r="C59" s="18" t="s">
        <v>1555</v>
      </c>
      <c r="D59" s="18" t="s">
        <v>1510</v>
      </c>
    </row>
    <row r="60" ht="22.5" customHeight="1">
      <c r="A60" s="18">
        <v>59.0</v>
      </c>
      <c r="B60" s="18">
        <v>15.0</v>
      </c>
      <c r="C60" s="18" t="s">
        <v>1556</v>
      </c>
      <c r="D60" s="18" t="s">
        <v>1506</v>
      </c>
    </row>
    <row r="61" ht="22.5" customHeight="1">
      <c r="A61" s="18">
        <v>60.0</v>
      </c>
      <c r="B61" s="18">
        <v>16.0</v>
      </c>
      <c r="C61" s="18" t="s">
        <v>1557</v>
      </c>
      <c r="D61" s="18" t="s">
        <v>1508</v>
      </c>
    </row>
    <row r="62" ht="22.5" customHeight="1">
      <c r="A62" s="18">
        <v>61.0</v>
      </c>
      <c r="B62" s="18">
        <v>16.0</v>
      </c>
      <c r="C62" s="18" t="s">
        <v>1558</v>
      </c>
      <c r="D62" s="18" t="s">
        <v>1506</v>
      </c>
    </row>
    <row r="63" ht="22.5" customHeight="1">
      <c r="A63" s="18">
        <v>62.0</v>
      </c>
      <c r="B63" s="18">
        <v>16.0</v>
      </c>
      <c r="C63" s="18" t="s">
        <v>1559</v>
      </c>
      <c r="D63" s="18" t="s">
        <v>1510</v>
      </c>
    </row>
    <row r="64" ht="22.5" customHeight="1">
      <c r="A64" s="18">
        <v>63.0</v>
      </c>
      <c r="B64" s="18">
        <v>17.0</v>
      </c>
      <c r="C64" s="18" t="s">
        <v>131</v>
      </c>
      <c r="D64" s="18" t="s">
        <v>1512</v>
      </c>
    </row>
    <row r="65" ht="22.5" customHeight="1">
      <c r="A65" s="18">
        <v>64.0</v>
      </c>
      <c r="B65" s="18">
        <v>17.0</v>
      </c>
      <c r="C65" s="18" t="s">
        <v>1560</v>
      </c>
      <c r="D65" s="18" t="s">
        <v>1506</v>
      </c>
    </row>
    <row r="66" ht="22.5" customHeight="1">
      <c r="A66" s="18">
        <v>65.0</v>
      </c>
      <c r="B66" s="18">
        <v>17.0</v>
      </c>
      <c r="C66" s="18" t="s">
        <v>1561</v>
      </c>
      <c r="D66" s="18" t="s">
        <v>1510</v>
      </c>
    </row>
    <row r="67" ht="22.5" customHeight="1">
      <c r="A67" s="18">
        <v>66.0</v>
      </c>
      <c r="B67" s="18">
        <v>18.0</v>
      </c>
      <c r="C67" s="18" t="s">
        <v>134</v>
      </c>
      <c r="D67" s="18" t="s">
        <v>1512</v>
      </c>
    </row>
    <row r="68" ht="22.5" customHeight="1">
      <c r="A68" s="18">
        <v>67.0</v>
      </c>
      <c r="B68" s="18">
        <v>18.0</v>
      </c>
      <c r="C68" s="18" t="s">
        <v>1562</v>
      </c>
      <c r="D68" s="18" t="s">
        <v>1506</v>
      </c>
    </row>
    <row r="69" ht="22.5" customHeight="1">
      <c r="A69" s="18">
        <v>68.0</v>
      </c>
      <c r="B69" s="18">
        <v>18.0</v>
      </c>
      <c r="C69" s="18" t="s">
        <v>1563</v>
      </c>
      <c r="D69" s="18" t="s">
        <v>1510</v>
      </c>
    </row>
    <row r="70" ht="22.5" customHeight="1">
      <c r="A70" s="18">
        <v>69.0</v>
      </c>
      <c r="B70" s="18">
        <v>19.0</v>
      </c>
      <c r="C70" s="18" t="s">
        <v>1564</v>
      </c>
      <c r="D70" s="18" t="s">
        <v>1508</v>
      </c>
    </row>
    <row r="71" ht="22.5" customHeight="1">
      <c r="A71" s="18">
        <v>70.0</v>
      </c>
      <c r="B71" s="18">
        <v>19.0</v>
      </c>
      <c r="C71" s="18" t="s">
        <v>138</v>
      </c>
      <c r="D71" s="18" t="s">
        <v>1512</v>
      </c>
    </row>
    <row r="72" ht="22.5" customHeight="1">
      <c r="A72" s="18">
        <v>71.0</v>
      </c>
      <c r="B72" s="18">
        <v>19.0</v>
      </c>
      <c r="C72" s="18" t="s">
        <v>1565</v>
      </c>
      <c r="D72" s="18" t="s">
        <v>1512</v>
      </c>
    </row>
    <row r="73" ht="22.5" customHeight="1">
      <c r="A73" s="18">
        <v>72.0</v>
      </c>
      <c r="B73" s="18">
        <v>19.0</v>
      </c>
      <c r="C73" s="18" t="s">
        <v>1566</v>
      </c>
      <c r="D73" s="18" t="s">
        <v>1510</v>
      </c>
    </row>
    <row r="74" ht="22.5" customHeight="1">
      <c r="A74" s="18">
        <v>73.0</v>
      </c>
      <c r="B74" s="18">
        <v>20.0</v>
      </c>
      <c r="C74" s="18" t="s">
        <v>141</v>
      </c>
      <c r="D74" s="18" t="s">
        <v>1512</v>
      </c>
    </row>
    <row r="75" ht="22.5" customHeight="1">
      <c r="A75" s="18">
        <v>74.0</v>
      </c>
      <c r="B75" s="18">
        <v>20.0</v>
      </c>
      <c r="C75" s="18" t="s">
        <v>1567</v>
      </c>
      <c r="D75" s="18" t="s">
        <v>1510</v>
      </c>
    </row>
    <row r="76" ht="22.5" customHeight="1">
      <c r="A76" s="18">
        <v>75.0</v>
      </c>
      <c r="B76" s="18">
        <v>20.0</v>
      </c>
      <c r="C76" s="18" t="s">
        <v>1568</v>
      </c>
      <c r="D76" s="18" t="s">
        <v>1506</v>
      </c>
    </row>
    <row r="77" ht="22.5" customHeight="1">
      <c r="A77" s="18">
        <v>76.0</v>
      </c>
      <c r="B77" s="18">
        <v>21.0</v>
      </c>
      <c r="C77" s="18" t="s">
        <v>144</v>
      </c>
      <c r="D77" s="18" t="s">
        <v>1512</v>
      </c>
    </row>
    <row r="78" ht="22.5" customHeight="1">
      <c r="A78" s="18">
        <v>77.0</v>
      </c>
      <c r="B78" s="18">
        <v>21.0</v>
      </c>
      <c r="C78" s="18" t="s">
        <v>1569</v>
      </c>
      <c r="D78" s="18" t="s">
        <v>1506</v>
      </c>
    </row>
    <row r="79" ht="22.5" customHeight="1">
      <c r="A79" s="18">
        <v>78.0</v>
      </c>
      <c r="B79" s="18">
        <v>22.0</v>
      </c>
      <c r="C79" s="18" t="s">
        <v>1570</v>
      </c>
      <c r="D79" s="18" t="s">
        <v>1508</v>
      </c>
    </row>
    <row r="80" ht="22.5" customHeight="1">
      <c r="A80" s="18">
        <v>79.0</v>
      </c>
      <c r="B80" s="18">
        <v>22.0</v>
      </c>
      <c r="C80" s="18" t="s">
        <v>1571</v>
      </c>
      <c r="D80" s="18" t="s">
        <v>1510</v>
      </c>
    </row>
    <row r="81" ht="22.5" customHeight="1">
      <c r="A81" s="18">
        <v>80.0</v>
      </c>
      <c r="B81" s="18">
        <v>22.0</v>
      </c>
      <c r="C81" s="18" t="s">
        <v>1572</v>
      </c>
      <c r="D81" s="18" t="s">
        <v>1506</v>
      </c>
    </row>
    <row r="82" ht="22.5" customHeight="1">
      <c r="A82" s="18">
        <v>81.0</v>
      </c>
      <c r="B82" s="18">
        <v>23.0</v>
      </c>
      <c r="C82" s="18" t="s">
        <v>1573</v>
      </c>
      <c r="D82" s="18" t="s">
        <v>1506</v>
      </c>
    </row>
    <row r="83" ht="22.5" customHeight="1">
      <c r="A83" s="18">
        <v>82.0</v>
      </c>
      <c r="B83" s="18">
        <v>23.0</v>
      </c>
      <c r="C83" s="18" t="s">
        <v>150</v>
      </c>
      <c r="D83" s="18" t="s">
        <v>1512</v>
      </c>
    </row>
    <row r="84" ht="22.5" customHeight="1">
      <c r="A84" s="18">
        <v>83.0</v>
      </c>
      <c r="B84" s="18">
        <v>23.0</v>
      </c>
      <c r="C84" s="18" t="s">
        <v>1574</v>
      </c>
      <c r="D84" s="18" t="s">
        <v>1547</v>
      </c>
    </row>
    <row r="85" ht="22.5" customHeight="1">
      <c r="A85" s="18">
        <v>84.0</v>
      </c>
      <c r="B85" s="18">
        <v>24.0</v>
      </c>
      <c r="C85" s="18" t="s">
        <v>1575</v>
      </c>
      <c r="D85" s="18" t="s">
        <v>1506</v>
      </c>
    </row>
    <row r="86" ht="22.5" customHeight="1">
      <c r="A86" s="18">
        <v>85.0</v>
      </c>
      <c r="B86" s="18">
        <v>24.0</v>
      </c>
      <c r="C86" s="18" t="s">
        <v>1576</v>
      </c>
      <c r="D86" s="18" t="s">
        <v>1508</v>
      </c>
    </row>
    <row r="87" ht="22.5" customHeight="1">
      <c r="A87" s="18">
        <v>86.0</v>
      </c>
      <c r="B87" s="18">
        <v>24.0</v>
      </c>
      <c r="C87" s="18" t="s">
        <v>153</v>
      </c>
      <c r="D87" s="18" t="s">
        <v>1512</v>
      </c>
    </row>
    <row r="88" ht="22.5" customHeight="1">
      <c r="A88" s="18">
        <v>87.0</v>
      </c>
      <c r="B88" s="18">
        <v>25.0</v>
      </c>
      <c r="C88" s="18" t="s">
        <v>156</v>
      </c>
      <c r="D88" s="18" t="s">
        <v>1512</v>
      </c>
    </row>
    <row r="89" ht="22.5" customHeight="1">
      <c r="A89" s="18">
        <v>88.0</v>
      </c>
      <c r="B89" s="18">
        <v>25.0</v>
      </c>
      <c r="C89" s="18" t="s">
        <v>1577</v>
      </c>
      <c r="D89" s="18" t="s">
        <v>1510</v>
      </c>
    </row>
    <row r="90" ht="22.5" customHeight="1">
      <c r="A90" s="18">
        <v>89.0</v>
      </c>
      <c r="B90" s="18">
        <v>25.0</v>
      </c>
      <c r="C90" s="18" t="s">
        <v>1578</v>
      </c>
      <c r="D90" s="18" t="s">
        <v>1506</v>
      </c>
    </row>
    <row r="91" ht="22.5" customHeight="1">
      <c r="A91" s="18">
        <v>90.0</v>
      </c>
      <c r="B91" s="18">
        <v>26.0</v>
      </c>
      <c r="C91" s="18" t="s">
        <v>1579</v>
      </c>
      <c r="D91" s="18" t="s">
        <v>1506</v>
      </c>
    </row>
    <row r="92" ht="22.5" customHeight="1">
      <c r="A92" s="18">
        <v>91.0</v>
      </c>
      <c r="B92" s="18">
        <v>26.0</v>
      </c>
      <c r="C92" s="18" t="s">
        <v>1533</v>
      </c>
      <c r="D92" s="18" t="s">
        <v>1512</v>
      </c>
    </row>
    <row r="93" ht="22.5" customHeight="1">
      <c r="A93" s="18">
        <v>92.0</v>
      </c>
      <c r="B93" s="18">
        <v>26.0</v>
      </c>
      <c r="C93" s="18" t="s">
        <v>1580</v>
      </c>
      <c r="D93" s="18" t="s">
        <v>1510</v>
      </c>
    </row>
    <row r="94" ht="22.5" customHeight="1">
      <c r="A94" s="18">
        <v>93.0</v>
      </c>
      <c r="B94" s="18">
        <v>27.0</v>
      </c>
      <c r="C94" s="18" t="s">
        <v>162</v>
      </c>
      <c r="D94" s="18" t="s">
        <v>1512</v>
      </c>
    </row>
    <row r="95" ht="22.5" customHeight="1">
      <c r="A95" s="18">
        <v>94.0</v>
      </c>
      <c r="B95" s="18">
        <v>27.0</v>
      </c>
      <c r="C95" s="18" t="s">
        <v>1581</v>
      </c>
      <c r="D95" s="18" t="s">
        <v>1582</v>
      </c>
    </row>
    <row r="96" ht="22.5" customHeight="1">
      <c r="A96" s="18">
        <v>95.0</v>
      </c>
      <c r="B96" s="18">
        <v>27.0</v>
      </c>
      <c r="C96" s="18" t="s">
        <v>1583</v>
      </c>
      <c r="D96" s="18" t="s">
        <v>1510</v>
      </c>
    </row>
    <row r="97" ht="22.5" customHeight="1">
      <c r="A97" s="18">
        <v>96.0</v>
      </c>
      <c r="B97" s="18">
        <v>27.0</v>
      </c>
      <c r="C97" s="18" t="s">
        <v>1584</v>
      </c>
      <c r="D97" s="18" t="s">
        <v>1506</v>
      </c>
    </row>
    <row r="98" ht="22.5" customHeight="1">
      <c r="A98" s="18">
        <v>97.0</v>
      </c>
      <c r="B98" s="18">
        <v>28.0</v>
      </c>
      <c r="C98" s="18" t="s">
        <v>166</v>
      </c>
      <c r="D98" s="18" t="s">
        <v>1512</v>
      </c>
    </row>
    <row r="99" ht="22.5" customHeight="1">
      <c r="A99" s="18">
        <v>98.0</v>
      </c>
      <c r="B99" s="18">
        <v>28.0</v>
      </c>
      <c r="C99" s="18" t="s">
        <v>1585</v>
      </c>
      <c r="D99" s="18" t="s">
        <v>1506</v>
      </c>
    </row>
    <row r="100" ht="22.5" customHeight="1">
      <c r="A100" s="18">
        <v>99.0</v>
      </c>
      <c r="B100" s="18">
        <v>28.0</v>
      </c>
      <c r="C100" s="18" t="s">
        <v>1586</v>
      </c>
      <c r="D100" s="18" t="s">
        <v>1547</v>
      </c>
    </row>
    <row r="101" ht="22.5" customHeight="1">
      <c r="A101" s="18">
        <v>100.0</v>
      </c>
      <c r="B101" s="18">
        <v>29.0</v>
      </c>
      <c r="C101" s="18" t="s">
        <v>169</v>
      </c>
      <c r="D101" s="18" t="s">
        <v>1512</v>
      </c>
    </row>
    <row r="102" ht="22.5" customHeight="1">
      <c r="A102" s="18">
        <v>101.0</v>
      </c>
      <c r="B102" s="18">
        <v>29.0</v>
      </c>
      <c r="C102" s="18" t="s">
        <v>1587</v>
      </c>
      <c r="D102" s="18" t="s">
        <v>1506</v>
      </c>
    </row>
    <row r="103" ht="22.5" customHeight="1">
      <c r="A103" s="18">
        <v>102.0</v>
      </c>
      <c r="B103" s="18">
        <v>29.0</v>
      </c>
      <c r="C103" s="18" t="s">
        <v>1588</v>
      </c>
      <c r="D103" s="18" t="s">
        <v>1510</v>
      </c>
    </row>
    <row r="104" ht="22.5" customHeight="1">
      <c r="A104" s="18">
        <v>103.0</v>
      </c>
      <c r="B104" s="18">
        <v>30.0</v>
      </c>
      <c r="C104" s="18" t="s">
        <v>170</v>
      </c>
      <c r="D104" s="18" t="s">
        <v>1512</v>
      </c>
    </row>
    <row r="105" ht="22.5" customHeight="1">
      <c r="A105" s="18">
        <v>104.0</v>
      </c>
      <c r="B105" s="18">
        <v>30.0</v>
      </c>
      <c r="C105" s="18" t="s">
        <v>1589</v>
      </c>
      <c r="D105" s="18" t="s">
        <v>1510</v>
      </c>
    </row>
    <row r="106" ht="22.5" customHeight="1">
      <c r="A106" s="18">
        <v>105.0</v>
      </c>
      <c r="B106" s="18">
        <v>30.0</v>
      </c>
      <c r="C106" s="18" t="s">
        <v>1590</v>
      </c>
      <c r="D106" s="18" t="s">
        <v>1506</v>
      </c>
    </row>
    <row r="107" ht="22.5" customHeight="1">
      <c r="A107" s="18">
        <v>106.0</v>
      </c>
      <c r="B107" s="18">
        <v>31.0</v>
      </c>
      <c r="C107" s="18" t="s">
        <v>1591</v>
      </c>
      <c r="D107" s="18" t="s">
        <v>1506</v>
      </c>
    </row>
    <row r="108" ht="22.5" customHeight="1">
      <c r="A108" s="18">
        <v>107.0</v>
      </c>
      <c r="B108" s="18">
        <v>31.0</v>
      </c>
      <c r="C108" s="18" t="s">
        <v>1592</v>
      </c>
      <c r="D108" s="18" t="s">
        <v>1510</v>
      </c>
    </row>
    <row r="109" ht="22.5" customHeight="1">
      <c r="A109" s="18">
        <v>108.0</v>
      </c>
      <c r="B109" s="18">
        <v>31.0</v>
      </c>
      <c r="C109" s="18" t="s">
        <v>173</v>
      </c>
      <c r="D109" s="18" t="s">
        <v>1512</v>
      </c>
    </row>
    <row r="110" ht="22.5" customHeight="1">
      <c r="A110" s="18">
        <v>109.0</v>
      </c>
      <c r="B110" s="18">
        <v>32.0</v>
      </c>
      <c r="C110" s="18" t="s">
        <v>1593</v>
      </c>
      <c r="D110" s="18" t="s">
        <v>1582</v>
      </c>
    </row>
    <row r="111" ht="22.5" customHeight="1">
      <c r="A111" s="18">
        <v>110.0</v>
      </c>
      <c r="B111" s="18">
        <v>32.0</v>
      </c>
      <c r="C111" s="18" t="s">
        <v>1594</v>
      </c>
      <c r="D111" s="18" t="s">
        <v>1506</v>
      </c>
    </row>
    <row r="112" ht="22.5" customHeight="1">
      <c r="A112" s="18">
        <v>111.0</v>
      </c>
      <c r="B112" s="18">
        <v>32.0</v>
      </c>
      <c r="C112" s="18" t="s">
        <v>1595</v>
      </c>
      <c r="D112" s="18" t="s">
        <v>1510</v>
      </c>
    </row>
    <row r="113" ht="22.5" customHeight="1">
      <c r="A113" s="18">
        <v>112.0</v>
      </c>
      <c r="B113" s="18">
        <v>33.0</v>
      </c>
      <c r="C113" s="18" t="s">
        <v>1596</v>
      </c>
      <c r="D113" s="18" t="s">
        <v>1506</v>
      </c>
    </row>
    <row r="114" ht="22.5" customHeight="1">
      <c r="A114" s="18">
        <v>113.0</v>
      </c>
      <c r="B114" s="18">
        <v>33.0</v>
      </c>
      <c r="C114" s="18" t="s">
        <v>182</v>
      </c>
      <c r="D114" s="18" t="s">
        <v>1512</v>
      </c>
    </row>
    <row r="115" ht="22.5" customHeight="1">
      <c r="A115" s="18">
        <v>114.0</v>
      </c>
      <c r="B115" s="18">
        <v>33.0</v>
      </c>
      <c r="C115" s="18" t="s">
        <v>1597</v>
      </c>
      <c r="D115" s="18" t="s">
        <v>1510</v>
      </c>
    </row>
    <row r="116" ht="22.5" customHeight="1">
      <c r="A116" s="18">
        <v>115.0</v>
      </c>
      <c r="B116" s="18">
        <v>34.0</v>
      </c>
      <c r="C116" s="18" t="s">
        <v>185</v>
      </c>
      <c r="D116" s="18" t="s">
        <v>1512</v>
      </c>
    </row>
    <row r="117" ht="22.5" customHeight="1">
      <c r="A117" s="18">
        <v>116.0</v>
      </c>
      <c r="B117" s="18">
        <v>34.0</v>
      </c>
      <c r="C117" s="18" t="s">
        <v>1598</v>
      </c>
      <c r="D117" s="18" t="s">
        <v>1510</v>
      </c>
    </row>
    <row r="118" ht="22.5" customHeight="1">
      <c r="A118" s="18">
        <v>117.0</v>
      </c>
      <c r="B118" s="18">
        <v>34.0</v>
      </c>
      <c r="C118" s="18" t="s">
        <v>1599</v>
      </c>
      <c r="D118" s="18" t="s">
        <v>1506</v>
      </c>
    </row>
    <row r="119" ht="22.5" customHeight="1">
      <c r="A119" s="18">
        <v>118.0</v>
      </c>
      <c r="B119" s="18">
        <v>35.0</v>
      </c>
      <c r="C119" s="18" t="s">
        <v>189</v>
      </c>
      <c r="D119" s="18" t="s">
        <v>1512</v>
      </c>
    </row>
    <row r="120" ht="22.5" customHeight="1">
      <c r="A120" s="18">
        <v>119.0</v>
      </c>
      <c r="B120" s="18">
        <v>35.0</v>
      </c>
      <c r="C120" s="18" t="s">
        <v>1600</v>
      </c>
      <c r="D120" s="18" t="s">
        <v>1506</v>
      </c>
    </row>
    <row r="121" ht="22.5" customHeight="1">
      <c r="A121" s="18">
        <v>120.0</v>
      </c>
      <c r="B121" s="18">
        <v>35.0</v>
      </c>
      <c r="C121" s="18" t="s">
        <v>1601</v>
      </c>
      <c r="D121" s="18" t="s">
        <v>1547</v>
      </c>
    </row>
    <row r="122" ht="22.5" customHeight="1">
      <c r="A122" s="18">
        <v>121.0</v>
      </c>
      <c r="B122" s="18">
        <v>36.0</v>
      </c>
      <c r="C122" s="18" t="s">
        <v>193</v>
      </c>
      <c r="D122" s="18" t="s">
        <v>1512</v>
      </c>
    </row>
    <row r="123" ht="22.5" customHeight="1">
      <c r="A123" s="18">
        <v>122.0</v>
      </c>
      <c r="B123" s="18">
        <v>36.0</v>
      </c>
      <c r="C123" s="18" t="s">
        <v>1602</v>
      </c>
      <c r="D123" s="18" t="s">
        <v>1510</v>
      </c>
    </row>
    <row r="124" ht="22.5" customHeight="1">
      <c r="A124" s="18">
        <v>123.0</v>
      </c>
      <c r="B124" s="18">
        <v>36.0</v>
      </c>
      <c r="C124" s="18" t="s">
        <v>1603</v>
      </c>
      <c r="D124" s="18" t="s">
        <v>1506</v>
      </c>
    </row>
    <row r="125" ht="22.5" customHeight="1">
      <c r="A125" s="18">
        <v>124.0</v>
      </c>
      <c r="B125" s="18">
        <v>37.0</v>
      </c>
      <c r="C125" s="18" t="s">
        <v>1604</v>
      </c>
      <c r="D125" s="18" t="s">
        <v>1508</v>
      </c>
    </row>
    <row r="126" ht="22.5" customHeight="1">
      <c r="A126" s="18">
        <v>125.0</v>
      </c>
      <c r="B126" s="18">
        <v>37.0</v>
      </c>
      <c r="C126" s="18" t="s">
        <v>1605</v>
      </c>
      <c r="D126" s="18" t="s">
        <v>1506</v>
      </c>
    </row>
    <row r="127" ht="22.5" customHeight="1">
      <c r="A127" s="18">
        <v>126.0</v>
      </c>
      <c r="B127" s="18">
        <v>37.0</v>
      </c>
      <c r="C127" s="18" t="s">
        <v>1606</v>
      </c>
      <c r="D127" s="18" t="s">
        <v>1510</v>
      </c>
    </row>
    <row r="128" ht="22.5" customHeight="1">
      <c r="A128" s="18">
        <v>127.0</v>
      </c>
      <c r="B128" s="18">
        <v>38.0</v>
      </c>
      <c r="C128" s="18" t="s">
        <v>1607</v>
      </c>
      <c r="D128" s="18" t="s">
        <v>1508</v>
      </c>
    </row>
    <row r="129" ht="22.5" customHeight="1">
      <c r="A129" s="18">
        <v>128.0</v>
      </c>
      <c r="B129" s="18">
        <v>38.0</v>
      </c>
      <c r="C129" s="18" t="s">
        <v>1608</v>
      </c>
      <c r="D129" s="18" t="s">
        <v>1506</v>
      </c>
    </row>
    <row r="130" ht="22.5" customHeight="1">
      <c r="A130" s="18">
        <v>129.0</v>
      </c>
      <c r="B130" s="18">
        <v>38.0</v>
      </c>
      <c r="C130" s="18" t="s">
        <v>200</v>
      </c>
      <c r="D130" s="18" t="s">
        <v>1512</v>
      </c>
    </row>
    <row r="131" ht="22.5" customHeight="1">
      <c r="A131" s="18">
        <v>130.0</v>
      </c>
      <c r="B131" s="18">
        <v>39.0</v>
      </c>
      <c r="C131" s="18" t="s">
        <v>1609</v>
      </c>
      <c r="D131" s="18" t="s">
        <v>1508</v>
      </c>
    </row>
    <row r="132" ht="22.5" customHeight="1">
      <c r="A132" s="18">
        <v>131.0</v>
      </c>
      <c r="B132" s="18">
        <v>39.0</v>
      </c>
      <c r="C132" s="18" t="s">
        <v>1610</v>
      </c>
      <c r="D132" s="18" t="s">
        <v>1510</v>
      </c>
    </row>
    <row r="133" ht="22.5" customHeight="1">
      <c r="A133" s="18">
        <v>132.0</v>
      </c>
      <c r="B133" s="18">
        <v>39.0</v>
      </c>
      <c r="C133" s="18" t="s">
        <v>1611</v>
      </c>
      <c r="D133" s="18" t="s">
        <v>1506</v>
      </c>
    </row>
    <row r="134" ht="22.5" customHeight="1">
      <c r="A134" s="18">
        <v>133.0</v>
      </c>
      <c r="B134" s="18">
        <v>40.0</v>
      </c>
      <c r="C134" s="18" t="s">
        <v>1612</v>
      </c>
      <c r="D134" s="18" t="s">
        <v>1508</v>
      </c>
    </row>
    <row r="135" ht="22.5" customHeight="1">
      <c r="A135" s="18">
        <v>134.0</v>
      </c>
      <c r="B135" s="18">
        <v>40.0</v>
      </c>
      <c r="C135" s="18" t="s">
        <v>1613</v>
      </c>
      <c r="D135" s="18" t="s">
        <v>1506</v>
      </c>
    </row>
    <row r="136" ht="22.5" customHeight="1">
      <c r="A136" s="18">
        <v>135.0</v>
      </c>
      <c r="B136" s="18">
        <v>40.0</v>
      </c>
      <c r="C136" s="18" t="s">
        <v>207</v>
      </c>
      <c r="D136" s="18" t="s">
        <v>1512</v>
      </c>
    </row>
    <row r="137" ht="22.5" customHeight="1">
      <c r="A137" s="18">
        <v>136.0</v>
      </c>
      <c r="B137" s="18">
        <v>41.0</v>
      </c>
      <c r="C137" s="18" t="s">
        <v>1614</v>
      </c>
      <c r="D137" s="18" t="s">
        <v>1506</v>
      </c>
    </row>
    <row r="138" ht="22.5" customHeight="1">
      <c r="A138" s="18">
        <v>137.0</v>
      </c>
      <c r="B138" s="18">
        <v>41.0</v>
      </c>
      <c r="C138" s="18" t="s">
        <v>1615</v>
      </c>
      <c r="D138" s="18" t="s">
        <v>1510</v>
      </c>
    </row>
    <row r="139" ht="22.5" customHeight="1">
      <c r="A139" s="18">
        <v>138.0</v>
      </c>
      <c r="B139" s="18">
        <v>41.0</v>
      </c>
      <c r="C139" s="18" t="s">
        <v>213</v>
      </c>
      <c r="D139" s="18" t="s">
        <v>1512</v>
      </c>
    </row>
    <row r="140" ht="22.5" customHeight="1">
      <c r="A140" s="18">
        <v>139.0</v>
      </c>
      <c r="B140" s="18">
        <v>42.0</v>
      </c>
      <c r="C140" s="18" t="s">
        <v>217</v>
      </c>
      <c r="D140" s="18" t="s">
        <v>1512</v>
      </c>
    </row>
    <row r="141" ht="22.5" customHeight="1">
      <c r="A141" s="18">
        <v>140.0</v>
      </c>
      <c r="B141" s="18">
        <v>42.0</v>
      </c>
      <c r="C141" s="18" t="s">
        <v>1616</v>
      </c>
      <c r="D141" s="18" t="s">
        <v>1508</v>
      </c>
    </row>
    <row r="142" ht="22.5" customHeight="1">
      <c r="A142" s="18">
        <v>141.0</v>
      </c>
      <c r="B142" s="18">
        <v>42.0</v>
      </c>
      <c r="C142" s="18" t="s">
        <v>1617</v>
      </c>
      <c r="D142" s="18" t="s">
        <v>1510</v>
      </c>
    </row>
    <row r="143" ht="22.5" customHeight="1">
      <c r="A143" s="18">
        <v>142.0</v>
      </c>
      <c r="B143" s="18">
        <v>43.0</v>
      </c>
      <c r="C143" s="18" t="s">
        <v>1618</v>
      </c>
      <c r="D143" s="18" t="s">
        <v>1508</v>
      </c>
    </row>
    <row r="144" ht="22.5" customHeight="1">
      <c r="A144" s="18">
        <v>143.0</v>
      </c>
      <c r="B144" s="18">
        <v>43.0</v>
      </c>
      <c r="C144" s="18" t="s">
        <v>1619</v>
      </c>
      <c r="D144" s="18" t="s">
        <v>1506</v>
      </c>
    </row>
    <row r="145" ht="22.5" customHeight="1">
      <c r="A145" s="18">
        <v>144.0</v>
      </c>
      <c r="B145" s="18">
        <v>43.0</v>
      </c>
      <c r="C145" s="18" t="s">
        <v>1620</v>
      </c>
      <c r="D145" s="18" t="s">
        <v>1510</v>
      </c>
    </row>
    <row r="146" ht="22.5" customHeight="1">
      <c r="A146" s="18">
        <v>145.0</v>
      </c>
      <c r="B146" s="18">
        <v>44.0</v>
      </c>
      <c r="C146" s="18" t="s">
        <v>224</v>
      </c>
      <c r="D146" s="18" t="s">
        <v>1506</v>
      </c>
    </row>
    <row r="147" ht="22.5" customHeight="1">
      <c r="A147" s="18">
        <v>146.0</v>
      </c>
      <c r="B147" s="18">
        <v>44.0</v>
      </c>
      <c r="C147" s="18" t="s">
        <v>1621</v>
      </c>
      <c r="D147" s="18" t="s">
        <v>1512</v>
      </c>
    </row>
    <row r="148" ht="22.5" customHeight="1">
      <c r="A148" s="18">
        <v>147.0</v>
      </c>
      <c r="B148" s="18">
        <v>44.0</v>
      </c>
      <c r="C148" s="18" t="s">
        <v>1622</v>
      </c>
      <c r="D148" s="18" t="s">
        <v>1510</v>
      </c>
    </row>
    <row r="149" ht="22.5" customHeight="1">
      <c r="A149" s="18">
        <v>148.0</v>
      </c>
      <c r="B149" s="18">
        <v>45.0</v>
      </c>
      <c r="C149" s="18" t="s">
        <v>230</v>
      </c>
      <c r="D149" s="18" t="s">
        <v>1512</v>
      </c>
    </row>
    <row r="150" ht="22.5" customHeight="1">
      <c r="A150" s="18">
        <v>149.0</v>
      </c>
      <c r="B150" s="18">
        <v>45.0</v>
      </c>
      <c r="C150" s="18" t="s">
        <v>1623</v>
      </c>
      <c r="D150" s="18" t="s">
        <v>1506</v>
      </c>
    </row>
    <row r="151" ht="22.5" customHeight="1">
      <c r="A151" s="18">
        <v>150.0</v>
      </c>
      <c r="B151" s="18">
        <v>45.0</v>
      </c>
      <c r="C151" s="18" t="s">
        <v>1624</v>
      </c>
      <c r="D151" s="18" t="s">
        <v>1510</v>
      </c>
    </row>
    <row r="152" ht="22.5" customHeight="1">
      <c r="A152" s="18">
        <v>151.0</v>
      </c>
      <c r="B152" s="18">
        <v>46.0</v>
      </c>
      <c r="C152" s="18" t="s">
        <v>234</v>
      </c>
      <c r="D152" s="18" t="s">
        <v>1512</v>
      </c>
    </row>
    <row r="153" ht="22.5" customHeight="1">
      <c r="A153" s="18">
        <v>152.0</v>
      </c>
      <c r="B153" s="18">
        <v>46.0</v>
      </c>
      <c r="C153" s="18" t="s">
        <v>1625</v>
      </c>
      <c r="D153" s="18" t="s">
        <v>1510</v>
      </c>
    </row>
    <row r="154" ht="22.5" customHeight="1">
      <c r="A154" s="18">
        <v>153.0</v>
      </c>
      <c r="B154" s="18">
        <v>46.0</v>
      </c>
      <c r="C154" s="18" t="s">
        <v>1626</v>
      </c>
      <c r="D154" s="18" t="s">
        <v>1508</v>
      </c>
    </row>
    <row r="155" ht="22.5" customHeight="1">
      <c r="A155" s="18">
        <v>154.0</v>
      </c>
      <c r="B155" s="18">
        <v>47.0</v>
      </c>
      <c r="C155" s="18" t="s">
        <v>1627</v>
      </c>
      <c r="D155" s="18" t="s">
        <v>1508</v>
      </c>
    </row>
    <row r="156" ht="22.5" customHeight="1">
      <c r="A156" s="18">
        <v>155.0</v>
      </c>
      <c r="B156" s="18">
        <v>47.0</v>
      </c>
      <c r="C156" s="18" t="s">
        <v>1628</v>
      </c>
      <c r="D156" s="18" t="s">
        <v>1506</v>
      </c>
    </row>
    <row r="157" ht="22.5" customHeight="1">
      <c r="A157" s="18">
        <v>156.0</v>
      </c>
      <c r="B157" s="18">
        <v>47.0</v>
      </c>
      <c r="C157" s="18" t="s">
        <v>1629</v>
      </c>
      <c r="D157" s="18" t="s">
        <v>1512</v>
      </c>
    </row>
    <row r="158" ht="22.5" customHeight="1">
      <c r="A158" s="18">
        <v>157.0</v>
      </c>
      <c r="B158" s="18">
        <v>48.0</v>
      </c>
      <c r="C158" s="18" t="s">
        <v>1630</v>
      </c>
      <c r="D158" s="18" t="s">
        <v>1508</v>
      </c>
    </row>
    <row r="159" ht="22.5" customHeight="1">
      <c r="A159" s="18">
        <v>158.0</v>
      </c>
      <c r="B159" s="18">
        <v>48.0</v>
      </c>
      <c r="C159" s="18" t="s">
        <v>1631</v>
      </c>
      <c r="D159" s="18" t="s">
        <v>1512</v>
      </c>
    </row>
    <row r="160" ht="22.5" customHeight="1">
      <c r="A160" s="18">
        <v>159.0</v>
      </c>
      <c r="B160" s="18">
        <v>48.0</v>
      </c>
      <c r="C160" s="18" t="s">
        <v>1632</v>
      </c>
      <c r="D160" s="18" t="s">
        <v>1510</v>
      </c>
    </row>
    <row r="161" ht="22.5" customHeight="1">
      <c r="A161" s="18">
        <v>160.0</v>
      </c>
      <c r="B161" s="18">
        <v>49.0</v>
      </c>
      <c r="C161" s="18" t="s">
        <v>1633</v>
      </c>
      <c r="D161" s="18" t="s">
        <v>1508</v>
      </c>
    </row>
    <row r="162" ht="22.5" customHeight="1">
      <c r="A162" s="18">
        <v>161.0</v>
      </c>
      <c r="B162" s="18">
        <v>49.0</v>
      </c>
      <c r="C162" s="18" t="s">
        <v>1634</v>
      </c>
      <c r="D162" s="18" t="s">
        <v>1510</v>
      </c>
    </row>
    <row r="163" ht="22.5" customHeight="1">
      <c r="A163" s="18">
        <v>162.0</v>
      </c>
      <c r="B163" s="18">
        <v>49.0</v>
      </c>
      <c r="C163" s="18" t="s">
        <v>244</v>
      </c>
      <c r="D163" s="18" t="s">
        <v>1512</v>
      </c>
    </row>
    <row r="164" ht="22.5" customHeight="1">
      <c r="A164" s="18">
        <v>163.0</v>
      </c>
      <c r="B164" s="18">
        <v>50.0</v>
      </c>
      <c r="C164" s="18" t="s">
        <v>1635</v>
      </c>
      <c r="D164" s="18" t="s">
        <v>1508</v>
      </c>
    </row>
    <row r="165" ht="22.5" customHeight="1">
      <c r="A165" s="18">
        <v>164.0</v>
      </c>
      <c r="B165" s="18">
        <v>50.0</v>
      </c>
      <c r="C165" s="18" t="s">
        <v>1636</v>
      </c>
      <c r="D165" s="18" t="s">
        <v>1506</v>
      </c>
    </row>
    <row r="166" ht="22.5" customHeight="1">
      <c r="A166" s="18">
        <v>165.0</v>
      </c>
      <c r="B166" s="18">
        <v>50.0</v>
      </c>
      <c r="C166" s="18" t="s">
        <v>1637</v>
      </c>
      <c r="D166" s="18" t="s">
        <v>1512</v>
      </c>
    </row>
    <row r="167" ht="22.5" customHeight="1">
      <c r="A167" s="18">
        <v>166.0</v>
      </c>
      <c r="B167" s="18">
        <v>51.0</v>
      </c>
      <c r="C167" s="18" t="s">
        <v>251</v>
      </c>
      <c r="D167" s="18" t="s">
        <v>1512</v>
      </c>
    </row>
    <row r="168" ht="22.5" customHeight="1">
      <c r="A168" s="18">
        <v>167.0</v>
      </c>
      <c r="B168" s="18">
        <v>51.0</v>
      </c>
      <c r="C168" s="18" t="s">
        <v>1638</v>
      </c>
      <c r="D168" s="18" t="s">
        <v>1508</v>
      </c>
    </row>
    <row r="169" ht="22.5" customHeight="1">
      <c r="A169" s="18">
        <v>168.0</v>
      </c>
      <c r="B169" s="18">
        <v>51.0</v>
      </c>
      <c r="C169" s="18" t="s">
        <v>1639</v>
      </c>
      <c r="D169" s="18" t="s">
        <v>1506</v>
      </c>
    </row>
    <row r="170" ht="22.5" customHeight="1">
      <c r="A170" s="18">
        <v>169.0</v>
      </c>
      <c r="B170" s="18">
        <v>52.0</v>
      </c>
      <c r="C170" s="18" t="s">
        <v>253</v>
      </c>
      <c r="D170" s="18" t="s">
        <v>1512</v>
      </c>
    </row>
    <row r="171" ht="22.5" customHeight="1">
      <c r="A171" s="18">
        <v>170.0</v>
      </c>
      <c r="B171" s="18">
        <v>52.0</v>
      </c>
      <c r="C171" s="18" t="s">
        <v>1640</v>
      </c>
      <c r="D171" s="18" t="s">
        <v>1506</v>
      </c>
    </row>
    <row r="172" ht="22.5" customHeight="1">
      <c r="A172" s="18">
        <v>171.0</v>
      </c>
      <c r="B172" s="18">
        <v>52.0</v>
      </c>
      <c r="C172" s="18" t="s">
        <v>1641</v>
      </c>
      <c r="D172" s="18" t="s">
        <v>1508</v>
      </c>
    </row>
    <row r="173" ht="22.5" customHeight="1">
      <c r="A173" s="18">
        <v>172.0</v>
      </c>
      <c r="B173" s="18">
        <v>53.0</v>
      </c>
      <c r="C173" s="18" t="s">
        <v>1642</v>
      </c>
      <c r="D173" s="18" t="s">
        <v>1508</v>
      </c>
    </row>
    <row r="174" ht="22.5" customHeight="1">
      <c r="A174" s="18">
        <v>173.0</v>
      </c>
      <c r="B174" s="18">
        <v>53.0</v>
      </c>
      <c r="C174" s="18" t="s">
        <v>255</v>
      </c>
      <c r="D174" s="18" t="s">
        <v>1512</v>
      </c>
    </row>
    <row r="175" ht="22.5" customHeight="1">
      <c r="A175" s="18">
        <v>174.0</v>
      </c>
      <c r="B175" s="18">
        <v>53.0</v>
      </c>
      <c r="C175" s="18" t="s">
        <v>1643</v>
      </c>
      <c r="D175" s="18" t="s">
        <v>1510</v>
      </c>
    </row>
    <row r="176" ht="22.5" customHeight="1">
      <c r="A176" s="18">
        <v>175.0</v>
      </c>
      <c r="B176" s="18">
        <v>54.0</v>
      </c>
      <c r="C176" s="18" t="s">
        <v>258</v>
      </c>
      <c r="D176" s="18" t="s">
        <v>1512</v>
      </c>
    </row>
    <row r="177" ht="22.5" customHeight="1">
      <c r="A177" s="18">
        <v>176.0</v>
      </c>
      <c r="B177" s="18">
        <v>54.0</v>
      </c>
      <c r="C177" s="18" t="s">
        <v>1644</v>
      </c>
      <c r="D177" s="18" t="s">
        <v>1510</v>
      </c>
    </row>
    <row r="178" ht="22.5" customHeight="1">
      <c r="A178" s="18">
        <v>177.0</v>
      </c>
      <c r="B178" s="18">
        <v>54.0</v>
      </c>
      <c r="C178" s="18" t="s">
        <v>1645</v>
      </c>
      <c r="D178" s="18" t="s">
        <v>1508</v>
      </c>
    </row>
    <row r="179" ht="22.5" customHeight="1">
      <c r="A179" s="18">
        <v>178.0</v>
      </c>
      <c r="B179" s="18">
        <v>55.0</v>
      </c>
      <c r="C179" s="18" t="s">
        <v>1646</v>
      </c>
      <c r="D179" s="18" t="s">
        <v>1508</v>
      </c>
    </row>
    <row r="180" ht="22.5" customHeight="1">
      <c r="A180" s="18">
        <v>179.0</v>
      </c>
      <c r="B180" s="18">
        <v>55.0</v>
      </c>
      <c r="C180" s="18" t="s">
        <v>1647</v>
      </c>
      <c r="D180" s="18" t="s">
        <v>1510</v>
      </c>
    </row>
    <row r="181" ht="22.5" customHeight="1">
      <c r="A181" s="18">
        <v>180.0</v>
      </c>
      <c r="B181" s="18">
        <v>55.0</v>
      </c>
      <c r="C181" s="18" t="s">
        <v>261</v>
      </c>
      <c r="D181" s="18" t="s">
        <v>1512</v>
      </c>
    </row>
    <row r="182" ht="22.5" customHeight="1">
      <c r="A182" s="18">
        <v>181.0</v>
      </c>
      <c r="B182" s="18">
        <v>56.0</v>
      </c>
      <c r="C182" s="18" t="s">
        <v>1648</v>
      </c>
      <c r="D182" s="18" t="s">
        <v>1506</v>
      </c>
    </row>
    <row r="183" ht="22.5" customHeight="1">
      <c r="A183" s="18">
        <v>182.0</v>
      </c>
      <c r="B183" s="18">
        <v>56.0</v>
      </c>
      <c r="C183" s="18" t="s">
        <v>1649</v>
      </c>
      <c r="D183" s="18" t="s">
        <v>1510</v>
      </c>
    </row>
    <row r="184" ht="22.5" customHeight="1">
      <c r="A184" s="18">
        <v>183.0</v>
      </c>
      <c r="B184" s="18">
        <v>56.0</v>
      </c>
      <c r="C184" s="18" t="s">
        <v>262</v>
      </c>
      <c r="D184" s="18" t="s">
        <v>1512</v>
      </c>
    </row>
    <row r="185" ht="22.5" customHeight="1">
      <c r="A185" s="18">
        <v>184.0</v>
      </c>
      <c r="B185" s="18">
        <v>57.0</v>
      </c>
      <c r="C185" s="18" t="s">
        <v>1650</v>
      </c>
      <c r="D185" s="18" t="s">
        <v>1508</v>
      </c>
    </row>
    <row r="186" ht="22.5" customHeight="1">
      <c r="A186" s="18">
        <v>185.0</v>
      </c>
      <c r="B186" s="18">
        <v>57.0</v>
      </c>
      <c r="C186" s="18" t="s">
        <v>1651</v>
      </c>
      <c r="D186" s="18" t="s">
        <v>1506</v>
      </c>
    </row>
    <row r="187" ht="22.5" customHeight="1">
      <c r="A187" s="18">
        <v>186.0</v>
      </c>
      <c r="B187" s="18">
        <v>57.0</v>
      </c>
      <c r="C187" s="18" t="s">
        <v>265</v>
      </c>
      <c r="D187" s="18" t="s">
        <v>1512</v>
      </c>
    </row>
    <row r="188" ht="22.5" customHeight="1">
      <c r="A188" s="18">
        <v>187.0</v>
      </c>
      <c r="B188" s="18">
        <v>58.0</v>
      </c>
      <c r="C188" s="18" t="s">
        <v>1652</v>
      </c>
      <c r="D188" s="18" t="s">
        <v>1508</v>
      </c>
    </row>
    <row r="189" ht="22.5" customHeight="1">
      <c r="A189" s="18">
        <v>188.0</v>
      </c>
      <c r="B189" s="18">
        <v>58.0</v>
      </c>
      <c r="C189" s="18" t="s">
        <v>267</v>
      </c>
      <c r="D189" s="18" t="s">
        <v>1512</v>
      </c>
    </row>
    <row r="190" ht="22.5" customHeight="1">
      <c r="A190" s="18">
        <v>189.0</v>
      </c>
      <c r="B190" s="18">
        <v>58.0</v>
      </c>
      <c r="C190" s="18" t="s">
        <v>1653</v>
      </c>
      <c r="D190" s="18" t="s">
        <v>1510</v>
      </c>
    </row>
    <row r="191" ht="22.5" customHeight="1">
      <c r="A191" s="18">
        <v>190.0</v>
      </c>
      <c r="B191" s="18">
        <v>59.0</v>
      </c>
      <c r="C191" s="18" t="s">
        <v>1654</v>
      </c>
      <c r="D191" s="18" t="s">
        <v>1508</v>
      </c>
    </row>
    <row r="192" ht="22.5" customHeight="1">
      <c r="A192" s="18">
        <v>191.0</v>
      </c>
      <c r="B192" s="18">
        <v>59.0</v>
      </c>
      <c r="C192" s="18" t="s">
        <v>1655</v>
      </c>
      <c r="D192" s="18" t="s">
        <v>1506</v>
      </c>
    </row>
    <row r="193" ht="22.5" customHeight="1">
      <c r="A193" s="18">
        <v>192.0</v>
      </c>
      <c r="B193" s="18">
        <v>59.0</v>
      </c>
      <c r="C193" s="18" t="s">
        <v>1656</v>
      </c>
      <c r="D193" s="18" t="s">
        <v>1512</v>
      </c>
    </row>
    <row r="194" ht="22.5" customHeight="1">
      <c r="A194" s="18">
        <v>193.0</v>
      </c>
      <c r="B194" s="18">
        <v>60.0</v>
      </c>
      <c r="C194" s="18" t="s">
        <v>1657</v>
      </c>
      <c r="D194" s="18" t="s">
        <v>1508</v>
      </c>
    </row>
    <row r="195" ht="22.5" customHeight="1">
      <c r="A195" s="18">
        <v>194.0</v>
      </c>
      <c r="B195" s="18">
        <v>60.0</v>
      </c>
      <c r="C195" s="18" t="s">
        <v>1658</v>
      </c>
      <c r="D195" s="18" t="s">
        <v>1510</v>
      </c>
    </row>
    <row r="196" ht="22.5" customHeight="1">
      <c r="A196" s="18">
        <v>195.0</v>
      </c>
      <c r="B196" s="18">
        <v>60.0</v>
      </c>
      <c r="C196" s="18" t="s">
        <v>1659</v>
      </c>
      <c r="D196" s="18" t="s">
        <v>1512</v>
      </c>
    </row>
    <row r="197" ht="22.5" customHeight="1">
      <c r="A197" s="18">
        <v>196.0</v>
      </c>
      <c r="B197" s="18">
        <v>61.0</v>
      </c>
      <c r="C197" s="18" t="s">
        <v>1660</v>
      </c>
      <c r="D197" s="18" t="s">
        <v>1508</v>
      </c>
    </row>
    <row r="198" ht="22.5" customHeight="1">
      <c r="A198" s="18">
        <v>197.0</v>
      </c>
      <c r="B198" s="18">
        <v>61.0</v>
      </c>
      <c r="C198" s="18" t="s">
        <v>1661</v>
      </c>
      <c r="D198" s="18" t="s">
        <v>1506</v>
      </c>
    </row>
    <row r="199" ht="22.5" customHeight="1">
      <c r="A199" s="18">
        <v>198.0</v>
      </c>
      <c r="B199" s="18">
        <v>61.0</v>
      </c>
      <c r="C199" s="18" t="s">
        <v>1662</v>
      </c>
      <c r="D199" s="18" t="s">
        <v>1510</v>
      </c>
    </row>
    <row r="200" ht="22.5" customHeight="1">
      <c r="A200" s="18">
        <v>199.0</v>
      </c>
      <c r="B200" s="18">
        <v>62.0</v>
      </c>
      <c r="C200" s="18" t="s">
        <v>1663</v>
      </c>
      <c r="D200" s="18" t="s">
        <v>1506</v>
      </c>
    </row>
    <row r="201" ht="22.5" customHeight="1">
      <c r="A201" s="18">
        <v>200.0</v>
      </c>
      <c r="B201" s="18">
        <v>62.0</v>
      </c>
      <c r="C201" s="18" t="s">
        <v>274</v>
      </c>
      <c r="D201" s="18" t="s">
        <v>1512</v>
      </c>
    </row>
    <row r="202" ht="22.5" customHeight="1">
      <c r="A202" s="18">
        <v>201.0</v>
      </c>
      <c r="B202" s="18">
        <v>62.0</v>
      </c>
      <c r="C202" s="18" t="s">
        <v>1664</v>
      </c>
      <c r="D202" s="18" t="s">
        <v>1510</v>
      </c>
    </row>
    <row r="203" ht="22.5" customHeight="1">
      <c r="A203" s="18">
        <v>202.0</v>
      </c>
      <c r="B203" s="18">
        <v>63.0</v>
      </c>
      <c r="C203" s="18" t="s">
        <v>1665</v>
      </c>
      <c r="D203" s="18" t="s">
        <v>1582</v>
      </c>
    </row>
    <row r="204" ht="22.5" customHeight="1">
      <c r="A204" s="18">
        <v>203.0</v>
      </c>
      <c r="B204" s="18">
        <v>63.0</v>
      </c>
      <c r="C204" s="18" t="s">
        <v>1666</v>
      </c>
      <c r="D204" s="18" t="s">
        <v>1510</v>
      </c>
    </row>
    <row r="205" ht="22.5" customHeight="1">
      <c r="A205" s="18">
        <v>204.0</v>
      </c>
      <c r="B205" s="18">
        <v>63.0</v>
      </c>
      <c r="C205" s="18" t="s">
        <v>1667</v>
      </c>
      <c r="D205" s="18" t="s">
        <v>1512</v>
      </c>
    </row>
    <row r="206" ht="22.5" customHeight="1">
      <c r="A206" s="18">
        <v>205.0</v>
      </c>
      <c r="B206" s="18">
        <v>64.0</v>
      </c>
      <c r="C206" s="18" t="s">
        <v>279</v>
      </c>
      <c r="D206" s="18" t="s">
        <v>1512</v>
      </c>
    </row>
    <row r="207" ht="22.5" customHeight="1">
      <c r="A207" s="18">
        <v>206.0</v>
      </c>
      <c r="B207" s="18">
        <v>64.0</v>
      </c>
      <c r="C207" s="18" t="s">
        <v>1668</v>
      </c>
      <c r="D207" s="18" t="s">
        <v>1510</v>
      </c>
    </row>
    <row r="208" ht="22.5" customHeight="1">
      <c r="A208" s="18">
        <v>207.0</v>
      </c>
      <c r="B208" s="18">
        <v>64.0</v>
      </c>
      <c r="C208" s="18" t="s">
        <v>1669</v>
      </c>
      <c r="D208" s="18" t="s">
        <v>1508</v>
      </c>
    </row>
    <row r="209" ht="22.5" customHeight="1">
      <c r="A209" s="18">
        <v>208.0</v>
      </c>
      <c r="B209" s="18">
        <v>65.0</v>
      </c>
      <c r="C209" s="18" t="s">
        <v>281</v>
      </c>
      <c r="D209" s="18" t="s">
        <v>1512</v>
      </c>
    </row>
    <row r="210" ht="22.5" customHeight="1">
      <c r="A210" s="18">
        <v>209.0</v>
      </c>
      <c r="B210" s="18">
        <v>65.0</v>
      </c>
      <c r="C210" s="18" t="s">
        <v>1571</v>
      </c>
      <c r="D210" s="18" t="s">
        <v>1506</v>
      </c>
    </row>
    <row r="211" ht="22.5" customHeight="1">
      <c r="A211" s="18">
        <v>210.0</v>
      </c>
      <c r="B211" s="18">
        <v>65.0</v>
      </c>
      <c r="C211" s="18" t="s">
        <v>1670</v>
      </c>
      <c r="D211" s="18" t="s">
        <v>1510</v>
      </c>
    </row>
    <row r="212" ht="22.5" customHeight="1">
      <c r="A212" s="18">
        <v>211.0</v>
      </c>
      <c r="B212" s="18">
        <v>66.0</v>
      </c>
      <c r="C212" s="18" t="s">
        <v>1671</v>
      </c>
      <c r="D212" s="18" t="s">
        <v>1506</v>
      </c>
    </row>
    <row r="213" ht="22.5" customHeight="1">
      <c r="A213" s="18">
        <v>212.0</v>
      </c>
      <c r="B213" s="18">
        <v>66.0</v>
      </c>
      <c r="C213" s="18" t="s">
        <v>1672</v>
      </c>
      <c r="D213" s="18" t="s">
        <v>1510</v>
      </c>
    </row>
    <row r="214" ht="22.5" customHeight="1">
      <c r="A214" s="18">
        <v>213.0</v>
      </c>
      <c r="B214" s="18">
        <v>66.0</v>
      </c>
      <c r="C214" s="18" t="s">
        <v>1673</v>
      </c>
      <c r="D214" s="18" t="s">
        <v>1512</v>
      </c>
    </row>
    <row r="215" ht="22.5" customHeight="1">
      <c r="A215" s="18">
        <v>214.0</v>
      </c>
      <c r="B215" s="18">
        <v>67.0</v>
      </c>
      <c r="C215" s="18" t="s">
        <v>1674</v>
      </c>
      <c r="D215" s="18" t="s">
        <v>1506</v>
      </c>
    </row>
    <row r="216" ht="22.5" customHeight="1">
      <c r="A216" s="18">
        <v>215.0</v>
      </c>
      <c r="B216" s="18">
        <v>67.0</v>
      </c>
      <c r="C216" s="18" t="s">
        <v>1675</v>
      </c>
      <c r="D216" s="18" t="s">
        <v>1510</v>
      </c>
    </row>
    <row r="217" ht="22.5" customHeight="1">
      <c r="A217" s="18">
        <v>216.0</v>
      </c>
      <c r="B217" s="18">
        <v>67.0</v>
      </c>
      <c r="C217" s="18" t="s">
        <v>1676</v>
      </c>
      <c r="D217" s="18" t="s">
        <v>1677</v>
      </c>
    </row>
    <row r="218" ht="22.5" customHeight="1">
      <c r="A218" s="18">
        <v>217.0</v>
      </c>
      <c r="B218" s="18">
        <v>68.0</v>
      </c>
      <c r="C218" s="18" t="s">
        <v>287</v>
      </c>
      <c r="D218" s="18" t="s">
        <v>1512</v>
      </c>
    </row>
    <row r="219" ht="22.5" customHeight="1">
      <c r="A219" s="18">
        <v>218.0</v>
      </c>
      <c r="B219" s="18">
        <v>68.0</v>
      </c>
      <c r="C219" s="18" t="s">
        <v>1520</v>
      </c>
      <c r="D219" s="18" t="s">
        <v>1506</v>
      </c>
    </row>
    <row r="220" ht="22.5" customHeight="1">
      <c r="A220" s="18">
        <v>219.0</v>
      </c>
      <c r="B220" s="18">
        <v>68.0</v>
      </c>
      <c r="C220" s="18" t="s">
        <v>1678</v>
      </c>
      <c r="D220" s="18" t="s">
        <v>1510</v>
      </c>
    </row>
    <row r="221" ht="22.5" customHeight="1">
      <c r="A221" s="18">
        <v>220.0</v>
      </c>
      <c r="B221" s="18">
        <v>69.0</v>
      </c>
      <c r="C221" s="18" t="s">
        <v>1679</v>
      </c>
      <c r="D221" s="18" t="s">
        <v>1506</v>
      </c>
    </row>
    <row r="222" ht="22.5" customHeight="1">
      <c r="A222" s="18">
        <v>221.0</v>
      </c>
      <c r="B222" s="18">
        <v>69.0</v>
      </c>
      <c r="C222" s="18" t="s">
        <v>289</v>
      </c>
      <c r="D222" s="18" t="s">
        <v>1513</v>
      </c>
    </row>
    <row r="223" ht="22.5" customHeight="1">
      <c r="A223" s="18">
        <v>222.0</v>
      </c>
      <c r="B223" s="18">
        <v>69.0</v>
      </c>
      <c r="C223" s="18" t="s">
        <v>1680</v>
      </c>
      <c r="D223" s="18" t="s">
        <v>1512</v>
      </c>
    </row>
    <row r="224" ht="22.5" customHeight="1">
      <c r="A224" s="18">
        <v>223.0</v>
      </c>
      <c r="B224" s="18">
        <v>70.0</v>
      </c>
      <c r="C224" s="18" t="s">
        <v>291</v>
      </c>
      <c r="D224" s="18" t="s">
        <v>1512</v>
      </c>
    </row>
    <row r="225" ht="22.5" customHeight="1">
      <c r="A225" s="18">
        <v>224.0</v>
      </c>
      <c r="B225" s="18">
        <v>70.0</v>
      </c>
      <c r="C225" s="18" t="s">
        <v>1681</v>
      </c>
      <c r="D225" s="18" t="s">
        <v>1510</v>
      </c>
    </row>
    <row r="226" ht="22.5" customHeight="1">
      <c r="A226" s="18">
        <v>225.0</v>
      </c>
      <c r="B226" s="18">
        <v>70.0</v>
      </c>
      <c r="C226" s="18" t="s">
        <v>1682</v>
      </c>
      <c r="D226" s="18" t="s">
        <v>1506</v>
      </c>
    </row>
    <row r="227" ht="22.5" customHeight="1">
      <c r="A227" s="18">
        <v>226.0</v>
      </c>
      <c r="B227" s="18">
        <v>71.0</v>
      </c>
      <c r="C227" s="18" t="s">
        <v>1683</v>
      </c>
      <c r="D227" s="18" t="s">
        <v>1506</v>
      </c>
    </row>
    <row r="228" ht="22.5" customHeight="1">
      <c r="A228" s="18">
        <v>227.0</v>
      </c>
      <c r="B228" s="18">
        <v>71.0</v>
      </c>
      <c r="C228" s="18" t="s">
        <v>1684</v>
      </c>
      <c r="D228" s="18" t="s">
        <v>1510</v>
      </c>
    </row>
    <row r="229" ht="22.5" customHeight="1">
      <c r="A229" s="18">
        <v>228.0</v>
      </c>
      <c r="B229" s="18">
        <v>71.0</v>
      </c>
      <c r="C229" s="18" t="s">
        <v>293</v>
      </c>
      <c r="D229" s="18" t="s">
        <v>1512</v>
      </c>
    </row>
    <row r="230" ht="22.5" customHeight="1">
      <c r="A230" s="18">
        <v>229.0</v>
      </c>
      <c r="B230" s="18">
        <v>72.0</v>
      </c>
      <c r="C230" s="18" t="s">
        <v>1685</v>
      </c>
      <c r="D230" s="18" t="s">
        <v>1508</v>
      </c>
    </row>
    <row r="231" ht="22.5" customHeight="1">
      <c r="A231" s="18">
        <v>230.0</v>
      </c>
      <c r="B231" s="18">
        <v>72.0</v>
      </c>
      <c r="C231" s="18" t="s">
        <v>298</v>
      </c>
      <c r="D231" s="18" t="s">
        <v>1512</v>
      </c>
    </row>
    <row r="232" ht="22.5" customHeight="1">
      <c r="A232" s="18">
        <v>231.0</v>
      </c>
      <c r="B232" s="18">
        <v>72.0</v>
      </c>
      <c r="C232" s="18" t="s">
        <v>1686</v>
      </c>
      <c r="D232" s="18" t="s">
        <v>1510</v>
      </c>
    </row>
    <row r="233" ht="22.5" customHeight="1">
      <c r="A233" s="18">
        <v>232.0</v>
      </c>
      <c r="B233" s="18">
        <v>73.0</v>
      </c>
      <c r="C233" s="18" t="s">
        <v>1687</v>
      </c>
      <c r="D233" s="18" t="s">
        <v>1508</v>
      </c>
    </row>
    <row r="234" ht="22.5" customHeight="1">
      <c r="A234" s="18">
        <v>233.0</v>
      </c>
      <c r="B234" s="18">
        <v>73.0</v>
      </c>
      <c r="C234" s="18" t="s">
        <v>1688</v>
      </c>
      <c r="D234" s="18" t="s">
        <v>1506</v>
      </c>
    </row>
    <row r="235" ht="22.5" customHeight="1">
      <c r="A235" s="18">
        <v>234.0</v>
      </c>
      <c r="B235" s="18">
        <v>73.0</v>
      </c>
      <c r="C235" s="18" t="s">
        <v>5</v>
      </c>
      <c r="D235" s="18" t="s">
        <v>1512</v>
      </c>
    </row>
    <row r="236" ht="22.5" customHeight="1">
      <c r="A236" s="18">
        <v>235.0</v>
      </c>
      <c r="B236" s="18">
        <v>74.0</v>
      </c>
      <c r="C236" s="18" t="s">
        <v>308</v>
      </c>
      <c r="D236" s="18" t="s">
        <v>1512</v>
      </c>
    </row>
    <row r="237" ht="22.5" customHeight="1">
      <c r="A237" s="18">
        <v>236.0</v>
      </c>
      <c r="B237" s="18">
        <v>74.0</v>
      </c>
      <c r="C237" s="18" t="s">
        <v>1689</v>
      </c>
      <c r="D237" s="18" t="s">
        <v>1506</v>
      </c>
    </row>
    <row r="238" ht="22.5" customHeight="1">
      <c r="A238" s="18">
        <v>237.0</v>
      </c>
      <c r="B238" s="18">
        <v>74.0</v>
      </c>
      <c r="C238" s="18" t="s">
        <v>1690</v>
      </c>
      <c r="D238" s="18" t="s">
        <v>1508</v>
      </c>
    </row>
    <row r="239" ht="22.5" customHeight="1">
      <c r="A239" s="18">
        <v>238.0</v>
      </c>
      <c r="B239" s="18">
        <v>75.0</v>
      </c>
      <c r="C239" s="18" t="s">
        <v>1691</v>
      </c>
      <c r="D239" s="18" t="s">
        <v>1512</v>
      </c>
    </row>
    <row r="240" ht="22.5" customHeight="1">
      <c r="A240" s="18">
        <v>239.0</v>
      </c>
      <c r="B240" s="18">
        <v>75.0</v>
      </c>
      <c r="C240" s="18" t="s">
        <v>1692</v>
      </c>
      <c r="D240" s="18" t="s">
        <v>1506</v>
      </c>
    </row>
    <row r="241" ht="22.5" customHeight="1">
      <c r="A241" s="18">
        <v>240.0</v>
      </c>
      <c r="B241" s="18">
        <v>75.0</v>
      </c>
      <c r="C241" s="18" t="s">
        <v>1693</v>
      </c>
      <c r="D241" s="18" t="s">
        <v>1510</v>
      </c>
    </row>
    <row r="242" ht="22.5" customHeight="1">
      <c r="A242" s="18">
        <v>241.0</v>
      </c>
      <c r="B242" s="18">
        <v>76.0</v>
      </c>
      <c r="C242" s="18" t="s">
        <v>1694</v>
      </c>
      <c r="D242" s="18" t="s">
        <v>1506</v>
      </c>
    </row>
    <row r="243" ht="22.5" customHeight="1">
      <c r="A243" s="18">
        <v>242.0</v>
      </c>
      <c r="B243" s="18">
        <v>76.0</v>
      </c>
      <c r="C243" s="18" t="s">
        <v>318</v>
      </c>
      <c r="D243" s="18" t="s">
        <v>1512</v>
      </c>
    </row>
    <row r="244" ht="22.5" customHeight="1">
      <c r="A244" s="18">
        <v>243.0</v>
      </c>
      <c r="B244" s="18">
        <v>76.0</v>
      </c>
      <c r="C244" s="18" t="s">
        <v>1695</v>
      </c>
      <c r="D244" s="18" t="s">
        <v>1510</v>
      </c>
    </row>
    <row r="245" ht="22.5" customHeight="1">
      <c r="A245" s="18">
        <v>244.0</v>
      </c>
      <c r="B245" s="18">
        <v>77.0</v>
      </c>
      <c r="C245" s="18" t="s">
        <v>321</v>
      </c>
      <c r="D245" s="18" t="s">
        <v>1512</v>
      </c>
    </row>
    <row r="246" ht="22.5" customHeight="1">
      <c r="A246" s="18">
        <v>245.0</v>
      </c>
      <c r="B246" s="18">
        <v>77.0</v>
      </c>
      <c r="C246" s="18" t="s">
        <v>1696</v>
      </c>
      <c r="D246" s="18" t="s">
        <v>1506</v>
      </c>
    </row>
    <row r="247" ht="22.5" customHeight="1">
      <c r="A247" s="18">
        <v>246.0</v>
      </c>
      <c r="B247" s="18">
        <v>77.0</v>
      </c>
      <c r="C247" s="18" t="s">
        <v>1697</v>
      </c>
      <c r="D247" s="18" t="s">
        <v>1510</v>
      </c>
    </row>
    <row r="248" ht="22.5" customHeight="1">
      <c r="A248" s="18">
        <v>247.0</v>
      </c>
      <c r="B248" s="18">
        <v>78.0</v>
      </c>
      <c r="C248" s="18" t="s">
        <v>1698</v>
      </c>
      <c r="D248" s="18" t="s">
        <v>1506</v>
      </c>
    </row>
    <row r="249" ht="22.5" customHeight="1">
      <c r="A249" s="18">
        <v>248.0</v>
      </c>
      <c r="B249" s="18">
        <v>78.0</v>
      </c>
      <c r="C249" s="18" t="s">
        <v>324</v>
      </c>
      <c r="D249" s="18" t="s">
        <v>1512</v>
      </c>
    </row>
    <row r="250" ht="22.5" customHeight="1">
      <c r="A250" s="18">
        <v>249.0</v>
      </c>
      <c r="B250" s="18">
        <v>78.0</v>
      </c>
      <c r="C250" s="18" t="s">
        <v>1699</v>
      </c>
      <c r="D250" s="18" t="s">
        <v>1510</v>
      </c>
    </row>
    <row r="251" ht="22.5" customHeight="1">
      <c r="A251" s="18">
        <v>250.0</v>
      </c>
      <c r="B251" s="18">
        <v>79.0</v>
      </c>
      <c r="C251" s="18" t="s">
        <v>328</v>
      </c>
      <c r="D251" s="18" t="s">
        <v>1512</v>
      </c>
    </row>
    <row r="252" ht="22.5" customHeight="1">
      <c r="A252" s="18">
        <v>251.0</v>
      </c>
      <c r="B252" s="18">
        <v>79.0</v>
      </c>
      <c r="C252" s="18" t="s">
        <v>1678</v>
      </c>
      <c r="D252" s="18" t="s">
        <v>1506</v>
      </c>
    </row>
    <row r="253" ht="22.5" customHeight="1">
      <c r="A253" s="18">
        <v>252.0</v>
      </c>
      <c r="B253" s="18">
        <v>79.0</v>
      </c>
      <c r="C253" s="18" t="s">
        <v>1568</v>
      </c>
      <c r="D253" s="18" t="s">
        <v>1510</v>
      </c>
    </row>
    <row r="254" ht="22.5" customHeight="1">
      <c r="A254" s="18">
        <v>253.0</v>
      </c>
      <c r="B254" s="18">
        <v>80.0</v>
      </c>
      <c r="C254" s="18" t="s">
        <v>332</v>
      </c>
      <c r="D254" s="18" t="s">
        <v>1512</v>
      </c>
    </row>
    <row r="255" ht="22.5" customHeight="1">
      <c r="A255" s="18">
        <v>254.0</v>
      </c>
      <c r="B255" s="18">
        <v>80.0</v>
      </c>
      <c r="C255" s="18" t="s">
        <v>1700</v>
      </c>
      <c r="D255" s="18" t="s">
        <v>1582</v>
      </c>
    </row>
    <row r="256" ht="22.5" customHeight="1">
      <c r="A256" s="18">
        <v>255.0</v>
      </c>
      <c r="B256" s="18">
        <v>80.0</v>
      </c>
      <c r="C256" s="18" t="s">
        <v>1701</v>
      </c>
      <c r="D256" s="18" t="s">
        <v>1510</v>
      </c>
    </row>
    <row r="257" ht="22.5" customHeight="1">
      <c r="A257" s="18">
        <v>256.0</v>
      </c>
      <c r="B257" s="18">
        <v>81.0</v>
      </c>
      <c r="C257" s="18" t="s">
        <v>1702</v>
      </c>
      <c r="D257" s="18" t="s">
        <v>1508</v>
      </c>
    </row>
    <row r="258" ht="22.5" customHeight="1">
      <c r="A258" s="18">
        <v>257.0</v>
      </c>
      <c r="B258" s="18">
        <v>81.0</v>
      </c>
      <c r="C258" s="18" t="s">
        <v>336</v>
      </c>
      <c r="D258" s="18" t="s">
        <v>1512</v>
      </c>
    </row>
    <row r="259" ht="22.5" customHeight="1">
      <c r="A259" s="18">
        <v>258.0</v>
      </c>
      <c r="B259" s="18">
        <v>81.0</v>
      </c>
      <c r="C259" s="18" t="s">
        <v>1703</v>
      </c>
      <c r="D259" s="18" t="s">
        <v>1506</v>
      </c>
    </row>
    <row r="260" ht="22.5" customHeight="1">
      <c r="A260" s="18">
        <v>259.0</v>
      </c>
      <c r="B260" s="18">
        <v>82.0</v>
      </c>
      <c r="C260" s="18" t="s">
        <v>340</v>
      </c>
      <c r="D260" s="18" t="s">
        <v>1512</v>
      </c>
    </row>
    <row r="261" ht="22.5" customHeight="1">
      <c r="A261" s="18">
        <v>260.0</v>
      </c>
      <c r="B261" s="18">
        <v>82.0</v>
      </c>
      <c r="C261" s="18" t="s">
        <v>1704</v>
      </c>
      <c r="D261" s="18" t="s">
        <v>1506</v>
      </c>
    </row>
    <row r="262" ht="22.5" customHeight="1">
      <c r="A262" s="18">
        <v>261.0</v>
      </c>
      <c r="B262" s="18">
        <v>82.0</v>
      </c>
      <c r="C262" s="18" t="s">
        <v>1705</v>
      </c>
      <c r="D262" s="18" t="s">
        <v>1510</v>
      </c>
    </row>
    <row r="263" ht="22.5" customHeight="1">
      <c r="A263" s="18">
        <v>262.0</v>
      </c>
      <c r="B263" s="18">
        <v>83.0</v>
      </c>
      <c r="C263" s="18" t="s">
        <v>345</v>
      </c>
      <c r="D263" s="18" t="s">
        <v>1512</v>
      </c>
    </row>
    <row r="264" ht="22.5" customHeight="1">
      <c r="A264" s="18">
        <v>263.0</v>
      </c>
      <c r="B264" s="18">
        <v>83.0</v>
      </c>
      <c r="C264" s="18" t="s">
        <v>1706</v>
      </c>
      <c r="D264" s="18" t="s">
        <v>1506</v>
      </c>
    </row>
    <row r="265" ht="22.5" customHeight="1">
      <c r="A265" s="18">
        <v>264.0</v>
      </c>
      <c r="B265" s="18">
        <v>83.0</v>
      </c>
      <c r="C265" s="18" t="s">
        <v>1707</v>
      </c>
      <c r="D265" s="18" t="s">
        <v>1510</v>
      </c>
    </row>
    <row r="266" ht="22.5" customHeight="1">
      <c r="A266" s="18">
        <v>265.0</v>
      </c>
      <c r="B266" s="18">
        <v>84.0</v>
      </c>
      <c r="C266" s="18" t="s">
        <v>1708</v>
      </c>
      <c r="D266" s="18" t="s">
        <v>1508</v>
      </c>
    </row>
    <row r="267" ht="22.5" customHeight="1">
      <c r="A267" s="18">
        <v>266.0</v>
      </c>
      <c r="B267" s="18">
        <v>84.0</v>
      </c>
      <c r="C267" s="18" t="s">
        <v>348</v>
      </c>
      <c r="D267" s="18" t="s">
        <v>1512</v>
      </c>
    </row>
    <row r="268" ht="22.5" customHeight="1">
      <c r="A268" s="18">
        <v>267.0</v>
      </c>
      <c r="B268" s="18">
        <v>84.0</v>
      </c>
      <c r="C268" s="18" t="s">
        <v>1709</v>
      </c>
      <c r="D268" s="18" t="s">
        <v>1506</v>
      </c>
    </row>
    <row r="269" ht="22.5" customHeight="1">
      <c r="A269" s="18">
        <v>268.0</v>
      </c>
      <c r="B269" s="18">
        <v>85.0</v>
      </c>
      <c r="C269" s="18" t="s">
        <v>352</v>
      </c>
      <c r="D269" s="18" t="s">
        <v>1512</v>
      </c>
    </row>
    <row r="270" ht="22.5" customHeight="1">
      <c r="A270" s="18">
        <v>269.0</v>
      </c>
      <c r="B270" s="18">
        <v>85.0</v>
      </c>
      <c r="C270" s="18" t="s">
        <v>1710</v>
      </c>
      <c r="D270" s="18" t="s">
        <v>1506</v>
      </c>
    </row>
    <row r="271" ht="22.5" customHeight="1">
      <c r="A271" s="18">
        <v>270.0</v>
      </c>
      <c r="B271" s="18">
        <v>85.0</v>
      </c>
      <c r="C271" s="18" t="s">
        <v>1711</v>
      </c>
      <c r="D271" s="18" t="s">
        <v>1510</v>
      </c>
    </row>
    <row r="272" ht="22.5" customHeight="1">
      <c r="A272" s="18">
        <v>271.0</v>
      </c>
      <c r="B272" s="18">
        <v>86.0</v>
      </c>
      <c r="C272" s="18" t="s">
        <v>357</v>
      </c>
      <c r="D272" s="18" t="s">
        <v>1512</v>
      </c>
    </row>
    <row r="273" ht="22.5" customHeight="1">
      <c r="A273" s="18">
        <v>272.0</v>
      </c>
      <c r="B273" s="18">
        <v>86.0</v>
      </c>
      <c r="C273" s="18" t="s">
        <v>1712</v>
      </c>
      <c r="D273" s="18" t="s">
        <v>1506</v>
      </c>
    </row>
    <row r="274" ht="22.5" customHeight="1">
      <c r="A274" s="18">
        <v>273.0</v>
      </c>
      <c r="B274" s="18">
        <v>86.0</v>
      </c>
      <c r="C274" s="18" t="s">
        <v>1713</v>
      </c>
      <c r="D274" s="18" t="s">
        <v>1510</v>
      </c>
    </row>
    <row r="275" ht="22.5" customHeight="1">
      <c r="A275" s="18">
        <v>274.0</v>
      </c>
      <c r="B275" s="18">
        <v>87.0</v>
      </c>
      <c r="C275" s="18" t="s">
        <v>1714</v>
      </c>
      <c r="D275" s="18" t="s">
        <v>1513</v>
      </c>
    </row>
    <row r="276" ht="22.5" customHeight="1">
      <c r="A276" s="18">
        <v>275.0</v>
      </c>
      <c r="B276" s="18">
        <v>87.0</v>
      </c>
      <c r="C276" s="18" t="s">
        <v>360</v>
      </c>
      <c r="D276" s="18" t="s">
        <v>1512</v>
      </c>
    </row>
    <row r="277" ht="22.5" customHeight="1">
      <c r="A277" s="18">
        <v>276.0</v>
      </c>
      <c r="B277" s="18">
        <v>87.0</v>
      </c>
      <c r="C277" s="18" t="s">
        <v>1715</v>
      </c>
      <c r="D277" s="18" t="s">
        <v>1510</v>
      </c>
    </row>
    <row r="278" ht="22.5" customHeight="1">
      <c r="A278" s="18">
        <v>277.0</v>
      </c>
      <c r="B278" s="18">
        <v>88.0</v>
      </c>
      <c r="C278" s="18" t="s">
        <v>1716</v>
      </c>
      <c r="D278" s="18" t="s">
        <v>1508</v>
      </c>
    </row>
    <row r="279" ht="22.5" customHeight="1">
      <c r="A279" s="18">
        <v>278.0</v>
      </c>
      <c r="B279" s="18">
        <v>88.0</v>
      </c>
      <c r="C279" s="18" t="s">
        <v>1717</v>
      </c>
      <c r="D279" s="18" t="s">
        <v>1506</v>
      </c>
    </row>
    <row r="280" ht="22.5" customHeight="1">
      <c r="A280" s="18">
        <v>279.0</v>
      </c>
      <c r="B280" s="18">
        <v>88.0</v>
      </c>
      <c r="C280" s="18" t="s">
        <v>365</v>
      </c>
      <c r="D280" s="18" t="s">
        <v>1512</v>
      </c>
    </row>
    <row r="281" ht="22.5" customHeight="1">
      <c r="A281" s="18">
        <v>280.0</v>
      </c>
      <c r="B281" s="18">
        <v>89.0</v>
      </c>
      <c r="C281" s="18" t="s">
        <v>1718</v>
      </c>
      <c r="D281" s="18" t="s">
        <v>1508</v>
      </c>
    </row>
    <row r="282" ht="22.5" customHeight="1">
      <c r="A282" s="18">
        <v>281.0</v>
      </c>
      <c r="B282" s="18">
        <v>89.0</v>
      </c>
      <c r="C282" s="18" t="s">
        <v>368</v>
      </c>
      <c r="D282" s="18" t="s">
        <v>1512</v>
      </c>
    </row>
    <row r="283" ht="22.5" customHeight="1">
      <c r="A283" s="18">
        <v>282.0</v>
      </c>
      <c r="B283" s="18">
        <v>89.0</v>
      </c>
      <c r="C283" s="18" t="s">
        <v>1719</v>
      </c>
      <c r="D283" s="18" t="s">
        <v>1506</v>
      </c>
    </row>
    <row r="284" ht="22.5" customHeight="1">
      <c r="A284" s="18">
        <v>283.0</v>
      </c>
      <c r="B284" s="18">
        <v>90.0</v>
      </c>
      <c r="C284" s="18" t="s">
        <v>1720</v>
      </c>
      <c r="D284" s="18" t="s">
        <v>1506</v>
      </c>
    </row>
    <row r="285" ht="22.5" customHeight="1">
      <c r="A285" s="18">
        <v>284.0</v>
      </c>
      <c r="B285" s="18">
        <v>90.0</v>
      </c>
      <c r="C285" s="18" t="s">
        <v>1721</v>
      </c>
      <c r="D285" s="18" t="s">
        <v>1510</v>
      </c>
    </row>
    <row r="286" ht="22.5" customHeight="1">
      <c r="A286" s="18">
        <v>285.0</v>
      </c>
      <c r="B286" s="18">
        <v>90.0</v>
      </c>
      <c r="C286" s="18" t="s">
        <v>371</v>
      </c>
      <c r="D286" s="18" t="s">
        <v>1512</v>
      </c>
    </row>
    <row r="287" ht="22.5" customHeight="1">
      <c r="A287" s="18">
        <v>286.0</v>
      </c>
      <c r="B287" s="18">
        <v>91.0</v>
      </c>
      <c r="C287" s="18" t="s">
        <v>374</v>
      </c>
      <c r="D287" s="18" t="s">
        <v>1508</v>
      </c>
    </row>
    <row r="288" ht="22.5" customHeight="1">
      <c r="A288" s="18">
        <v>287.0</v>
      </c>
      <c r="B288" s="18">
        <v>91.0</v>
      </c>
      <c r="C288" s="18" t="s">
        <v>375</v>
      </c>
      <c r="D288" s="18" t="s">
        <v>1512</v>
      </c>
    </row>
    <row r="289" ht="22.5" customHeight="1">
      <c r="A289" s="18">
        <v>288.0</v>
      </c>
      <c r="B289" s="18">
        <v>91.0</v>
      </c>
      <c r="C289" s="18" t="s">
        <v>1722</v>
      </c>
      <c r="D289" s="18" t="s">
        <v>1510</v>
      </c>
    </row>
    <row r="290" ht="22.5" customHeight="1">
      <c r="A290" s="18">
        <v>289.0</v>
      </c>
      <c r="B290" s="18">
        <v>92.0</v>
      </c>
      <c r="C290" s="18" t="s">
        <v>378</v>
      </c>
      <c r="D290" s="18" t="s">
        <v>1508</v>
      </c>
    </row>
    <row r="291" ht="22.5" customHeight="1">
      <c r="A291" s="18">
        <v>290.0</v>
      </c>
      <c r="B291" s="18">
        <v>92.0</v>
      </c>
      <c r="C291" s="18" t="s">
        <v>379</v>
      </c>
      <c r="D291" s="18" t="s">
        <v>1512</v>
      </c>
    </row>
    <row r="292" ht="22.5" customHeight="1">
      <c r="A292" s="18">
        <v>291.0</v>
      </c>
      <c r="B292" s="18">
        <v>92.0</v>
      </c>
      <c r="C292" s="18" t="s">
        <v>1723</v>
      </c>
      <c r="D292" s="18" t="s">
        <v>1510</v>
      </c>
    </row>
    <row r="293" ht="22.5" customHeight="1">
      <c r="A293" s="18">
        <v>292.0</v>
      </c>
      <c r="B293" s="18">
        <v>93.0</v>
      </c>
      <c r="C293" s="18" t="s">
        <v>1724</v>
      </c>
      <c r="D293" s="18" t="s">
        <v>1506</v>
      </c>
    </row>
    <row r="294" ht="22.5" customHeight="1">
      <c r="A294" s="18">
        <v>293.0</v>
      </c>
      <c r="B294" s="18">
        <v>93.0</v>
      </c>
      <c r="C294" s="18" t="s">
        <v>383</v>
      </c>
      <c r="D294" s="18" t="s">
        <v>1512</v>
      </c>
    </row>
    <row r="295" ht="22.5" customHeight="1">
      <c r="A295" s="18">
        <v>294.0</v>
      </c>
      <c r="B295" s="18">
        <v>93.0</v>
      </c>
      <c r="C295" s="18" t="s">
        <v>1725</v>
      </c>
      <c r="D295" s="18" t="s">
        <v>1547</v>
      </c>
    </row>
    <row r="296" ht="22.5" customHeight="1">
      <c r="A296" s="18">
        <v>295.0</v>
      </c>
      <c r="B296" s="18">
        <v>94.0</v>
      </c>
      <c r="C296" s="18" t="s">
        <v>388</v>
      </c>
      <c r="D296" s="18" t="s">
        <v>1508</v>
      </c>
    </row>
    <row r="297" ht="22.5" customHeight="1">
      <c r="A297" s="18">
        <v>296.0</v>
      </c>
      <c r="B297" s="18">
        <v>94.0</v>
      </c>
      <c r="C297" s="18" t="s">
        <v>389</v>
      </c>
      <c r="D297" s="18" t="s">
        <v>1512</v>
      </c>
    </row>
    <row r="298" ht="22.5" customHeight="1">
      <c r="A298" s="18">
        <v>297.0</v>
      </c>
      <c r="B298" s="18">
        <v>94.0</v>
      </c>
      <c r="C298" s="18" t="s">
        <v>1726</v>
      </c>
      <c r="D298" s="18" t="s">
        <v>1506</v>
      </c>
    </row>
    <row r="299" ht="22.5" customHeight="1">
      <c r="A299" s="18">
        <v>298.0</v>
      </c>
      <c r="B299" s="18">
        <v>95.0</v>
      </c>
      <c r="C299" s="18" t="s">
        <v>392</v>
      </c>
      <c r="D299" s="18" t="s">
        <v>1508</v>
      </c>
    </row>
    <row r="300" ht="22.5" customHeight="1">
      <c r="A300" s="18">
        <v>299.0</v>
      </c>
      <c r="B300" s="18">
        <v>95.0</v>
      </c>
      <c r="C300" s="18" t="s">
        <v>1727</v>
      </c>
      <c r="D300" s="18" t="s">
        <v>1506</v>
      </c>
    </row>
    <row r="301" ht="22.5" customHeight="1">
      <c r="A301" s="18">
        <v>300.0</v>
      </c>
      <c r="B301" s="18">
        <v>95.0</v>
      </c>
      <c r="C301" s="18" t="s">
        <v>1728</v>
      </c>
      <c r="D301" s="18" t="s">
        <v>1512</v>
      </c>
    </row>
    <row r="302" ht="22.5" customHeight="1">
      <c r="A302" s="18">
        <v>301.0</v>
      </c>
      <c r="B302" s="18">
        <v>96.0</v>
      </c>
      <c r="C302" s="18" t="s">
        <v>395</v>
      </c>
      <c r="D302" s="18" t="s">
        <v>1508</v>
      </c>
    </row>
    <row r="303" ht="22.5" customHeight="1">
      <c r="A303" s="18">
        <v>302.0</v>
      </c>
      <c r="B303" s="18">
        <v>96.0</v>
      </c>
      <c r="C303" s="18" t="s">
        <v>1729</v>
      </c>
      <c r="D303" s="18" t="s">
        <v>1730</v>
      </c>
    </row>
    <row r="304" ht="22.5" customHeight="1">
      <c r="A304" s="18">
        <v>303.0</v>
      </c>
      <c r="B304" s="18">
        <v>96.0</v>
      </c>
      <c r="C304" s="18" t="s">
        <v>1731</v>
      </c>
      <c r="D304" s="18" t="s">
        <v>1510</v>
      </c>
    </row>
    <row r="305" ht="22.5" customHeight="1">
      <c r="A305" s="18">
        <v>304.0</v>
      </c>
      <c r="B305" s="18">
        <v>97.0</v>
      </c>
      <c r="C305" s="18" t="s">
        <v>399</v>
      </c>
      <c r="D305" s="18" t="s">
        <v>1508</v>
      </c>
    </row>
    <row r="306" ht="22.5" customHeight="1">
      <c r="A306" s="18">
        <v>305.0</v>
      </c>
      <c r="B306" s="18">
        <v>97.0</v>
      </c>
      <c r="C306" s="18" t="s">
        <v>401</v>
      </c>
      <c r="D306" s="18" t="s">
        <v>1512</v>
      </c>
    </row>
    <row r="307" ht="22.5" customHeight="1">
      <c r="A307" s="18">
        <v>306.0</v>
      </c>
      <c r="B307" s="18">
        <v>97.0</v>
      </c>
      <c r="C307" s="18" t="s">
        <v>1732</v>
      </c>
      <c r="D307" s="18" t="s">
        <v>1506</v>
      </c>
    </row>
    <row r="308" ht="22.5" customHeight="1">
      <c r="A308" s="18">
        <v>307.0</v>
      </c>
      <c r="B308" s="18">
        <v>98.0</v>
      </c>
      <c r="C308" s="18" t="s">
        <v>405</v>
      </c>
      <c r="D308" s="18" t="s">
        <v>1508</v>
      </c>
    </row>
    <row r="309" ht="22.5" customHeight="1">
      <c r="A309" s="18">
        <v>308.0</v>
      </c>
      <c r="B309" s="18">
        <v>98.0</v>
      </c>
      <c r="C309" s="18" t="s">
        <v>406</v>
      </c>
      <c r="D309" s="18" t="s">
        <v>1512</v>
      </c>
    </row>
    <row r="310" ht="22.5" customHeight="1">
      <c r="A310" s="18">
        <v>309.0</v>
      </c>
      <c r="B310" s="18">
        <v>98.0</v>
      </c>
      <c r="C310" s="18" t="s">
        <v>1733</v>
      </c>
      <c r="D310" s="18" t="s">
        <v>1506</v>
      </c>
    </row>
    <row r="311" ht="22.5" customHeight="1">
      <c r="A311" s="18">
        <v>310.0</v>
      </c>
      <c r="B311" s="18">
        <v>99.0</v>
      </c>
      <c r="C311" s="18" t="s">
        <v>412</v>
      </c>
      <c r="D311" s="18" t="s">
        <v>1508</v>
      </c>
    </row>
    <row r="312" ht="22.5" customHeight="1">
      <c r="A312" s="18">
        <v>311.0</v>
      </c>
      <c r="B312" s="18">
        <v>99.0</v>
      </c>
      <c r="C312" s="18" t="s">
        <v>413</v>
      </c>
      <c r="D312" s="18" t="s">
        <v>1512</v>
      </c>
    </row>
    <row r="313" ht="22.5" customHeight="1">
      <c r="A313" s="18">
        <v>312.0</v>
      </c>
      <c r="B313" s="18">
        <v>99.0</v>
      </c>
      <c r="C313" s="18" t="s">
        <v>1734</v>
      </c>
      <c r="D313" s="18" t="s">
        <v>1506</v>
      </c>
    </row>
    <row r="314" ht="22.5" customHeight="1">
      <c r="A314" s="18">
        <v>313.0</v>
      </c>
      <c r="B314" s="18">
        <v>100.0</v>
      </c>
      <c r="C314" s="18" t="s">
        <v>417</v>
      </c>
      <c r="D314" s="18" t="s">
        <v>1508</v>
      </c>
    </row>
    <row r="315" ht="22.5" customHeight="1">
      <c r="A315" s="18">
        <v>314.0</v>
      </c>
      <c r="B315" s="18">
        <v>100.0</v>
      </c>
      <c r="C315" s="18" t="s">
        <v>419</v>
      </c>
      <c r="D315" s="18" t="s">
        <v>1512</v>
      </c>
    </row>
    <row r="316" ht="22.5" customHeight="1">
      <c r="A316" s="18">
        <v>315.0</v>
      </c>
      <c r="B316" s="18">
        <v>100.0</v>
      </c>
      <c r="C316" s="18" t="s">
        <v>1735</v>
      </c>
      <c r="D316" s="18" t="s">
        <v>1506</v>
      </c>
    </row>
    <row r="317" ht="22.5" customHeight="1">
      <c r="A317" s="18">
        <v>316.0</v>
      </c>
      <c r="B317" s="18">
        <v>101.0</v>
      </c>
      <c r="C317" s="18" t="s">
        <v>423</v>
      </c>
      <c r="D317" s="18" t="s">
        <v>1508</v>
      </c>
    </row>
    <row r="318" ht="22.5" customHeight="1">
      <c r="A318" s="18">
        <v>317.0</v>
      </c>
      <c r="B318" s="18">
        <v>101.0</v>
      </c>
      <c r="C318" s="18" t="s">
        <v>425</v>
      </c>
      <c r="D318" s="18" t="s">
        <v>1512</v>
      </c>
    </row>
    <row r="319" ht="22.5" customHeight="1">
      <c r="A319" s="18">
        <v>318.0</v>
      </c>
      <c r="B319" s="18">
        <v>101.0</v>
      </c>
      <c r="C319" s="18" t="s">
        <v>1736</v>
      </c>
      <c r="D319" s="18" t="s">
        <v>1510</v>
      </c>
    </row>
    <row r="320" ht="22.5" customHeight="1">
      <c r="A320" s="18">
        <v>319.0</v>
      </c>
      <c r="B320" s="18">
        <v>102.0</v>
      </c>
      <c r="C320" s="18" t="s">
        <v>429</v>
      </c>
      <c r="D320" s="18" t="s">
        <v>1508</v>
      </c>
    </row>
    <row r="321" ht="22.5" customHeight="1">
      <c r="A321" s="18">
        <v>320.0</v>
      </c>
      <c r="B321" s="18">
        <v>102.0</v>
      </c>
      <c r="C321" s="18" t="s">
        <v>431</v>
      </c>
      <c r="D321" s="18" t="s">
        <v>1512</v>
      </c>
    </row>
    <row r="322" ht="22.5" customHeight="1">
      <c r="A322" s="18">
        <v>321.0</v>
      </c>
      <c r="B322" s="18">
        <v>102.0</v>
      </c>
      <c r="C322" s="18" t="s">
        <v>1737</v>
      </c>
      <c r="D322" s="18" t="s">
        <v>1506</v>
      </c>
    </row>
    <row r="323" ht="22.5" customHeight="1">
      <c r="A323" s="18">
        <v>322.0</v>
      </c>
      <c r="B323" s="18">
        <v>103.0</v>
      </c>
      <c r="C323" s="18" t="s">
        <v>1738</v>
      </c>
      <c r="D323" s="18" t="s">
        <v>1512</v>
      </c>
    </row>
    <row r="324" ht="22.5" customHeight="1">
      <c r="A324" s="18">
        <v>323.0</v>
      </c>
      <c r="B324" s="18">
        <v>103.0</v>
      </c>
      <c r="C324" s="18" t="s">
        <v>1739</v>
      </c>
      <c r="D324" s="18" t="s">
        <v>1506</v>
      </c>
    </row>
    <row r="325" ht="22.5" customHeight="1">
      <c r="A325" s="18">
        <v>324.0</v>
      </c>
      <c r="B325" s="18">
        <v>103.0</v>
      </c>
      <c r="C325" s="18" t="s">
        <v>1740</v>
      </c>
      <c r="D325" s="18" t="s">
        <v>1508</v>
      </c>
    </row>
    <row r="326" ht="22.5" customHeight="1">
      <c r="A326" s="18">
        <v>325.0</v>
      </c>
      <c r="B326" s="18">
        <v>104.0</v>
      </c>
      <c r="C326" s="18" t="s">
        <v>1741</v>
      </c>
      <c r="D326" s="18" t="s">
        <v>1508</v>
      </c>
    </row>
    <row r="327" ht="22.5" customHeight="1">
      <c r="A327" s="18">
        <v>326.0</v>
      </c>
      <c r="B327" s="18">
        <v>104.0</v>
      </c>
      <c r="C327" s="18" t="s">
        <v>1742</v>
      </c>
      <c r="D327" s="18" t="s">
        <v>1508</v>
      </c>
    </row>
    <row r="328" ht="22.5" customHeight="1">
      <c r="A328" s="18">
        <v>327.0</v>
      </c>
      <c r="B328" s="18">
        <v>104.0</v>
      </c>
      <c r="C328" s="18" t="s">
        <v>1743</v>
      </c>
      <c r="D328" s="18" t="s">
        <v>1512</v>
      </c>
    </row>
    <row r="329" ht="22.5" customHeight="1">
      <c r="A329" s="18">
        <v>328.0</v>
      </c>
      <c r="B329" s="18">
        <v>105.0</v>
      </c>
      <c r="C329" s="18" t="s">
        <v>446</v>
      </c>
      <c r="D329" s="18" t="s">
        <v>1508</v>
      </c>
    </row>
    <row r="330" ht="22.5" customHeight="1">
      <c r="A330" s="18">
        <v>329.0</v>
      </c>
      <c r="B330" s="18">
        <v>105.0</v>
      </c>
      <c r="C330" s="18" t="s">
        <v>447</v>
      </c>
      <c r="D330" s="18" t="s">
        <v>1512</v>
      </c>
    </row>
    <row r="331" ht="22.5" customHeight="1">
      <c r="A331" s="18">
        <v>330.0</v>
      </c>
      <c r="B331" s="18">
        <v>105.0</v>
      </c>
      <c r="C331" s="18" t="s">
        <v>1744</v>
      </c>
      <c r="D331" s="18" t="s">
        <v>1506</v>
      </c>
    </row>
    <row r="332" ht="22.5" customHeight="1">
      <c r="A332" s="18">
        <v>331.0</v>
      </c>
      <c r="B332" s="18">
        <v>106.0</v>
      </c>
      <c r="C332" s="18" t="s">
        <v>450</v>
      </c>
      <c r="D332" s="18" t="s">
        <v>1508</v>
      </c>
    </row>
    <row r="333" ht="22.5" customHeight="1">
      <c r="A333" s="18">
        <v>332.0</v>
      </c>
      <c r="B333" s="18">
        <v>106.0</v>
      </c>
      <c r="C333" s="18" t="s">
        <v>1745</v>
      </c>
      <c r="D333" s="18" t="s">
        <v>1510</v>
      </c>
    </row>
    <row r="334" ht="22.5" customHeight="1">
      <c r="A334" s="18">
        <v>333.0</v>
      </c>
      <c r="B334" s="18">
        <v>106.0</v>
      </c>
      <c r="C334" s="18" t="s">
        <v>451</v>
      </c>
      <c r="D334" s="18" t="s">
        <v>1512</v>
      </c>
    </row>
    <row r="335" ht="22.5" customHeight="1">
      <c r="A335" s="18">
        <v>334.0</v>
      </c>
      <c r="B335" s="18">
        <v>107.0</v>
      </c>
      <c r="C335" s="18" t="s">
        <v>456</v>
      </c>
      <c r="D335" s="18" t="s">
        <v>1508</v>
      </c>
    </row>
    <row r="336" ht="22.5" customHeight="1">
      <c r="A336" s="18">
        <v>335.0</v>
      </c>
      <c r="B336" s="18">
        <v>107.0</v>
      </c>
      <c r="C336" s="18" t="s">
        <v>1746</v>
      </c>
      <c r="D336" s="18" t="s">
        <v>1510</v>
      </c>
    </row>
    <row r="337" ht="22.5" customHeight="1">
      <c r="A337" s="18">
        <v>336.0</v>
      </c>
      <c r="B337" s="18">
        <v>107.0</v>
      </c>
      <c r="C337" s="18" t="s">
        <v>457</v>
      </c>
      <c r="D337" s="18" t="s">
        <v>1512</v>
      </c>
    </row>
    <row r="338" ht="22.5" customHeight="1">
      <c r="A338" s="18">
        <v>337.0</v>
      </c>
      <c r="B338" s="18">
        <v>108.0</v>
      </c>
      <c r="C338" s="18" t="s">
        <v>459</v>
      </c>
      <c r="D338" s="18" t="s">
        <v>1508</v>
      </c>
    </row>
    <row r="339" ht="22.5" customHeight="1">
      <c r="A339" s="18">
        <v>338.0</v>
      </c>
      <c r="B339" s="18">
        <v>108.0</v>
      </c>
      <c r="C339" s="18" t="s">
        <v>1747</v>
      </c>
      <c r="D339" s="18" t="s">
        <v>1506</v>
      </c>
    </row>
    <row r="340" ht="22.5" customHeight="1">
      <c r="A340" s="18">
        <v>339.0</v>
      </c>
      <c r="B340" s="18">
        <v>108.0</v>
      </c>
      <c r="C340" s="18" t="s">
        <v>461</v>
      </c>
      <c r="D340" s="18" t="s">
        <v>1512</v>
      </c>
    </row>
    <row r="341" ht="22.5" customHeight="1">
      <c r="A341" s="18">
        <v>340.0</v>
      </c>
      <c r="B341" s="18">
        <v>109.0</v>
      </c>
      <c r="C341" s="18" t="s">
        <v>465</v>
      </c>
      <c r="D341" s="18" t="s">
        <v>1512</v>
      </c>
    </row>
    <row r="342" ht="22.5" customHeight="1">
      <c r="A342" s="18">
        <v>341.0</v>
      </c>
      <c r="B342" s="18">
        <v>109.0</v>
      </c>
      <c r="C342" s="18" t="s">
        <v>1748</v>
      </c>
      <c r="D342" s="18" t="s">
        <v>1508</v>
      </c>
    </row>
    <row r="343" ht="22.5" customHeight="1">
      <c r="A343" s="18">
        <v>342.0</v>
      </c>
      <c r="B343" s="18">
        <v>109.0</v>
      </c>
      <c r="C343" s="18" t="s">
        <v>1749</v>
      </c>
      <c r="D343" s="18" t="s">
        <v>1547</v>
      </c>
    </row>
    <row r="344" ht="22.5" customHeight="1">
      <c r="A344" s="18">
        <v>343.0</v>
      </c>
      <c r="B344" s="18">
        <v>110.0</v>
      </c>
      <c r="C344" s="18" t="s">
        <v>471</v>
      </c>
      <c r="D344" s="18" t="s">
        <v>1512</v>
      </c>
    </row>
    <row r="345" ht="22.5" customHeight="1">
      <c r="A345" s="18">
        <v>344.0</v>
      </c>
      <c r="B345" s="18">
        <v>110.0</v>
      </c>
      <c r="C345" s="18" t="s">
        <v>1750</v>
      </c>
      <c r="D345" s="18" t="s">
        <v>1508</v>
      </c>
    </row>
    <row r="346" ht="22.5" customHeight="1">
      <c r="A346" s="18">
        <v>345.0</v>
      </c>
      <c r="B346" s="18">
        <v>110.0</v>
      </c>
      <c r="C346" s="18" t="s">
        <v>1751</v>
      </c>
      <c r="D346" s="18" t="s">
        <v>1547</v>
      </c>
    </row>
    <row r="347" ht="22.5" customHeight="1">
      <c r="A347" s="18">
        <v>346.0</v>
      </c>
      <c r="B347" s="18">
        <v>111.0</v>
      </c>
      <c r="C347" s="18" t="s">
        <v>1752</v>
      </c>
      <c r="D347" s="18" t="s">
        <v>1512</v>
      </c>
    </row>
    <row r="348" ht="22.5" customHeight="1">
      <c r="A348" s="18">
        <v>347.0</v>
      </c>
      <c r="B348" s="18">
        <v>111.0</v>
      </c>
      <c r="C348" s="18" t="s">
        <v>1753</v>
      </c>
      <c r="D348" s="18" t="s">
        <v>1582</v>
      </c>
    </row>
    <row r="349" ht="22.5" customHeight="1">
      <c r="A349" s="18">
        <v>348.0</v>
      </c>
      <c r="B349" s="18">
        <v>111.0</v>
      </c>
      <c r="C349" s="18" t="s">
        <v>1754</v>
      </c>
      <c r="D349" s="18" t="s">
        <v>1510</v>
      </c>
    </row>
    <row r="350" ht="22.5" customHeight="1">
      <c r="A350" s="23">
        <v>349.0</v>
      </c>
      <c r="B350" s="23">
        <v>115.0</v>
      </c>
      <c r="C350" s="23" t="s">
        <v>1755</v>
      </c>
      <c r="D350" s="23" t="s">
        <v>1730</v>
      </c>
    </row>
    <row r="351" ht="22.5" customHeight="1">
      <c r="A351" s="23">
        <v>350.0</v>
      </c>
      <c r="B351" s="23">
        <v>115.0</v>
      </c>
      <c r="C351" s="23" t="s">
        <v>1756</v>
      </c>
      <c r="D351" s="23" t="s">
        <v>1730</v>
      </c>
    </row>
    <row r="352" ht="22.5" customHeight="1">
      <c r="A352" s="23">
        <v>351.0</v>
      </c>
      <c r="B352" s="23">
        <v>114.0</v>
      </c>
      <c r="C352" s="23" t="s">
        <v>1757</v>
      </c>
      <c r="D352" s="23" t="s">
        <v>1547</v>
      </c>
    </row>
    <row r="353" ht="22.5" customHeight="1">
      <c r="A353" s="23">
        <v>352.0</v>
      </c>
      <c r="B353" s="23">
        <v>114.0</v>
      </c>
      <c r="C353" s="23" t="s">
        <v>1758</v>
      </c>
      <c r="D353" s="23" t="s">
        <v>1547</v>
      </c>
    </row>
    <row r="354" ht="22.5" customHeight="1">
      <c r="A354" s="23">
        <v>353.0</v>
      </c>
      <c r="B354" s="23">
        <v>114.0</v>
      </c>
      <c r="C354" s="23" t="s">
        <v>1759</v>
      </c>
      <c r="D354" s="23" t="s">
        <v>1512</v>
      </c>
    </row>
    <row r="355" ht="22.5" customHeight="1">
      <c r="A355" s="23">
        <v>354.0</v>
      </c>
      <c r="B355" s="23">
        <v>113.0</v>
      </c>
      <c r="C355" s="23" t="s">
        <v>1760</v>
      </c>
      <c r="D355" s="23" t="s">
        <v>1730</v>
      </c>
    </row>
    <row r="356" ht="22.5" customHeight="1">
      <c r="A356" s="23">
        <v>355.0</v>
      </c>
      <c r="B356" s="23">
        <v>113.0</v>
      </c>
      <c r="C356" s="23" t="s">
        <v>1761</v>
      </c>
      <c r="D356" s="23" t="s">
        <v>1730</v>
      </c>
    </row>
    <row r="357" ht="22.5" customHeight="1">
      <c r="A357" s="23">
        <v>356.0</v>
      </c>
      <c r="B357" s="23">
        <v>113.0</v>
      </c>
      <c r="C357" s="23" t="s">
        <v>1762</v>
      </c>
      <c r="D357" s="23" t="s">
        <v>1512</v>
      </c>
    </row>
    <row r="358" ht="22.5" customHeight="1">
      <c r="A358" s="23">
        <v>357.0</v>
      </c>
      <c r="B358" s="23">
        <v>112.0</v>
      </c>
      <c r="C358" s="23" t="s">
        <v>1763</v>
      </c>
      <c r="D358" s="23" t="s">
        <v>1512</v>
      </c>
    </row>
    <row r="359" ht="22.5" customHeight="1">
      <c r="A359" s="23">
        <v>358.0</v>
      </c>
      <c r="B359" s="23">
        <v>112.0</v>
      </c>
      <c r="C359" s="23" t="s">
        <v>477</v>
      </c>
      <c r="D359" s="23" t="s">
        <v>1730</v>
      </c>
    </row>
    <row r="360" ht="22.5" customHeight="1">
      <c r="A360" s="23">
        <v>359.0</v>
      </c>
      <c r="B360" s="23">
        <v>112.0</v>
      </c>
      <c r="C360" s="23" t="s">
        <v>1764</v>
      </c>
      <c r="D360" s="23" t="s">
        <v>1730</v>
      </c>
    </row>
    <row r="361" ht="22.5" customHeight="1">
      <c r="A361" s="23">
        <v>360.0</v>
      </c>
      <c r="B361" s="23">
        <v>3.0</v>
      </c>
      <c r="C361" s="23" t="s">
        <v>1765</v>
      </c>
      <c r="D361" s="23" t="s">
        <v>1508</v>
      </c>
    </row>
    <row r="362" ht="22.5" customHeight="1">
      <c r="A362" s="23">
        <v>361.0</v>
      </c>
      <c r="B362" s="23">
        <v>116.0</v>
      </c>
      <c r="C362" s="23" t="s">
        <v>1766</v>
      </c>
      <c r="D362" s="23" t="s">
        <v>1547</v>
      </c>
    </row>
    <row r="363" ht="22.5" customHeight="1">
      <c r="A363" s="23">
        <v>362.0</v>
      </c>
      <c r="B363" s="23">
        <v>116.0</v>
      </c>
      <c r="C363" s="23" t="s">
        <v>1767</v>
      </c>
      <c r="D363" s="23" t="s">
        <v>1730</v>
      </c>
    </row>
    <row r="364" ht="22.5" customHeight="1">
      <c r="A364" s="23">
        <v>363.0</v>
      </c>
      <c r="B364" s="23">
        <v>116.0</v>
      </c>
      <c r="C364" s="23" t="s">
        <v>1768</v>
      </c>
      <c r="D364" s="23" t="s">
        <v>1547</v>
      </c>
    </row>
    <row r="365" ht="22.5" customHeight="1">
      <c r="A365" s="23">
        <v>364.0</v>
      </c>
      <c r="B365" s="23">
        <v>116.0</v>
      </c>
      <c r="C365" s="23" t="s">
        <v>1769</v>
      </c>
      <c r="D365" s="23" t="s">
        <v>1547</v>
      </c>
    </row>
    <row r="366" ht="22.5" customHeight="1">
      <c r="A366" s="23">
        <v>365.0</v>
      </c>
      <c r="B366" s="23">
        <v>117.0</v>
      </c>
      <c r="C366" s="23" t="s">
        <v>496</v>
      </c>
      <c r="D366" s="23" t="s">
        <v>1730</v>
      </c>
    </row>
    <row r="367" ht="22.5" customHeight="1">
      <c r="A367" s="23">
        <v>366.0</v>
      </c>
      <c r="B367" s="23">
        <v>117.0</v>
      </c>
      <c r="C367" s="23" t="s">
        <v>1770</v>
      </c>
      <c r="D367" s="23" t="s">
        <v>1582</v>
      </c>
    </row>
    <row r="368" ht="22.5" customHeight="1">
      <c r="A368" s="23">
        <v>367.0</v>
      </c>
      <c r="B368" s="23">
        <v>117.0</v>
      </c>
      <c r="C368" s="23" t="s">
        <v>1771</v>
      </c>
      <c r="D368" s="23" t="s">
        <v>1547</v>
      </c>
    </row>
    <row r="369" ht="22.5" customHeight="1">
      <c r="A369" s="23">
        <v>368.0</v>
      </c>
      <c r="B369" s="23">
        <v>118.0</v>
      </c>
      <c r="C369" s="23" t="s">
        <v>1772</v>
      </c>
      <c r="D369" s="23" t="s">
        <v>1547</v>
      </c>
    </row>
    <row r="370" ht="22.5" customHeight="1">
      <c r="A370" s="23">
        <v>369.0</v>
      </c>
      <c r="B370" s="23">
        <v>118.0</v>
      </c>
      <c r="C370" s="23" t="s">
        <v>1773</v>
      </c>
      <c r="D370" s="23" t="s">
        <v>1512</v>
      </c>
    </row>
    <row r="371" ht="22.5" customHeight="1">
      <c r="A371" s="23">
        <v>370.0</v>
      </c>
      <c r="B371" s="23">
        <v>118.0</v>
      </c>
      <c r="C371" s="23" t="s">
        <v>1774</v>
      </c>
      <c r="D371" s="23" t="s">
        <v>1512</v>
      </c>
    </row>
    <row r="372" ht="22.5" customHeight="1">
      <c r="A372" s="23">
        <v>371.0</v>
      </c>
      <c r="B372" s="23">
        <v>118.0</v>
      </c>
      <c r="C372" s="23" t="s">
        <v>1775</v>
      </c>
      <c r="D372" s="23" t="s">
        <v>1512</v>
      </c>
    </row>
    <row r="373" ht="22.5" customHeight="1">
      <c r="A373" s="23">
        <v>372.0</v>
      </c>
      <c r="B373" s="23">
        <v>118.0</v>
      </c>
      <c r="C373" s="23" t="s">
        <v>1776</v>
      </c>
      <c r="D373" s="23" t="s">
        <v>1512</v>
      </c>
    </row>
    <row r="374" ht="22.5" customHeight="1">
      <c r="A374" s="23">
        <v>373.0</v>
      </c>
      <c r="B374" s="23">
        <v>118.0</v>
      </c>
      <c r="C374" s="23" t="s">
        <v>1777</v>
      </c>
      <c r="D374" s="23" t="s">
        <v>1512</v>
      </c>
    </row>
    <row r="375" ht="22.5" customHeight="1">
      <c r="A375" s="23">
        <v>374.0</v>
      </c>
      <c r="B375" s="23">
        <v>118.0</v>
      </c>
      <c r="C375" s="23" t="s">
        <v>1778</v>
      </c>
      <c r="D375" s="23" t="s">
        <v>1512</v>
      </c>
    </row>
    <row r="376" ht="22.5" customHeight="1">
      <c r="A376" s="23">
        <v>375.0</v>
      </c>
      <c r="B376" s="23">
        <v>118.0</v>
      </c>
      <c r="C376" s="23" t="s">
        <v>1779</v>
      </c>
      <c r="D376" s="23" t="s">
        <v>1512</v>
      </c>
    </row>
    <row r="377" ht="22.5" customHeight="1">
      <c r="A377" s="23">
        <v>376.0</v>
      </c>
      <c r="B377" s="23">
        <v>118.0</v>
      </c>
      <c r="C377" s="23" t="s">
        <v>1780</v>
      </c>
      <c r="D377" s="23" t="s">
        <v>1512</v>
      </c>
    </row>
    <row r="378" ht="22.5" customHeight="1">
      <c r="A378" s="23">
        <v>377.0</v>
      </c>
      <c r="B378" s="23">
        <v>118.0</v>
      </c>
      <c r="C378" s="23" t="s">
        <v>1781</v>
      </c>
      <c r="D378" s="23" t="s">
        <v>1512</v>
      </c>
    </row>
    <row r="379" ht="22.5" customHeight="1">
      <c r="A379" s="23">
        <v>378.0</v>
      </c>
      <c r="B379" s="18">
        <v>59.0</v>
      </c>
      <c r="C379" s="23" t="s">
        <v>1782</v>
      </c>
      <c r="D379" s="23" t="s">
        <v>1730</v>
      </c>
    </row>
    <row r="380" ht="22.5" customHeight="1">
      <c r="A380" s="23">
        <v>379.0</v>
      </c>
      <c r="B380" s="18">
        <v>59.0</v>
      </c>
      <c r="C380" s="23" t="s">
        <v>1783</v>
      </c>
      <c r="D380" s="23" t="s">
        <v>1582</v>
      </c>
    </row>
    <row r="381" ht="22.5" customHeight="1">
      <c r="A381" s="23">
        <v>380.0</v>
      </c>
      <c r="B381" s="18">
        <v>60.0</v>
      </c>
      <c r="C381" s="23" t="s">
        <v>1782</v>
      </c>
      <c r="D381" s="23" t="s">
        <v>1730</v>
      </c>
    </row>
    <row r="382" ht="22.5" customHeight="1">
      <c r="A382" s="23">
        <v>381.0</v>
      </c>
      <c r="B382" s="23">
        <v>60.0</v>
      </c>
      <c r="C382" s="23" t="s">
        <v>1783</v>
      </c>
      <c r="D382" s="23" t="s">
        <v>1582</v>
      </c>
    </row>
    <row r="383" ht="22.5" customHeight="1">
      <c r="A383" s="23">
        <v>382.0</v>
      </c>
      <c r="B383" s="23">
        <v>33.0</v>
      </c>
      <c r="C383" s="23" t="s">
        <v>1784</v>
      </c>
      <c r="D383" s="23" t="s">
        <v>1508</v>
      </c>
    </row>
    <row r="384" ht="22.5" customHeight="1">
      <c r="A384" s="23">
        <v>383.0</v>
      </c>
      <c r="B384" s="23">
        <v>33.0</v>
      </c>
      <c r="C384" s="23" t="s">
        <v>1785</v>
      </c>
      <c r="D384" s="23" t="s">
        <v>1786</v>
      </c>
    </row>
    <row r="385" ht="22.5" customHeight="1">
      <c r="A385" s="23">
        <v>384.0</v>
      </c>
      <c r="B385" s="23">
        <v>33.0</v>
      </c>
      <c r="C385" s="23" t="s">
        <v>1787</v>
      </c>
      <c r="D385" s="23" t="s">
        <v>1508</v>
      </c>
    </row>
    <row r="386" ht="22.5" customHeight="1">
      <c r="A386" s="23">
        <v>385.0</v>
      </c>
      <c r="B386" s="23">
        <v>33.0</v>
      </c>
      <c r="C386" s="23" t="s">
        <v>1788</v>
      </c>
      <c r="D386" s="23" t="s">
        <v>1786</v>
      </c>
    </row>
    <row r="387" ht="22.5" customHeight="1">
      <c r="A387" s="23">
        <v>386.0</v>
      </c>
      <c r="B387" s="23">
        <v>33.0</v>
      </c>
      <c r="C387" s="23" t="s">
        <v>1789</v>
      </c>
      <c r="D387" s="23" t="s">
        <v>1508</v>
      </c>
    </row>
    <row r="388" ht="22.5" customHeight="1">
      <c r="A388" s="23">
        <v>387.0</v>
      </c>
      <c r="B388" s="23">
        <v>33.0</v>
      </c>
      <c r="C388" s="23" t="s">
        <v>1790</v>
      </c>
      <c r="D388" s="23" t="s">
        <v>1786</v>
      </c>
    </row>
    <row r="389" ht="22.5" customHeight="1">
      <c r="A389" s="23">
        <v>388.0</v>
      </c>
      <c r="B389" s="23">
        <v>33.0</v>
      </c>
      <c r="C389" s="23" t="s">
        <v>1791</v>
      </c>
      <c r="D389" s="23" t="s">
        <v>1508</v>
      </c>
    </row>
    <row r="390" ht="22.5" customHeight="1">
      <c r="A390" s="23">
        <v>389.0</v>
      </c>
      <c r="B390" s="23">
        <v>33.0</v>
      </c>
      <c r="C390" s="23" t="s">
        <v>1792</v>
      </c>
      <c r="D390" s="23" t="s">
        <v>1786</v>
      </c>
    </row>
    <row r="391" ht="22.5" customHeight="1">
      <c r="A391" s="23">
        <v>390.0</v>
      </c>
      <c r="B391" s="23">
        <v>119.0</v>
      </c>
      <c r="C391" s="23" t="s">
        <v>1793</v>
      </c>
      <c r="D391" s="23" t="s">
        <v>1508</v>
      </c>
    </row>
    <row r="392" ht="22.5" customHeight="1">
      <c r="A392" s="23">
        <v>391.0</v>
      </c>
      <c r="B392" s="23">
        <v>119.0</v>
      </c>
      <c r="C392" s="23" t="s">
        <v>1794</v>
      </c>
      <c r="D392" s="23" t="s">
        <v>1508</v>
      </c>
    </row>
    <row r="393" ht="22.5" customHeight="1">
      <c r="A393" s="23">
        <v>392.0</v>
      </c>
      <c r="B393" s="23">
        <v>119.0</v>
      </c>
      <c r="C393" s="23" t="s">
        <v>1795</v>
      </c>
      <c r="D393" s="23" t="s">
        <v>1508</v>
      </c>
    </row>
    <row r="394" ht="22.5" customHeight="1">
      <c r="A394" s="23">
        <v>393.0</v>
      </c>
      <c r="B394" s="23">
        <v>119.0</v>
      </c>
      <c r="C394" s="23" t="s">
        <v>1796</v>
      </c>
      <c r="D394" s="23" t="s">
        <v>1730</v>
      </c>
    </row>
    <row r="395" ht="22.5" customHeight="1">
      <c r="A395" s="23">
        <v>394.0</v>
      </c>
      <c r="B395" s="23">
        <v>26.0</v>
      </c>
      <c r="C395" s="23" t="s">
        <v>1797</v>
      </c>
      <c r="D395" s="23" t="s">
        <v>1508</v>
      </c>
    </row>
    <row r="396" ht="22.5" customHeight="1">
      <c r="A396" s="23">
        <v>395.0</v>
      </c>
      <c r="B396" s="23">
        <v>26.0</v>
      </c>
      <c r="C396" s="23" t="s">
        <v>1798</v>
      </c>
      <c r="D396" s="23" t="s">
        <v>1512</v>
      </c>
    </row>
    <row r="397" ht="22.5" customHeight="1">
      <c r="A397" s="23">
        <v>396.0</v>
      </c>
      <c r="B397" s="23">
        <v>26.0</v>
      </c>
      <c r="C397" s="23" t="s">
        <v>1799</v>
      </c>
      <c r="D397" s="23" t="s">
        <v>1512</v>
      </c>
    </row>
    <row r="398" ht="22.5" customHeight="1">
      <c r="A398" s="23">
        <v>397.0</v>
      </c>
      <c r="B398" s="23">
        <v>26.0</v>
      </c>
      <c r="C398" s="23" t="s">
        <v>1800</v>
      </c>
      <c r="D398" s="23" t="s">
        <v>1512</v>
      </c>
    </row>
    <row r="399" ht="22.5" customHeight="1">
      <c r="A399" s="23">
        <v>398.0</v>
      </c>
      <c r="B399" s="23">
        <v>26.0</v>
      </c>
      <c r="C399" s="23" t="s">
        <v>1801</v>
      </c>
      <c r="D399" s="23" t="s">
        <v>1512</v>
      </c>
    </row>
    <row r="400" ht="22.5" customHeight="1">
      <c r="A400" s="23">
        <v>399.0</v>
      </c>
      <c r="B400" s="23">
        <v>26.0</v>
      </c>
      <c r="C400" s="23" t="s">
        <v>1802</v>
      </c>
      <c r="D400" s="23" t="s">
        <v>1512</v>
      </c>
    </row>
    <row r="401" ht="22.5" customHeight="1">
      <c r="A401" s="23">
        <v>400.0</v>
      </c>
      <c r="B401" s="23">
        <v>26.0</v>
      </c>
      <c r="C401" s="23" t="s">
        <v>1803</v>
      </c>
      <c r="D401" s="23" t="s">
        <v>1512</v>
      </c>
    </row>
    <row r="402" ht="22.5" customHeight="1">
      <c r="A402" s="23">
        <v>401.0</v>
      </c>
      <c r="B402" s="23">
        <v>26.0</v>
      </c>
      <c r="C402" s="23" t="s">
        <v>1804</v>
      </c>
      <c r="D402" s="23" t="s">
        <v>1512</v>
      </c>
    </row>
    <row r="403" ht="22.5" customHeight="1">
      <c r="A403" s="23">
        <v>402.0</v>
      </c>
      <c r="B403" s="23">
        <v>26.0</v>
      </c>
      <c r="C403" s="23" t="s">
        <v>1805</v>
      </c>
      <c r="D403" s="23" t="s">
        <v>1512</v>
      </c>
    </row>
    <row r="404" ht="22.5" customHeight="1">
      <c r="A404" s="23">
        <v>403.0</v>
      </c>
      <c r="B404" s="23">
        <v>26.0</v>
      </c>
      <c r="C404" s="23" t="s">
        <v>1806</v>
      </c>
      <c r="D404" s="23" t="s">
        <v>1508</v>
      </c>
    </row>
    <row r="405" ht="22.5" customHeight="1">
      <c r="A405" s="23">
        <v>404.0</v>
      </c>
      <c r="B405" s="23">
        <v>26.0</v>
      </c>
      <c r="C405" s="23" t="s">
        <v>1807</v>
      </c>
      <c r="D405" s="23" t="s">
        <v>1512</v>
      </c>
    </row>
    <row r="406" ht="22.5" customHeight="1">
      <c r="A406" s="23">
        <v>405.0</v>
      </c>
      <c r="B406" s="23">
        <v>26.0</v>
      </c>
      <c r="C406" s="23" t="s">
        <v>1808</v>
      </c>
      <c r="D406" s="23" t="s">
        <v>1512</v>
      </c>
    </row>
    <row r="407" ht="22.5" customHeight="1">
      <c r="A407" s="23">
        <v>406.0</v>
      </c>
      <c r="B407" s="23">
        <v>26.0</v>
      </c>
      <c r="C407" s="23" t="s">
        <v>1809</v>
      </c>
      <c r="D407" s="23" t="s">
        <v>1512</v>
      </c>
    </row>
    <row r="408" ht="22.5" customHeight="1">
      <c r="A408" s="23">
        <v>407.0</v>
      </c>
      <c r="B408" s="23">
        <v>26.0</v>
      </c>
      <c r="C408" s="23" t="s">
        <v>1810</v>
      </c>
      <c r="D408" s="23" t="s">
        <v>1508</v>
      </c>
    </row>
    <row r="409" ht="22.5" customHeight="1">
      <c r="A409" s="23">
        <v>408.0</v>
      </c>
      <c r="B409" s="23">
        <v>26.0</v>
      </c>
      <c r="C409" s="23" t="s">
        <v>1811</v>
      </c>
      <c r="D409" s="23" t="s">
        <v>1508</v>
      </c>
    </row>
    <row r="410" ht="22.5" customHeight="1">
      <c r="A410" s="23">
        <v>409.0</v>
      </c>
      <c r="B410" s="23">
        <v>26.0</v>
      </c>
      <c r="C410" s="23" t="s">
        <v>1812</v>
      </c>
      <c r="D410" s="23" t="s">
        <v>1508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2" t="s">
        <v>1813</v>
      </c>
      <c r="B1" s="2" t="s">
        <v>8</v>
      </c>
      <c r="C1" s="2" t="s">
        <v>1814</v>
      </c>
      <c r="D1" s="2" t="s">
        <v>1815</v>
      </c>
      <c r="E1" s="2" t="s">
        <v>1816</v>
      </c>
      <c r="F1" s="2" t="s">
        <v>1817</v>
      </c>
      <c r="G1" s="2" t="s">
        <v>30</v>
      </c>
    </row>
  </sheetData>
  <drawing r:id="rId1"/>
</worksheet>
</file>