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Radiologists!$A$1:$G$50</definedName>
    <definedName hidden="1" localSheetId="8" name="_xlnm._FilterDatabase">ProcedureClinics!$A$1:$F$1210</definedName>
    <definedName hidden="1" localSheetId="9" name="_xlnm._FilterDatabase">ProcedureRadiologists!$A$1:$F$2434</definedName>
    <definedName hidden="1" localSheetId="10" name="_xlnm._FilterDatabase">ProcedureBookingCategories!$A$1:$G$1593</definedName>
    <definedName hidden="1" localSheetId="11" name="_xlnm._FilterDatabase">RadiologistClinics!$A$1:$F$94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<sst xmlns="http://schemas.openxmlformats.org/spreadsheetml/2006/main" count="10201" uniqueCount="808">
  <si>
    <t>Search Procedure</t>
  </si>
  <si>
    <t>SportVis Injection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</si>
  <si>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</si>
  <si>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</si>
  <si>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</si>
  <si>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</si>
  <si>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</si>
  <si>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</si>
  <si>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</si>
  <si>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</si>
  <si>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</si>
  <si>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</si>
  <si>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</si>
  <si>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</si>
  <si>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</si>
  <si>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</si>
  <si>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</si>
  <si>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</si>
  <si>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</si>
  <si>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</si>
  <si>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</si>
  <si>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</si>
  <si>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</si>
  <si>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</si>
  <si>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</si>
  <si>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</si>
  <si>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</si>
  <si>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</si>
  <si>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</si>
  <si>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</si>
  <si>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</si>
  <si>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</si>
  <si>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</si>
  <si>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</si>
  <si>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</si>
  <si>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</si>
  <si>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</si>
  <si>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</si>
  <si>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</si>
  <si>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</si>
  <si>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</si>
  <si>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</si>
  <si>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</si>
  <si>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</si>
  <si>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</si>
  <si>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</si>
  <si>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</si>
  <si>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</si>
  <si>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</si>
  <si>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</si>
  <si>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</si>
  <si>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</si>
  <si>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</si>
  <si>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</si>
  <si>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</si>
  <si>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</si>
  <si>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</si>
  <si>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</si>
  <si>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</si>
  <si>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</si>
  <si>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</si>
  <si>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</si>
  <si>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</si>
  <si>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</si>
  <si>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</si>
  <si>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</si>
  <si>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</si>
  <si>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</si>
  <si>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</si>
  <si>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</si>
  <si>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</si>
  <si>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</si>
  <si>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</si>
  <si>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</si>
  <si>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</si>
  <si>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</si>
  <si>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</si>
  <si>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</si>
  <si>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</si>
  <si>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</si>
  <si>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</si>
  <si>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</si>
  <si>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</si>
  <si>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</si>
  <si>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</si>
  <si>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</si>
  <si>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</si>
  <si>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</si>
  <si>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</si>
  <si>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</si>
  <si>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</si>
  <si>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</si>
  <si>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</si>
  <si>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</si>
  <si>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</si>
  <si>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</si>
  <si>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</si>
  <si>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</si>
  <si>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</si>
  <si>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</si>
  <si>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</si>
  <si>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</si>
  <si>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</si>
  <si>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</si>
  <si>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</si>
  <si>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</si>
  <si>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</si>
  <si>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</si>
  <si>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</si>
  <si>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</si>
  <si>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</si>
  <si>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</si>
  <si>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</si>
  <si>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</si>
  <si>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</si>
  <si>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</si>
  <si>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</si>
  <si>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</si>
  <si>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</si>
  <si>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</si>
  <si>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</si>
  <si>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</si>
  <si>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</si>
  <si>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</si>
  <si>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</si>
  <si>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</si>
  <si>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</si>
  <si>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</si>
  <si>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</si>
  <si>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</si>
  <si>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</si>
  <si>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</si>
  <si>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</si>
  <si>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</si>
  <si>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</si>
  <si>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</si>
  <si>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</si>
  <si>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</si>
  <si>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</si>
  <si>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</si>
  <si>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</si>
  <si>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</si>
  <si>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</si>
  <si>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</si>
  <si>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</si>
  <si>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</si>
  <si>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</si>
  <si>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</si>
  <si>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</si>
  <si>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</si>
  <si>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</si>
  <si>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</si>
  <si>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</si>
  <si>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</si>
  <si>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</si>
  <si>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</si>
  <si>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</si>
  <si>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</si>
  <si>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</si>
  <si>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</si>
  <si>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</si>
  <si>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</si>
  <si>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</si>
  <si>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</si>
  <si>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</si>
  <si>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</si>
  <si>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</si>
  <si>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</si>
  <si>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</si>
  <si>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</si>
  <si>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</si>
  <si>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</si>
  <si>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</si>
  <si>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</si>
  <si>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</si>
  <si>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</si>
  <si>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</si>
  <si>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</si>
  <si>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</si>
  <si>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</si>
  <si>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</si>
  <si>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</si>
  <si>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</si>
  <si>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</si>
  <si>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</si>
  <si>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</si>
  <si>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</si>
  <si>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</si>
  <si>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</si>
  <si>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</si>
  <si>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</si>
  <si>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</si>
  <si>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</si>
  <si>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</si>
  <si>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</si>
  <si>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</si>
  <si>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</si>
  <si>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</si>
  <si>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</si>
  <si>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</si>
  <si>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</si>
  <si>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</si>
  <si>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</si>
  <si>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</si>
  <si>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</si>
  <si>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</si>
  <si>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</si>
  <si>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</si>
  <si>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</si>
  <si>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</si>
  <si>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</si>
  <si>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</si>
  <si>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</si>
  <si>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</si>
  <si>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</si>
  <si>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</si>
  <si>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</si>
  <si>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</si>
  <si>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</si>
  <si>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</si>
  <si>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</si>
  <si>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</si>
  <si>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</si>
  <si>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</si>
  <si>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</si>
  <si>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</si>
  <si>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</si>
  <si>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</si>
  <si>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</si>
  <si>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</si>
  <si>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</si>
  <si>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</si>
  <si>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</si>
  <si>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</si>
  <si>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</si>
  <si>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</si>
  <si>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</si>
  <si>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</si>
  <si>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</si>
  <si>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</si>
  <si>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</si>
  <si>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</si>
  <si>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</si>
  <si>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</si>
  <si>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</si>
  <si>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</si>
  <si>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</si>
  <si>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</si>
  <si>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</si>
  <si>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</si>
  <si>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</si>
  <si>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</si>
  <si>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</si>
  <si>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</si>
  <si>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</si>
  <si>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</si>
  <si>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</si>
  <si>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</si>
  <si>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</si>
  <si>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</si>
  <si>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</si>
  <si>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</si>
  <si>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</si>
  <si>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</si>
  <si>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</si>
  <si>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</si>
  <si>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</si>
  <si>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</si>
  <si>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</si>
  <si>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</si>
  <si>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</si>
  <si>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</si>
  <si>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</si>
  <si>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</si>
  <si>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</si>
  <si>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</si>
  <si>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</si>
  <si>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</si>
  <si>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</si>
  <si>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</si>
  <si>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</si>
  <si>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</si>
  <si>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</si>
  <si>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</si>
  <si>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</si>
  <si>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</si>
  <si>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</si>
  <si>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</si>
  <si>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</si>
  <si>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</si>
  <si>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</si>
  <si>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</si>
  <si>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</si>
  <si>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</si>
  <si>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</si>
  <si>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</si>
  <si>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</si>
  <si>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</si>
  <si>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</si>
  <si>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</si>
  <si>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</si>
  <si>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</si>
  <si>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</si>
  <si>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</si>
  <si>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</si>
  <si>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</si>
  <si>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</si>
  <si>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</si>
  <si>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</si>
  <si>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</si>
  <si>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</si>
  <si>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</si>
  <si>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</si>
  <si>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</si>
  <si>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</si>
  <si>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</si>
  <si>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</si>
  <si>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</si>
  <si>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</si>
  <si>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</si>
  <si>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</si>
  <si>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</si>
  <si>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</si>
  <si>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</si>
  <si>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</si>
  <si>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</si>
  <si>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</si>
  <si>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</si>
  <si>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</si>
  <si>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</si>
  <si>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</si>
  <si>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</si>
  <si>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</si>
  <si>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</si>
  <si>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</si>
  <si>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</si>
  <si>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</si>
  <si>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</si>
  <si>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</si>
  <si>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</si>
  <si>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</si>
  <si>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</si>
  <si>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</si>
  <si>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</si>
  <si>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</si>
  <si>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</si>
  <si>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</si>
  <si>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Inactive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</si>
  <si>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</si>
  <si>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</si>
  <si>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</si>
  <si>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</si>
  <si>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</si>
  <si>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</si>
  <si>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</si>
  <si>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</si>
  <si>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</si>
  <si>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</si>
  <si>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</si>
  <si>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</si>
  <si>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</si>
  <si>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</si>
  <si>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</si>
  <si>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</si>
  <si>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</si>
  <si>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</si>
  <si>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</si>
  <si>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</si>
  <si>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</si>
  <si>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</si>
  <si>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</si>
  <si>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</si>
  <si>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</si>
  <si>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</si>
  <si>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</si>
  <si>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</si>
  <si>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</si>
  <si>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</si>
  <si>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</si>
  <si>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</si>
  <si>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</si>
  <si>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</si>
  <si>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</si>
  <si>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</si>
  <si>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</si>
  <si>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</si>
  <si>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</si>
  <si>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</si>
  <si>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</si>
  <si>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</si>
  <si>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</si>
  <si>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</si>
  <si>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</si>
  <si>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</si>
  <si>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</si>
  <si>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</si>
  <si>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</si>
  <si>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</si>
  <si>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</si>
  <si>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</si>
  <si>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MSPCode</t>
  </si>
  <si>
    <t>InternalFeecode</t>
  </si>
  <si>
    <t>ServiceAbbrev</t>
  </si>
  <si>
    <t>ServiceName</t>
  </si>
  <si>
    <t>ModalityID</t>
  </si>
  <si>
    <t>Notes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</si>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</sst>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10" displayName="tbProcedureClinics" name="tbProcedureClinics" id="6">
  <autoFilter ref="$A$1:$F$1210">
    <filterColumn colId="1">
      <filters>
        <filter val="117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434" displayName="tbProcedureRadiologists" name="tbProcedureRadiologists" id="7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93" displayName="tbProcedureBookingCategories" name="tbProcedureBookingCategories" id="8">
  <autoFilter ref="$A$1:$G$1593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94" displayName="tbRadiologistClinics" name="tbRadiologistClinics" id="9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117</v>
      </c>
    </row>
    <row r="4">
      <c r="C4" s="1"/>
    </row>
    <row r="5">
      <c r="B5" s="6" t="s">
        <v>3</v>
      </c>
      <c r="C5" s="1" t="str">
        <f t="array" ref="C5">XLOOKUP($C$3,Procedures!A:A,Procedures!C:C,"")</f>
        <v>SportVis Injection</v>
      </c>
    </row>
    <row r="6">
      <c r="B6" s="6" t="s">
        <v>4</v>
      </c>
      <c r="C6" s="1" t="str">
        <f t="array" ref="C6">XLOOKUP($C$3,Procedures!A:A,Procedures!B:B,"")</f>
        <v>SportVis</v>
      </c>
    </row>
    <row r="7">
      <c r="B7" s="6" t="s">
        <v>5</v>
      </c>
      <c r="C7" s="1" t="str">
        <f>IFERROR(__xludf.DUMMYFUNCTION("TEXTJOIN("", "",TRUE,FILTER(ProcedureAliases!C:C,ProcedureAliases!B:B=$C$3))"),"SportVis, SportsVis, Hyaluronic Acid SportVis")</f>
        <v>SportVis, SportsVis, Hyaluronic Acid SportVis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14" t="str">
        <f>IFERROR(__xludf.DUMMYFUNCTION("""COMPUTED_VALUE"""),"PMI")</f>
        <v>PMI</v>
      </c>
      <c r="E10" s="14" t="str">
        <f>IFERROR(__xludf.DUMMYFUNCTION("""COMPUTED_VALUE"""),"USGuidInj")</f>
        <v>USGuidInj</v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IFERROR(__xludf.DUMMYFUNCTION("""COMPUTED_VALUE"""),"CA")</f>
        <v>CA</v>
      </c>
      <c r="C11" s="1" t="str">
        <f>IFERROR(__xludf.DUMMYFUNCTION("""COMPUTED_VALUE"""),"Protocol | Booked based on protocol")</f>
        <v>Protocol | Booked based on protocol</v>
      </c>
      <c r="D11" s="14" t="str">
        <f>IFERROR(__xludf.DUMMYFUNCTION("""COMPUTED_VALUE"""),"PMI")</f>
        <v>PMI</v>
      </c>
      <c r="E11" s="14" t="str">
        <f>IFERROR(__xludf.DUMMYFUNCTION("""COMPUTED_VALUE"""),"USGuidInj")</f>
        <v>USGuidInj</v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IFERROR(__xludf.DUMMYFUNCTION("""COMPUTED_VALUE"""),"CH")</f>
        <v>CH</v>
      </c>
      <c r="C12" s="1" t="str">
        <f>IFERROR(__xludf.DUMMYFUNCTION("""COMPUTED_VALUE"""),"Protocol | Booked based on protocol")</f>
        <v>Protocol | Booked based on protocol</v>
      </c>
      <c r="D12" s="14" t="str">
        <f>IFERROR(__xludf.DUMMYFUNCTION("""COMPUTED_VALUE"""),"PMI")</f>
        <v>PMI</v>
      </c>
      <c r="E12" s="14" t="str">
        <f>IFERROR(__xludf.DUMMYFUNCTION("""COMPUTED_VALUE"""),"USGuidInj")</f>
        <v>USGuidInj</v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IFERROR(__xludf.DUMMYFUNCTION("""COMPUTED_VALUE"""),"MB")</f>
        <v>MB</v>
      </c>
      <c r="C13" s="1" t="str">
        <f>IFERROR(__xludf.DUMMYFUNCTION("""COMPUTED_VALUE"""),"Protocol | Booked based on protocol")</f>
        <v>Protocol | Booked based on protocol</v>
      </c>
      <c r="D13" s="14" t="str">
        <f>IFERROR(__xludf.DUMMYFUNCTION("""COMPUTED_VALUE"""),"PMI")</f>
        <v>PMI</v>
      </c>
      <c r="E13" s="14" t="str">
        <f>IFERROR(__xludf.DUMMYFUNCTION("""COMPUTED_VALUE"""),"USGuidInj")</f>
        <v>USGuidInj</v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IFERROR(__xludf.DUMMYFUNCTION("""COMPUTED_VALUE"""),"PP")</f>
        <v>PP</v>
      </c>
      <c r="C14" s="1" t="str">
        <f>IFERROR(__xludf.DUMMYFUNCTION("""COMPUTED_VALUE"""),"Protocol | Booked based on protocol")</f>
        <v>Protocol | Booked based on protocol</v>
      </c>
      <c r="D14" s="14" t="str">
        <f>IFERROR(__xludf.DUMMYFUNCTION("""COMPUTED_VALUE"""),"PMI")</f>
        <v>PMI</v>
      </c>
      <c r="E14" s="14" t="str">
        <f>IFERROR(__xludf.DUMMYFUNCTION("""COMPUTED_VALUE"""),"USGuidInj")</f>
        <v>USGuidInj</v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IFERROR(__xludf.DUMMYFUNCTION("""COMPUTED_VALUE"""),"Yes")</f>
        <v>Yes</v>
      </c>
      <c r="I14" s="14"/>
    </row>
    <row r="15">
      <c r="B15" s="14" t="str">
        <f>IFERROR(__xludf.DUMMYFUNCTION("""COMPUTED_VALUE"""),"SA")</f>
        <v>SA</v>
      </c>
      <c r="C15" s="1" t="str">
        <f>IFERROR(__xludf.DUMMYFUNCTION("""COMPUTED_VALUE"""),"Protocol | Booked based on protocol")</f>
        <v>Protocol | Booked based on protocol</v>
      </c>
      <c r="D15" s="14" t="str">
        <f>IFERROR(__xludf.DUMMYFUNCTION("""COMPUTED_VALUE"""),"PMI")</f>
        <v>PMI</v>
      </c>
      <c r="E15" s="14" t="str">
        <f>IFERROR(__xludf.DUMMYFUNCTION("""COMPUTED_VALUE"""),"USGuidInj")</f>
        <v>USGuidInj</v>
      </c>
      <c r="F15" s="14" t="str">
        <f>IFERROR(__xludf.DUMMYFUNCTION("""COMPUTED_VALUE"""),"El Zein, M")</f>
        <v>El Zein, M</v>
      </c>
      <c r="G15" s="14" t="str">
        <f>IFERROR(__xludf.DUMMYFUNCTION("""COMPUTED_VALUE"""),"Male")</f>
        <v>Male</v>
      </c>
      <c r="H15" s="14" t="str">
        <f>IFERROR(__xludf.DUMMYFUNCTION("""COMPUTED_VALUE"""),"Yes")</f>
        <v>Yes</v>
      </c>
      <c r="I15" s="14"/>
    </row>
    <row r="16">
      <c r="B16" s="14" t="str">
        <f>IFERROR(__xludf.DUMMYFUNCTION("""COMPUTED_VALUE"""),"SV")</f>
        <v>SV</v>
      </c>
      <c r="C16" s="1" t="str">
        <f>IFERROR(__xludf.DUMMYFUNCTION("""COMPUTED_VALUE"""),"Protocol | Booked based on protocol")</f>
        <v>Protocol | Booked based on protocol</v>
      </c>
      <c r="D16" s="14" t="str">
        <f>IFERROR(__xludf.DUMMYFUNCTION("""COMPUTED_VALUE"""),"PMI")</f>
        <v>PMI</v>
      </c>
      <c r="E16" s="14" t="str">
        <f>IFERROR(__xludf.DUMMYFUNCTION("""COMPUTED_VALUE"""),"USGuidInj")</f>
        <v>USGuidInj</v>
      </c>
      <c r="F16" s="14" t="str">
        <f>IFERROR(__xludf.DUMMYFUNCTION("""COMPUTED_VALUE"""),"Ford, C")</f>
        <v>Ford, C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B17" s="14" t="str">
        <f>IFERROR(__xludf.DUMMYFUNCTION("""COMPUTED_VALUE"""),"109 St")</f>
        <v>109 St</v>
      </c>
      <c r="C17" s="1" t="str">
        <f>IFERROR(__xludf.DUMMYFUNCTION("""COMPUTED_VALUE"""),"Protocol | Booked based on protocol")</f>
        <v>Protocol | Booked based on protocol</v>
      </c>
      <c r="D17" s="14" t="str">
        <f>IFERROR(__xludf.DUMMYFUNCTION("""COMPUTED_VALUE"""),"PMI")</f>
        <v>PMI</v>
      </c>
      <c r="E17" s="14" t="str">
        <f>IFERROR(__xludf.DUMMYFUNCTION("""COMPUTED_VALUE"""),"USGuidInj")</f>
        <v>USGuidInj</v>
      </c>
      <c r="F17" s="14" t="str">
        <f>IFERROR(__xludf.DUMMYFUNCTION("""COMPUTED_VALUE"""),"Fu, W")</f>
        <v>Fu, W</v>
      </c>
      <c r="G17" s="14" t="str">
        <f>IFERROR(__xludf.DUMMYFUNCTION("""COMPUTED_VALUE"""),"Female")</f>
        <v>Female</v>
      </c>
      <c r="H17" s="14" t="str">
        <f>IFERROR(__xludf.DUMMYFUNCTION("""COMPUTED_VALUE"""),"Yes")</f>
        <v>Yes</v>
      </c>
      <c r="I17" s="14"/>
    </row>
    <row r="18">
      <c r="B18" s="14" t="str">
        <f>IFERROR(__xludf.DUMMYFUNCTION("""COMPUTED_VALUE"""),"EL")</f>
        <v>EL</v>
      </c>
      <c r="C18" s="1" t="str">
        <f>IFERROR(__xludf.DUMMYFUNCTION("""COMPUTED_VALUE"""),"Protocol | Booked based on protocol")</f>
        <v>Protocol | Booked based on protocol</v>
      </c>
      <c r="D18" s="14" t="str">
        <f>IFERROR(__xludf.DUMMYFUNCTION("""COMPUTED_VALUE"""),"Bas/AdvInj")</f>
        <v>Bas/AdvInj</v>
      </c>
      <c r="E18" s="14" t="str">
        <f>IFERROR(__xludf.DUMMYFUNCTION("""COMPUTED_VALUE"""),"")</f>
        <v/>
      </c>
      <c r="F18" s="14" t="str">
        <f>IFERROR(__xludf.DUMMYFUNCTION("""COMPUTED_VALUE"""),"Katz, N")</f>
        <v>Katz, N</v>
      </c>
      <c r="G18" s="14" t="str">
        <f>IFERROR(__xludf.DUMMYFUNCTION("""COMPUTED_VALUE"""),"Female")</f>
        <v>Female</v>
      </c>
      <c r="H18" s="14" t="str">
        <f>IFERROR(__xludf.DUMMYFUNCTION("""COMPUTED_VALUE"""),"Conditional")</f>
        <v>Conditional</v>
      </c>
      <c r="I18" s="14" t="str">
        <f>IFERROR(__xludf.DUMMYFUNCTION("""COMPUTED_VALUE"""),"Y elbows only")</f>
        <v>Y elbows only</v>
      </c>
    </row>
    <row r="19">
      <c r="B19" s="14" t="str">
        <f>IFERROR(__xludf.DUMMYFUNCTION("""COMPUTED_VALUE"""),"MR")</f>
        <v>MR</v>
      </c>
      <c r="C19" s="1" t="str">
        <f>IFERROR(__xludf.DUMMYFUNCTION("""COMPUTED_VALUE"""),"Protocol | Booked based on protocol")</f>
        <v>Protocol | Booked based on protocol</v>
      </c>
      <c r="D19" s="14" t="str">
        <f>IFERROR(__xludf.DUMMYFUNCTION("""COMPUTED_VALUE"""),"PMI")</f>
        <v>PMI</v>
      </c>
      <c r="E19" s="14" t="str">
        <f>IFERROR(__xludf.DUMMYFUNCTION("""COMPUTED_VALUE"""),"USGuidInj")</f>
        <v>USGuidInj</v>
      </c>
      <c r="F19" s="14" t="str">
        <f>IFERROR(__xludf.DUMMYFUNCTION("""COMPUTED_VALUE"""),"Ko, S")</f>
        <v>Ko, S</v>
      </c>
      <c r="G19" s="14" t="str">
        <f>IFERROR(__xludf.DUMMYFUNCTION("""COMPUTED_VALUE"""),"Male")</f>
        <v>Male</v>
      </c>
      <c r="H19" s="14" t="str">
        <f>IFERROR(__xludf.DUMMYFUNCTION("""COMPUTED_VALUE"""),"Yes")</f>
        <v>Yes</v>
      </c>
      <c r="I19" s="14"/>
    </row>
    <row r="20">
      <c r="B20" s="14" t="str">
        <f>IFERROR(__xludf.DUMMYFUNCTION("""COMPUTED_VALUE"""),"NT")</f>
        <v>NT</v>
      </c>
      <c r="C20" s="1" t="str">
        <f>IFERROR(__xludf.DUMMYFUNCTION("""COMPUTED_VALUE"""),"Protocol | Booked based on protocol")</f>
        <v>Protocol | Booked based on protocol</v>
      </c>
      <c r="D20" s="14" t="str">
        <f>IFERROR(__xludf.DUMMYFUNCTION("""COMPUTED_VALUE"""),"PMI")</f>
        <v>PMI</v>
      </c>
      <c r="E20" s="14" t="str">
        <f>IFERROR(__xludf.DUMMYFUNCTION("""COMPUTED_VALUE"""),"USGuidInj")</f>
        <v>USGuidInj</v>
      </c>
      <c r="F20" s="14" t="str">
        <f>IFERROR(__xludf.DUMMYFUNCTION("""COMPUTED_VALUE"""),"Lane, M")</f>
        <v>Lane, M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C21" s="1"/>
      <c r="F21" s="14" t="str">
        <f>IFERROR(__xludf.DUMMYFUNCTION("""COMPUTED_VALUE"""),"Pakdel, A")</f>
        <v>Pakdel, A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C22" s="1"/>
      <c r="F22" s="14" t="str">
        <f>IFERROR(__xludf.DUMMYFUNCTION("""COMPUTED_VALUE"""),"Pattison, P")</f>
        <v>Pattison, P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C23" s="1"/>
      <c r="F23" s="14" t="str">
        <f>IFERROR(__xludf.DUMMYFUNCTION("""COMPUTED_VALUE"""),"Randeria, M")</f>
        <v>Randeria, M</v>
      </c>
      <c r="G23" s="14" t="str">
        <f>IFERROR(__xludf.DUMMYFUNCTION("""COMPUTED_VALUE"""),"Male")</f>
        <v>Male</v>
      </c>
      <c r="H23" s="14" t="str">
        <f>IFERROR(__xludf.DUMMYFUNCTION("""COMPUTED_VALUE"""),"Yes")</f>
        <v>Yes</v>
      </c>
      <c r="I23" s="14"/>
    </row>
    <row r="24">
      <c r="C24" s="1"/>
      <c r="F24" s="14" t="str">
        <f>IFERROR(__xludf.DUMMYFUNCTION("""COMPUTED_VALUE"""),"Taylor, C")</f>
        <v>Taylor, C</v>
      </c>
      <c r="G24" s="14" t="str">
        <f>IFERROR(__xludf.DUMMYFUNCTION("""COMPUTED_VALUE"""),"Male")</f>
        <v>Male</v>
      </c>
      <c r="H24" s="14" t="str">
        <f>IFERROR(__xludf.DUMMYFUNCTION("""COMPUTED_VALUE"""),"Yes")</f>
        <v>Yes</v>
      </c>
      <c r="I24" s="14"/>
    </row>
    <row r="25">
      <c r="C25" s="1"/>
      <c r="F25" s="14" t="str">
        <f>IFERROR(__xludf.DUMMYFUNCTION("""COMPUTED_VALUE"""),"Zelazo, J")</f>
        <v>Zelazo, J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C26" s="1"/>
      <c r="F26" s="14" t="str">
        <f>IFERROR(__xludf.DUMMYFUNCTION("""COMPUTED_VALUE"""),"Bently, H")</f>
        <v>Bently, H</v>
      </c>
      <c r="G26" s="14" t="str">
        <f>IFERROR(__xludf.DUMMYFUNCTION("""COMPUTED_VALUE"""),"Female")</f>
        <v>Female</v>
      </c>
      <c r="H26" s="14" t="str">
        <f>IFERROR(__xludf.DUMMYFUNCTION("""COMPUTED_VALUE"""),"Yes")</f>
        <v>Yes</v>
      </c>
      <c r="I26" s="14"/>
    </row>
    <row r="27">
      <c r="C27" s="1"/>
    </row>
    <row r="28">
      <c r="C28" s="1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176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177</v>
      </c>
      <c r="C65" s="18" t="s">
        <v>178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179</v>
      </c>
      <c r="C66" s="18" t="s">
        <v>180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181</v>
      </c>
      <c r="C67" s="18" t="s">
        <v>182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183</v>
      </c>
      <c r="C68" s="18" t="s">
        <v>184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185</v>
      </c>
      <c r="C69" s="18" t="s">
        <v>186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187</v>
      </c>
      <c r="C70" s="18" t="s">
        <v>188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189</v>
      </c>
      <c r="C71" s="18" t="s">
        <v>190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191</v>
      </c>
      <c r="C72" s="18" t="s">
        <v>192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193</v>
      </c>
      <c r="C73" s="18" t="s">
        <v>194</v>
      </c>
      <c r="D73" s="18" t="s">
        <v>36</v>
      </c>
      <c r="E73" s="18" t="s">
        <v>195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196</v>
      </c>
      <c r="C74" s="18" t="s">
        <v>197</v>
      </c>
      <c r="D74" s="18" t="s">
        <v>121</v>
      </c>
      <c r="E74" s="18" t="s">
        <v>195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198</v>
      </c>
      <c r="C75" s="18" t="s">
        <v>199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200</v>
      </c>
      <c r="C76" s="18" t="s">
        <v>201</v>
      </c>
      <c r="D76" s="18" t="s">
        <v>202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203</v>
      </c>
      <c r="C77" s="18" t="s">
        <v>204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205</v>
      </c>
      <c r="C78" s="18" t="s">
        <v>206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207</v>
      </c>
      <c r="C79" s="18" t="s">
        <v>208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209</v>
      </c>
      <c r="C80" s="18" t="s">
        <v>210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211</v>
      </c>
      <c r="C81" s="18" t="s">
        <v>212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213</v>
      </c>
      <c r="C82" s="18" t="s">
        <v>214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215</v>
      </c>
      <c r="C83" s="18" t="s">
        <v>216</v>
      </c>
      <c r="D83" s="18" t="s">
        <v>217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218</v>
      </c>
      <c r="C84" s="18" t="s">
        <v>219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220</v>
      </c>
      <c r="C85" s="18" t="s">
        <v>221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222</v>
      </c>
      <c r="C86" s="18" t="s">
        <v>223</v>
      </c>
      <c r="D86" s="18" t="s">
        <v>121</v>
      </c>
      <c r="E86" s="18" t="s">
        <v>224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225</v>
      </c>
      <c r="C87" s="18" t="s">
        <v>226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227</v>
      </c>
      <c r="C88" s="18" t="s">
        <v>228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229</v>
      </c>
      <c r="C89" s="18" t="s">
        <v>230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231</v>
      </c>
      <c r="C90" s="18" t="s">
        <v>232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233</v>
      </c>
      <c r="C91" s="18" t="s">
        <v>233</v>
      </c>
      <c r="D91" s="18" t="s">
        <v>121</v>
      </c>
      <c r="E91" s="18" t="s">
        <v>57</v>
      </c>
      <c r="F91" s="18" t="s">
        <v>155</v>
      </c>
      <c r="G91" s="19" t="s">
        <v>39</v>
      </c>
    </row>
    <row r="92" ht="22.5" customHeight="1">
      <c r="A92" s="18">
        <v>91.0</v>
      </c>
      <c r="B92" s="18" t="s">
        <v>234</v>
      </c>
      <c r="C92" s="18" t="s">
        <v>235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236</v>
      </c>
      <c r="C93" s="18" t="s">
        <v>237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238</v>
      </c>
      <c r="C94" s="18" t="s">
        <v>239</v>
      </c>
      <c r="D94" s="18" t="s">
        <v>240</v>
      </c>
      <c r="E94" s="18" t="s">
        <v>241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242</v>
      </c>
      <c r="C95" s="18" t="s">
        <v>243</v>
      </c>
      <c r="D95" s="18" t="s">
        <v>243</v>
      </c>
      <c r="E95" s="18" t="s">
        <v>241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244</v>
      </c>
      <c r="C96" s="18" t="s">
        <v>245</v>
      </c>
      <c r="D96" s="18" t="s">
        <v>240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246</v>
      </c>
      <c r="C97" s="18" t="s">
        <v>247</v>
      </c>
      <c r="D97" s="18" t="s">
        <v>240</v>
      </c>
      <c r="E97" s="18" t="s">
        <v>248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249</v>
      </c>
      <c r="C98" s="18" t="s">
        <v>250</v>
      </c>
      <c r="D98" s="18" t="s">
        <v>240</v>
      </c>
      <c r="E98" s="18" t="s">
        <v>241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251</v>
      </c>
      <c r="C99" s="18" t="s">
        <v>252</v>
      </c>
      <c r="D99" s="18" t="s">
        <v>240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253</v>
      </c>
      <c r="C100" s="18" t="s">
        <v>254</v>
      </c>
      <c r="D100" s="18" t="s">
        <v>240</v>
      </c>
      <c r="E100" s="18" t="s">
        <v>255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256</v>
      </c>
      <c r="C101" s="18" t="s">
        <v>257</v>
      </c>
      <c r="D101" s="18" t="s">
        <v>240</v>
      </c>
      <c r="E101" s="18" t="s">
        <v>258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259</v>
      </c>
      <c r="C102" s="18" t="s">
        <v>260</v>
      </c>
      <c r="D102" s="18" t="s">
        <v>240</v>
      </c>
      <c r="E102" s="18" t="s">
        <v>261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262</v>
      </c>
      <c r="C103" s="18" t="s">
        <v>263</v>
      </c>
      <c r="D103" s="18" t="s">
        <v>240</v>
      </c>
      <c r="E103" s="18" t="s">
        <v>264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265</v>
      </c>
      <c r="C104" s="18" t="s">
        <v>266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265</v>
      </c>
      <c r="C105" s="18" t="s">
        <v>267</v>
      </c>
      <c r="D105" s="18" t="s">
        <v>268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269</v>
      </c>
      <c r="C106" s="18" t="s">
        <v>270</v>
      </c>
      <c r="D106" s="18" t="s">
        <v>268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271</v>
      </c>
      <c r="C107" s="18" t="s">
        <v>272</v>
      </c>
      <c r="D107" s="18" t="s">
        <v>268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273</v>
      </c>
      <c r="C108" s="18" t="s">
        <v>274</v>
      </c>
      <c r="D108" s="18" t="s">
        <v>268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275</v>
      </c>
      <c r="C109" s="18" t="s">
        <v>276</v>
      </c>
      <c r="D109" s="18" t="s">
        <v>268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277</v>
      </c>
      <c r="C110" s="18" t="s">
        <v>278</v>
      </c>
      <c r="D110" s="18" t="s">
        <v>279</v>
      </c>
      <c r="E110" s="18" t="s">
        <v>101</v>
      </c>
      <c r="F110" s="18" t="s">
        <v>280</v>
      </c>
      <c r="G110" s="19" t="s">
        <v>39</v>
      </c>
    </row>
    <row r="111" ht="22.5" customHeight="1">
      <c r="A111" s="18">
        <v>110.0</v>
      </c>
      <c r="B111" s="18" t="s">
        <v>281</v>
      </c>
      <c r="C111" s="18" t="s">
        <v>282</v>
      </c>
      <c r="D111" s="18" t="s">
        <v>279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283</v>
      </c>
      <c r="C112" s="18" t="s">
        <v>284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285</v>
      </c>
      <c r="C113" s="18" t="s">
        <v>286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287</v>
      </c>
      <c r="C114" s="18" t="s">
        <v>288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289</v>
      </c>
      <c r="C115" s="18" t="s">
        <v>290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291</v>
      </c>
      <c r="C116" s="18" t="s">
        <v>291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292</v>
      </c>
      <c r="C117" s="20" t="s">
        <v>293</v>
      </c>
      <c r="D117" s="20" t="s">
        <v>293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294</v>
      </c>
      <c r="C118" s="20" t="s">
        <v>1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347</v>
      </c>
      <c r="G2" s="18" t="s">
        <v>348</v>
      </c>
    </row>
    <row r="3" ht="22.5" customHeight="1">
      <c r="A3" s="18">
        <v>2.0</v>
      </c>
      <c r="B3" s="18" t="s">
        <v>349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348</v>
      </c>
    </row>
    <row r="4" ht="22.5" customHeight="1">
      <c r="A4" s="18">
        <v>3.0</v>
      </c>
      <c r="B4" s="18" t="s">
        <v>350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348</v>
      </c>
    </row>
    <row r="5" ht="22.5" customHeight="1">
      <c r="A5" s="18">
        <v>4.0</v>
      </c>
      <c r="B5" s="18" t="s">
        <v>351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348</v>
      </c>
    </row>
    <row r="6" ht="22.5" customHeight="1">
      <c r="A6" s="18">
        <v>5.0</v>
      </c>
      <c r="B6" s="18" t="s">
        <v>352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348</v>
      </c>
    </row>
    <row r="7" ht="22.5" customHeight="1">
      <c r="A7" s="18">
        <v>6.0</v>
      </c>
      <c r="B7" s="18" t="s">
        <v>353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348</v>
      </c>
    </row>
    <row r="8" ht="22.5" customHeight="1">
      <c r="A8" s="18">
        <v>7.0</v>
      </c>
      <c r="B8" s="18" t="s">
        <v>354</v>
      </c>
      <c r="C8" s="18" t="s">
        <v>355</v>
      </c>
      <c r="D8" s="18" t="s">
        <v>308</v>
      </c>
      <c r="E8" s="18" t="s">
        <v>305</v>
      </c>
      <c r="F8" s="18" t="s">
        <v>39</v>
      </c>
      <c r="G8" s="18" t="s">
        <v>356</v>
      </c>
    </row>
    <row r="9" ht="22.5" customHeight="1">
      <c r="A9" s="18">
        <v>8.0</v>
      </c>
      <c r="B9" s="18" t="s">
        <v>357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348</v>
      </c>
    </row>
    <row r="10" ht="22.5" customHeight="1">
      <c r="A10" s="18">
        <v>9.0</v>
      </c>
      <c r="B10" s="18" t="s">
        <v>358</v>
      </c>
      <c r="C10" s="18" t="s">
        <v>346</v>
      </c>
      <c r="D10" s="18"/>
      <c r="E10" s="18" t="s">
        <v>305</v>
      </c>
      <c r="F10" s="18" t="s">
        <v>347</v>
      </c>
      <c r="G10" s="18" t="s">
        <v>348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348</v>
      </c>
    </row>
    <row r="12" ht="22.5" customHeight="1">
      <c r="A12" s="18">
        <v>11.0</v>
      </c>
      <c r="B12" s="18" t="s">
        <v>360</v>
      </c>
      <c r="C12" s="18" t="s">
        <v>355</v>
      </c>
      <c r="D12" s="18" t="s">
        <v>327</v>
      </c>
      <c r="E12" s="18" t="s">
        <v>328</v>
      </c>
      <c r="F12" s="18" t="s">
        <v>39</v>
      </c>
      <c r="G12" s="18" t="s">
        <v>356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348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339</v>
      </c>
      <c r="E14" s="18" t="s">
        <v>305</v>
      </c>
      <c r="F14" s="18" t="s">
        <v>39</v>
      </c>
      <c r="G14" s="18" t="s">
        <v>348</v>
      </c>
    </row>
    <row r="15" ht="22.5" customHeight="1">
      <c r="A15" s="18">
        <v>14.0</v>
      </c>
      <c r="B15" s="18" t="s">
        <v>363</v>
      </c>
      <c r="C15" s="18" t="s">
        <v>355</v>
      </c>
      <c r="D15" s="18" t="s">
        <v>311</v>
      </c>
      <c r="E15" s="18" t="s">
        <v>305</v>
      </c>
      <c r="F15" s="18" t="s">
        <v>39</v>
      </c>
      <c r="G15" s="18" t="s">
        <v>356</v>
      </c>
    </row>
    <row r="16" ht="22.5" customHeight="1">
      <c r="A16" s="18">
        <v>15.0</v>
      </c>
      <c r="B16" s="18" t="s">
        <v>364</v>
      </c>
      <c r="C16" s="18" t="s">
        <v>355</v>
      </c>
      <c r="D16" s="18" t="s">
        <v>331</v>
      </c>
      <c r="E16" s="18" t="s">
        <v>328</v>
      </c>
      <c r="F16" s="18" t="s">
        <v>39</v>
      </c>
      <c r="G16" s="18" t="s">
        <v>356</v>
      </c>
    </row>
    <row r="17" ht="22.5" customHeight="1">
      <c r="A17" s="18">
        <v>16.0</v>
      </c>
      <c r="B17" s="18" t="s">
        <v>365</v>
      </c>
      <c r="C17" s="18" t="s">
        <v>355</v>
      </c>
      <c r="D17" s="18" t="s">
        <v>323</v>
      </c>
      <c r="E17" s="18" t="s">
        <v>305</v>
      </c>
      <c r="F17" s="18" t="s">
        <v>39</v>
      </c>
      <c r="G17" s="18" t="s">
        <v>356</v>
      </c>
    </row>
    <row r="18" ht="22.5" customHeight="1">
      <c r="A18" s="18">
        <v>17.0</v>
      </c>
      <c r="B18" s="18" t="s">
        <v>366</v>
      </c>
      <c r="C18" s="18" t="s">
        <v>355</v>
      </c>
      <c r="D18" s="18" t="s">
        <v>311</v>
      </c>
      <c r="E18" s="18" t="s">
        <v>305</v>
      </c>
      <c r="F18" s="18" t="s">
        <v>39</v>
      </c>
      <c r="G18" s="18" t="s">
        <v>356</v>
      </c>
    </row>
    <row r="19" ht="22.5" customHeight="1">
      <c r="A19" s="18">
        <v>18.0</v>
      </c>
      <c r="B19" s="18" t="s">
        <v>367</v>
      </c>
      <c r="C19" s="18" t="s">
        <v>355</v>
      </c>
      <c r="D19" s="18" t="s">
        <v>325</v>
      </c>
      <c r="E19" s="18" t="s">
        <v>305</v>
      </c>
      <c r="F19" s="18" t="s">
        <v>39</v>
      </c>
      <c r="G19" s="18" t="s">
        <v>356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348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348</v>
      </c>
    </row>
    <row r="22" ht="22.5" customHeight="1">
      <c r="A22" s="18">
        <v>21.0</v>
      </c>
      <c r="B22" s="18" t="s">
        <v>370</v>
      </c>
      <c r="C22" s="18" t="s">
        <v>346</v>
      </c>
      <c r="E22" s="18" t="s">
        <v>305</v>
      </c>
      <c r="F22" s="18" t="s">
        <v>347</v>
      </c>
      <c r="G22" s="18" t="s">
        <v>348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348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333</v>
      </c>
      <c r="E24" s="18" t="s">
        <v>328</v>
      </c>
      <c r="F24" s="18" t="s">
        <v>39</v>
      </c>
      <c r="G24" s="18" t="s">
        <v>348</v>
      </c>
    </row>
    <row r="25" ht="22.5" customHeight="1">
      <c r="A25" s="18">
        <v>24.0</v>
      </c>
      <c r="B25" s="18" t="s">
        <v>373</v>
      </c>
      <c r="C25" s="18" t="s">
        <v>346</v>
      </c>
      <c r="E25" s="18" t="s">
        <v>328</v>
      </c>
      <c r="F25" s="18" t="s">
        <v>347</v>
      </c>
      <c r="G25" s="18" t="s">
        <v>348</v>
      </c>
    </row>
    <row r="26" ht="22.5" customHeight="1">
      <c r="A26" s="18">
        <v>25.0</v>
      </c>
      <c r="B26" s="18" t="s">
        <v>374</v>
      </c>
      <c r="C26" s="18" t="s">
        <v>355</v>
      </c>
      <c r="D26" s="18" t="s">
        <v>310</v>
      </c>
      <c r="E26" s="18" t="s">
        <v>305</v>
      </c>
      <c r="F26" s="18" t="s">
        <v>39</v>
      </c>
      <c r="G26" s="18" t="s">
        <v>356</v>
      </c>
    </row>
    <row r="27" ht="22.5" customHeight="1">
      <c r="A27" s="18">
        <v>26.0</v>
      </c>
      <c r="B27" s="18" t="s">
        <v>375</v>
      </c>
      <c r="C27" s="18" t="s">
        <v>355</v>
      </c>
      <c r="D27" s="18" t="s">
        <v>335</v>
      </c>
      <c r="E27" s="18" t="s">
        <v>328</v>
      </c>
      <c r="F27" s="18" t="s">
        <v>39</v>
      </c>
      <c r="G27" s="18" t="s">
        <v>356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331</v>
      </c>
      <c r="E28" s="18" t="s">
        <v>328</v>
      </c>
      <c r="F28" s="18" t="s">
        <v>39</v>
      </c>
      <c r="G28" s="18" t="s">
        <v>348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348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348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348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348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348</v>
      </c>
    </row>
    <row r="34" ht="22.5" customHeight="1">
      <c r="A34" s="18">
        <v>33.0</v>
      </c>
      <c r="B34" s="18" t="s">
        <v>382</v>
      </c>
      <c r="C34" s="18" t="s">
        <v>355</v>
      </c>
      <c r="D34" s="18" t="s">
        <v>329</v>
      </c>
      <c r="E34" s="18" t="s">
        <v>328</v>
      </c>
      <c r="F34" s="18" t="s">
        <v>39</v>
      </c>
      <c r="G34" s="18" t="s">
        <v>356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348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348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348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348</v>
      </c>
    </row>
    <row r="39" ht="22.5" customHeight="1">
      <c r="A39" s="18">
        <v>38.0</v>
      </c>
      <c r="B39" s="18" t="s">
        <v>387</v>
      </c>
      <c r="C39" s="18" t="s">
        <v>346</v>
      </c>
      <c r="E39" s="18" t="s">
        <v>305</v>
      </c>
      <c r="F39" s="18" t="s">
        <v>347</v>
      </c>
      <c r="G39" s="18" t="s">
        <v>348</v>
      </c>
    </row>
    <row r="40" ht="22.5" customHeight="1">
      <c r="A40" s="18">
        <v>39.0</v>
      </c>
      <c r="B40" s="18" t="s">
        <v>388</v>
      </c>
      <c r="C40" s="18" t="s">
        <v>346</v>
      </c>
      <c r="E40" s="18" t="s">
        <v>305</v>
      </c>
      <c r="F40" s="18" t="s">
        <v>347</v>
      </c>
      <c r="G40" s="18" t="s">
        <v>348</v>
      </c>
    </row>
    <row r="41" ht="22.5" customHeight="1">
      <c r="A41" s="18">
        <v>40.0</v>
      </c>
      <c r="B41" s="18" t="s">
        <v>389</v>
      </c>
      <c r="C41" s="18" t="s">
        <v>346</v>
      </c>
      <c r="E41" s="18" t="s">
        <v>328</v>
      </c>
      <c r="F41" s="18" t="s">
        <v>347</v>
      </c>
      <c r="G41" s="18" t="s">
        <v>348</v>
      </c>
    </row>
    <row r="42" ht="22.5" customHeight="1">
      <c r="A42" s="18">
        <v>41.0</v>
      </c>
      <c r="B42" s="18" t="s">
        <v>390</v>
      </c>
      <c r="C42" s="18" t="s">
        <v>346</v>
      </c>
      <c r="E42" s="18" t="s">
        <v>305</v>
      </c>
      <c r="F42" s="18" t="s">
        <v>347</v>
      </c>
      <c r="G42" s="18" t="s">
        <v>348</v>
      </c>
    </row>
    <row r="43" ht="22.5" customHeight="1">
      <c r="A43" s="18">
        <v>42.0</v>
      </c>
      <c r="B43" s="18" t="s">
        <v>391</v>
      </c>
      <c r="C43" s="18" t="s">
        <v>346</v>
      </c>
      <c r="E43" s="18" t="s">
        <v>328</v>
      </c>
      <c r="F43" s="18" t="s">
        <v>347</v>
      </c>
      <c r="G43" s="18" t="s">
        <v>348</v>
      </c>
    </row>
    <row r="44" ht="22.5" customHeight="1">
      <c r="A44" s="18">
        <v>43.0</v>
      </c>
      <c r="B44" s="18" t="s">
        <v>392</v>
      </c>
      <c r="C44" s="18" t="s">
        <v>346</v>
      </c>
      <c r="E44" s="18" t="s">
        <v>328</v>
      </c>
      <c r="F44" s="18" t="s">
        <v>347</v>
      </c>
      <c r="G44" s="18" t="s">
        <v>348</v>
      </c>
    </row>
    <row r="45" ht="22.5" customHeight="1">
      <c r="A45" s="18">
        <v>44.0</v>
      </c>
      <c r="B45" s="18" t="s">
        <v>393</v>
      </c>
      <c r="C45" s="18" t="s">
        <v>346</v>
      </c>
      <c r="E45" s="18" t="s">
        <v>328</v>
      </c>
      <c r="F45" s="18" t="s">
        <v>347</v>
      </c>
      <c r="G45" s="18" t="s">
        <v>348</v>
      </c>
    </row>
    <row r="46" ht="22.5" customHeight="1">
      <c r="A46" s="18">
        <v>45.0</v>
      </c>
      <c r="B46" s="18" t="s">
        <v>394</v>
      </c>
      <c r="C46" s="18" t="s">
        <v>355</v>
      </c>
      <c r="D46" s="18" t="s">
        <v>317</v>
      </c>
      <c r="E46" s="18" t="s">
        <v>305</v>
      </c>
      <c r="F46" s="18" t="s">
        <v>39</v>
      </c>
      <c r="G46" s="18" t="s">
        <v>356</v>
      </c>
    </row>
    <row r="47" ht="22.5" customHeight="1">
      <c r="A47" s="18">
        <v>46.0</v>
      </c>
      <c r="B47" s="18" t="s">
        <v>395</v>
      </c>
      <c r="C47" s="18" t="s">
        <v>346</v>
      </c>
      <c r="E47" s="18" t="s">
        <v>328</v>
      </c>
      <c r="F47" s="18" t="s">
        <v>347</v>
      </c>
      <c r="G47" s="18" t="s">
        <v>348</v>
      </c>
    </row>
    <row r="48" ht="22.5" customHeight="1">
      <c r="A48" s="18">
        <v>47.0</v>
      </c>
      <c r="B48" s="18" t="s">
        <v>396</v>
      </c>
      <c r="C48" s="18" t="s">
        <v>346</v>
      </c>
      <c r="E48" s="18" t="s">
        <v>328</v>
      </c>
      <c r="F48" s="18" t="s">
        <v>347</v>
      </c>
      <c r="G48" s="18" t="s">
        <v>348</v>
      </c>
    </row>
    <row r="49" ht="22.5" customHeight="1">
      <c r="A49" s="18">
        <v>48.0</v>
      </c>
      <c r="B49" s="18" t="s">
        <v>397</v>
      </c>
      <c r="C49" s="18" t="s">
        <v>346</v>
      </c>
      <c r="E49" s="18" t="s">
        <v>328</v>
      </c>
      <c r="F49" s="18" t="s">
        <v>347</v>
      </c>
      <c r="G49" s="18" t="s">
        <v>348</v>
      </c>
    </row>
    <row r="50" ht="22.5" customHeight="1">
      <c r="A50" s="20">
        <v>49.0</v>
      </c>
      <c r="B50" s="20" t="s">
        <v>398</v>
      </c>
      <c r="C50" s="20" t="s">
        <v>355</v>
      </c>
      <c r="D50" s="20" t="s">
        <v>317</v>
      </c>
      <c r="E50" s="20" t="s">
        <v>305</v>
      </c>
      <c r="F50" s="20" t="s">
        <v>39</v>
      </c>
      <c r="G50" s="18" t="s">
        <v>356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3.0"/>
  </cols>
  <sheetData>
    <row r="1">
      <c r="A1" s="6" t="s">
        <v>399</v>
      </c>
      <c r="B1" s="6" t="s">
        <v>400</v>
      </c>
      <c r="C1" s="6" t="s">
        <v>401</v>
      </c>
      <c r="D1" s="6" t="s">
        <v>402</v>
      </c>
      <c r="E1" s="6" t="s">
        <v>403</v>
      </c>
      <c r="F1" s="6" t="s">
        <v>404</v>
      </c>
      <c r="G1" s="6" t="s">
        <v>33</v>
      </c>
      <c r="H1" s="6" t="s">
        <v>405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404</v>
      </c>
      <c r="B1" s="23" t="s">
        <v>406</v>
      </c>
    </row>
    <row r="2" ht="22.5" customHeight="1">
      <c r="A2" s="18">
        <v>1.0</v>
      </c>
      <c r="B2" s="18" t="s">
        <v>407</v>
      </c>
    </row>
    <row r="3" ht="22.5" customHeight="1">
      <c r="A3" s="18">
        <v>2.0</v>
      </c>
      <c r="B3" s="18" t="s">
        <v>408</v>
      </c>
    </row>
    <row r="4" ht="22.5" customHeight="1">
      <c r="A4" s="18">
        <v>3.0</v>
      </c>
      <c r="B4" s="18" t="s">
        <v>409</v>
      </c>
    </row>
    <row r="5" ht="22.5" customHeight="1">
      <c r="A5" s="18">
        <v>4.0</v>
      </c>
      <c r="B5" s="18" t="s">
        <v>410</v>
      </c>
    </row>
    <row r="6" ht="22.5" customHeight="1">
      <c r="A6" s="18">
        <v>5.0</v>
      </c>
      <c r="B6" s="18" t="s">
        <v>411</v>
      </c>
    </row>
    <row r="7" ht="22.5" customHeight="1">
      <c r="A7" s="18">
        <v>6.0</v>
      </c>
      <c r="B7" s="18" t="s">
        <v>412</v>
      </c>
    </row>
    <row r="8" ht="22.5" customHeight="1">
      <c r="A8" s="18">
        <v>7.0</v>
      </c>
      <c r="B8" s="18" t="s">
        <v>413</v>
      </c>
    </row>
    <row r="9" ht="22.5" customHeight="1">
      <c r="A9" s="18">
        <v>8.0</v>
      </c>
      <c r="B9" s="18" t="s">
        <v>414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415</v>
      </c>
      <c r="B1" s="23" t="s">
        <v>416</v>
      </c>
      <c r="C1" s="23" t="s">
        <v>404</v>
      </c>
      <c r="D1" s="23" t="s">
        <v>417</v>
      </c>
    </row>
    <row r="2" ht="22.5" customHeight="1">
      <c r="A2" s="18">
        <v>1.0</v>
      </c>
      <c r="B2" s="18" t="s">
        <v>418</v>
      </c>
      <c r="C2" s="18">
        <v>2.0</v>
      </c>
      <c r="D2" s="18" t="s">
        <v>419</v>
      </c>
    </row>
    <row r="3" ht="22.5" customHeight="1">
      <c r="A3" s="18">
        <v>2.0</v>
      </c>
      <c r="B3" s="18" t="s">
        <v>420</v>
      </c>
      <c r="C3" s="18">
        <v>2.0</v>
      </c>
      <c r="D3" s="18" t="s">
        <v>421</v>
      </c>
    </row>
    <row r="4" ht="22.5" customHeight="1">
      <c r="A4" s="18">
        <v>3.0</v>
      </c>
      <c r="B4" s="18" t="s">
        <v>422</v>
      </c>
      <c r="C4" s="18">
        <v>2.0</v>
      </c>
      <c r="D4" s="18" t="s">
        <v>423</v>
      </c>
    </row>
    <row r="5" ht="22.5" customHeight="1">
      <c r="A5" s="18">
        <v>4.0</v>
      </c>
      <c r="B5" s="18" t="s">
        <v>424</v>
      </c>
      <c r="C5" s="18">
        <v>2.0</v>
      </c>
      <c r="D5" s="18" t="s">
        <v>421</v>
      </c>
    </row>
    <row r="6" ht="22.5" customHeight="1">
      <c r="A6" s="18">
        <v>5.0</v>
      </c>
      <c r="B6" s="18" t="s">
        <v>425</v>
      </c>
      <c r="C6" s="18">
        <v>2.0</v>
      </c>
      <c r="D6" s="18" t="s">
        <v>421</v>
      </c>
    </row>
    <row r="7" ht="22.5" customHeight="1">
      <c r="A7" s="18">
        <v>6.0</v>
      </c>
      <c r="B7" s="18" t="s">
        <v>426</v>
      </c>
      <c r="C7" s="18">
        <v>2.0</v>
      </c>
      <c r="D7" s="18" t="s">
        <v>427</v>
      </c>
    </row>
    <row r="8" ht="22.5" customHeight="1">
      <c r="A8" s="18">
        <v>7.0</v>
      </c>
      <c r="B8" s="18" t="s">
        <v>428</v>
      </c>
      <c r="C8" s="18">
        <v>2.0</v>
      </c>
      <c r="D8" s="18" t="s">
        <v>429</v>
      </c>
    </row>
    <row r="9" ht="22.5" customHeight="1">
      <c r="A9" s="18">
        <v>8.0</v>
      </c>
      <c r="B9" s="18" t="s">
        <v>430</v>
      </c>
      <c r="C9" s="18">
        <v>2.0</v>
      </c>
      <c r="D9" s="18" t="s">
        <v>429</v>
      </c>
    </row>
    <row r="10" ht="22.5" customHeight="1">
      <c r="A10" s="18">
        <v>9.0</v>
      </c>
      <c r="B10" s="18" t="s">
        <v>431</v>
      </c>
      <c r="C10" s="18">
        <v>2.0</v>
      </c>
      <c r="D10" s="18" t="s">
        <v>419</v>
      </c>
    </row>
    <row r="11" ht="22.5" customHeight="1">
      <c r="A11" s="18">
        <v>10.0</v>
      </c>
      <c r="B11" s="18" t="s">
        <v>432</v>
      </c>
      <c r="C11" s="18">
        <v>2.0</v>
      </c>
      <c r="D11" s="18" t="s">
        <v>419</v>
      </c>
    </row>
    <row r="12" ht="22.5" customHeight="1">
      <c r="A12" s="18">
        <v>11.0</v>
      </c>
      <c r="B12" s="18" t="s">
        <v>433</v>
      </c>
      <c r="C12" s="18">
        <v>2.0</v>
      </c>
      <c r="D12" s="18" t="s">
        <v>421</v>
      </c>
    </row>
    <row r="13" ht="22.5" customHeight="1">
      <c r="A13" s="18">
        <v>12.0</v>
      </c>
      <c r="B13" s="18" t="s">
        <v>434</v>
      </c>
      <c r="C13" s="18">
        <v>2.0</v>
      </c>
      <c r="D13" s="18" t="s">
        <v>421</v>
      </c>
    </row>
    <row r="14" ht="22.5" customHeight="1">
      <c r="A14" s="18">
        <v>13.0</v>
      </c>
      <c r="B14" s="18" t="s">
        <v>435</v>
      </c>
      <c r="C14" s="18">
        <v>2.0</v>
      </c>
      <c r="D14" s="18" t="s">
        <v>421</v>
      </c>
    </row>
    <row r="15" ht="22.5" customHeight="1">
      <c r="A15" s="18">
        <v>14.0</v>
      </c>
      <c r="B15" s="18" t="s">
        <v>436</v>
      </c>
      <c r="C15" s="18">
        <v>2.0</v>
      </c>
      <c r="D15" s="18" t="s">
        <v>419</v>
      </c>
    </row>
    <row r="16" ht="22.5" customHeight="1">
      <c r="A16" s="18">
        <v>15.0</v>
      </c>
      <c r="B16" s="18" t="s">
        <v>437</v>
      </c>
      <c r="C16" s="18">
        <v>2.0</v>
      </c>
      <c r="D16" s="18" t="s">
        <v>423</v>
      </c>
    </row>
    <row r="17" ht="22.5" customHeight="1">
      <c r="A17" s="18">
        <v>16.0</v>
      </c>
      <c r="B17" s="18" t="s">
        <v>438</v>
      </c>
      <c r="C17" s="18">
        <v>2.0</v>
      </c>
      <c r="D17" s="18" t="s">
        <v>421</v>
      </c>
    </row>
    <row r="18" ht="22.5" customHeight="1">
      <c r="A18" s="18">
        <v>17.0</v>
      </c>
      <c r="B18" s="18" t="s">
        <v>439</v>
      </c>
      <c r="C18" s="18">
        <v>2.0</v>
      </c>
      <c r="D18" s="18" t="s">
        <v>440</v>
      </c>
    </row>
    <row r="19" ht="22.5" customHeight="1">
      <c r="A19" s="18">
        <v>18.0</v>
      </c>
      <c r="B19" s="18" t="s">
        <v>441</v>
      </c>
      <c r="C19" s="18">
        <v>2.0</v>
      </c>
      <c r="D19" s="18" t="s">
        <v>419</v>
      </c>
    </row>
    <row r="20" ht="22.5" customHeight="1">
      <c r="A20" s="18">
        <v>19.0</v>
      </c>
      <c r="B20" s="18" t="s">
        <v>442</v>
      </c>
      <c r="C20" s="18">
        <v>2.0</v>
      </c>
      <c r="D20" s="18" t="s">
        <v>421</v>
      </c>
    </row>
    <row r="21" ht="22.5" customHeight="1">
      <c r="A21" s="18">
        <v>20.0</v>
      </c>
      <c r="B21" s="18" t="s">
        <v>443</v>
      </c>
      <c r="C21" s="18">
        <v>2.0</v>
      </c>
      <c r="D21" s="18" t="s">
        <v>419</v>
      </c>
    </row>
    <row r="22" ht="22.5" customHeight="1">
      <c r="A22" s="18">
        <v>21.0</v>
      </c>
      <c r="B22" s="18" t="s">
        <v>444</v>
      </c>
      <c r="C22" s="18">
        <v>2.0</v>
      </c>
      <c r="D22" s="18" t="s">
        <v>419</v>
      </c>
    </row>
    <row r="23" ht="22.5" customHeight="1">
      <c r="A23" s="18">
        <v>22.0</v>
      </c>
      <c r="B23" s="18" t="s">
        <v>445</v>
      </c>
      <c r="C23" s="18">
        <v>2.0</v>
      </c>
      <c r="D23" s="18" t="s">
        <v>419</v>
      </c>
    </row>
    <row r="24" ht="22.5" customHeight="1">
      <c r="A24" s="18">
        <v>23.0</v>
      </c>
      <c r="B24" s="18" t="s">
        <v>446</v>
      </c>
      <c r="C24" s="18">
        <v>2.0</v>
      </c>
      <c r="D24" s="18" t="s">
        <v>421</v>
      </c>
    </row>
    <row r="25" ht="22.5" customHeight="1">
      <c r="A25" s="18">
        <v>24.0</v>
      </c>
      <c r="B25" s="18" t="s">
        <v>447</v>
      </c>
      <c r="C25" s="18">
        <v>2.0</v>
      </c>
      <c r="D25" s="18" t="s">
        <v>448</v>
      </c>
    </row>
    <row r="26" ht="22.5" customHeight="1">
      <c r="A26" s="18">
        <v>25.0</v>
      </c>
      <c r="B26" s="18" t="s">
        <v>449</v>
      </c>
      <c r="C26" s="18">
        <v>2.0</v>
      </c>
      <c r="D26" s="18" t="s">
        <v>419</v>
      </c>
    </row>
    <row r="27" ht="22.5" customHeight="1">
      <c r="A27" s="18">
        <v>26.0</v>
      </c>
      <c r="B27" s="18" t="s">
        <v>450</v>
      </c>
      <c r="C27" s="18">
        <v>2.0</v>
      </c>
      <c r="D27" s="18" t="s">
        <v>451</v>
      </c>
    </row>
    <row r="28" ht="22.5" customHeight="1">
      <c r="A28" s="18">
        <v>27.0</v>
      </c>
      <c r="B28" s="18" t="s">
        <v>452</v>
      </c>
      <c r="C28" s="18">
        <v>2.0</v>
      </c>
      <c r="D28" s="18" t="s">
        <v>429</v>
      </c>
    </row>
    <row r="29" ht="22.5" customHeight="1">
      <c r="A29" s="18">
        <v>28.0</v>
      </c>
      <c r="B29" s="18" t="s">
        <v>453</v>
      </c>
      <c r="C29" s="18">
        <v>1.0</v>
      </c>
      <c r="D29" s="18" t="s">
        <v>454</v>
      </c>
    </row>
    <row r="30" ht="22.5" customHeight="1">
      <c r="A30" s="18">
        <v>29.0</v>
      </c>
      <c r="B30" s="18" t="s">
        <v>455</v>
      </c>
      <c r="C30" s="18">
        <v>1.0</v>
      </c>
      <c r="D30" s="18" t="s">
        <v>456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457</v>
      </c>
    </row>
    <row r="32" ht="22.5" customHeight="1">
      <c r="A32" s="18">
        <v>32.0</v>
      </c>
      <c r="B32" s="18" t="s">
        <v>268</v>
      </c>
      <c r="C32" s="18">
        <v>1.0</v>
      </c>
      <c r="D32" s="18" t="s">
        <v>457</v>
      </c>
    </row>
    <row r="33" ht="22.5" customHeight="1">
      <c r="A33" s="18">
        <v>33.0</v>
      </c>
      <c r="B33" s="18" t="s">
        <v>458</v>
      </c>
      <c r="C33" s="18">
        <v>1.0</v>
      </c>
      <c r="D33" s="18" t="s">
        <v>459</v>
      </c>
    </row>
    <row r="34" ht="22.5" customHeight="1">
      <c r="A34" s="18">
        <v>34.0</v>
      </c>
      <c r="B34" s="18" t="s">
        <v>460</v>
      </c>
      <c r="C34" s="18">
        <v>1.0</v>
      </c>
      <c r="D34" s="18" t="s">
        <v>461</v>
      </c>
    </row>
    <row r="35" ht="22.5" customHeight="1">
      <c r="A35" s="18">
        <v>35.0</v>
      </c>
      <c r="B35" s="18" t="s">
        <v>462</v>
      </c>
      <c r="C35" s="18">
        <v>1.0</v>
      </c>
      <c r="D35" s="18" t="s">
        <v>419</v>
      </c>
    </row>
    <row r="36" ht="22.5" customHeight="1">
      <c r="A36" s="18">
        <v>36.0</v>
      </c>
      <c r="B36" s="18" t="s">
        <v>238</v>
      </c>
      <c r="C36" s="18">
        <v>1.0</v>
      </c>
      <c r="D36" s="18" t="s">
        <v>419</v>
      </c>
    </row>
    <row r="37" ht="22.5" customHeight="1">
      <c r="A37" s="18">
        <v>37.0</v>
      </c>
      <c r="B37" s="18" t="s">
        <v>242</v>
      </c>
      <c r="C37" s="18">
        <v>1.0</v>
      </c>
      <c r="D37" s="18" t="s">
        <v>419</v>
      </c>
    </row>
    <row r="38" ht="22.5" customHeight="1">
      <c r="A38" s="18">
        <v>38.0</v>
      </c>
      <c r="B38" s="18" t="s">
        <v>463</v>
      </c>
      <c r="C38" s="18">
        <v>1.0</v>
      </c>
      <c r="D38" s="18" t="s">
        <v>419</v>
      </c>
    </row>
    <row r="39" ht="22.5" customHeight="1">
      <c r="A39" s="18">
        <v>39.0</v>
      </c>
      <c r="B39" s="18" t="s">
        <v>464</v>
      </c>
      <c r="C39" s="18">
        <v>7.0</v>
      </c>
      <c r="D39" s="18" t="s">
        <v>456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465</v>
      </c>
      <c r="B1" s="15" t="s">
        <v>2</v>
      </c>
      <c r="C1" s="15" t="s">
        <v>299</v>
      </c>
      <c r="D1" s="15" t="s">
        <v>404</v>
      </c>
      <c r="E1" s="15" t="s">
        <v>405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hidden="1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hidden="1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hidden="1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hidden="1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hidden="1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hidden="1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hidden="1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hidden="1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1.0</v>
      </c>
      <c r="F35" s="22" t="s">
        <v>39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1.0</v>
      </c>
      <c r="F36" s="22" t="s">
        <v>39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1.0</v>
      </c>
      <c r="F37" s="22" t="s">
        <v>39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1.0</v>
      </c>
      <c r="F38" s="22" t="s">
        <v>39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1.0</v>
      </c>
      <c r="F39" s="22" t="s">
        <v>39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1.0</v>
      </c>
      <c r="F40" s="22" t="s">
        <v>39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1.0</v>
      </c>
      <c r="F41" s="22" t="s">
        <v>39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1.0</v>
      </c>
      <c r="F42" s="22" t="s">
        <v>39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466</v>
      </c>
      <c r="F43" s="22" t="s">
        <v>39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1.0</v>
      </c>
      <c r="F44" s="22" t="s">
        <v>39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467</v>
      </c>
      <c r="F46" s="22" t="s">
        <v>39</v>
      </c>
    </row>
    <row r="47" ht="22.5" hidden="1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466</v>
      </c>
      <c r="F47" s="22" t="s">
        <v>39</v>
      </c>
    </row>
    <row r="48" ht="22.5" hidden="1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466</v>
      </c>
      <c r="F48" s="22" t="s">
        <v>39</v>
      </c>
    </row>
    <row r="49" ht="22.5" hidden="1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hidden="1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467</v>
      </c>
      <c r="F50" s="22" t="s">
        <v>39</v>
      </c>
    </row>
    <row r="51" ht="22.5" hidden="1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467</v>
      </c>
      <c r="F51" s="22" t="s">
        <v>39</v>
      </c>
    </row>
    <row r="52" ht="22.5" hidden="1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467</v>
      </c>
      <c r="F52" s="22" t="s">
        <v>39</v>
      </c>
    </row>
    <row r="53" ht="22.5" hidden="1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467</v>
      </c>
      <c r="F53" s="22" t="s">
        <v>39</v>
      </c>
    </row>
    <row r="54" ht="22.5" hidden="1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467</v>
      </c>
      <c r="F54" s="22" t="s">
        <v>39</v>
      </c>
    </row>
    <row r="55" ht="22.5" hidden="1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467</v>
      </c>
      <c r="F55" s="22" t="s">
        <v>39</v>
      </c>
    </row>
    <row r="56" ht="22.5" hidden="1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467</v>
      </c>
      <c r="F56" s="22" t="s">
        <v>39</v>
      </c>
    </row>
    <row r="57" ht="22.5" hidden="1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466</v>
      </c>
      <c r="F57" s="22" t="s">
        <v>39</v>
      </c>
    </row>
    <row r="58" ht="22.5" hidden="1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468</v>
      </c>
      <c r="F58" s="22" t="s">
        <v>39</v>
      </c>
    </row>
    <row r="59" ht="22.5" hidden="1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hidden="1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hidden="1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469</v>
      </c>
      <c r="F61" s="22" t="s">
        <v>39</v>
      </c>
    </row>
    <row r="62" ht="22.5" hidden="1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469</v>
      </c>
      <c r="F62" s="22" t="s">
        <v>39</v>
      </c>
    </row>
    <row r="63" ht="22.5" hidden="1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466</v>
      </c>
      <c r="F63" s="22" t="s">
        <v>39</v>
      </c>
    </row>
    <row r="64" ht="22.5" hidden="1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466</v>
      </c>
      <c r="F64" s="22" t="s">
        <v>39</v>
      </c>
    </row>
    <row r="65" ht="22.5" hidden="1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470</v>
      </c>
      <c r="F65" s="22" t="s">
        <v>39</v>
      </c>
    </row>
    <row r="66" ht="22.5" hidden="1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470</v>
      </c>
      <c r="F66" s="22" t="s">
        <v>39</v>
      </c>
    </row>
    <row r="67" ht="22.5" hidden="1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470</v>
      </c>
      <c r="F67" s="22" t="s">
        <v>39</v>
      </c>
    </row>
    <row r="68" ht="22.5" hidden="1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470</v>
      </c>
      <c r="F68" s="22" t="s">
        <v>39</v>
      </c>
    </row>
    <row r="69" ht="22.5" hidden="1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470</v>
      </c>
      <c r="F69" s="22" t="s">
        <v>39</v>
      </c>
    </row>
    <row r="70" ht="22.5" hidden="1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470</v>
      </c>
      <c r="F70" s="22" t="s">
        <v>39</v>
      </c>
    </row>
    <row r="71" ht="22.5" hidden="1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470</v>
      </c>
      <c r="F71" s="22" t="s">
        <v>39</v>
      </c>
    </row>
    <row r="72" ht="22.5" hidden="1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470</v>
      </c>
      <c r="F72" s="22" t="s">
        <v>39</v>
      </c>
    </row>
    <row r="73" ht="22.5" hidden="1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470</v>
      </c>
      <c r="F73" s="22" t="s">
        <v>39</v>
      </c>
    </row>
    <row r="74" ht="22.5" hidden="1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470</v>
      </c>
      <c r="F74" s="22" t="s">
        <v>39</v>
      </c>
    </row>
    <row r="75" ht="22.5" hidden="1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470</v>
      </c>
      <c r="F75" s="22" t="s">
        <v>39</v>
      </c>
    </row>
    <row r="76" ht="22.5" hidden="1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470</v>
      </c>
      <c r="F76" s="22" t="s">
        <v>39</v>
      </c>
    </row>
    <row r="77" ht="22.5" hidden="1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470</v>
      </c>
      <c r="F77" s="22" t="s">
        <v>39</v>
      </c>
    </row>
    <row r="78" ht="22.5" hidden="1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471</v>
      </c>
      <c r="F78" s="22" t="s">
        <v>39</v>
      </c>
    </row>
    <row r="79" ht="22.5" hidden="1" customHeight="1">
      <c r="A79" s="18">
        <v>101.0</v>
      </c>
      <c r="B79" s="18">
        <v>110.0</v>
      </c>
      <c r="C79" s="18">
        <v>1.0</v>
      </c>
      <c r="D79" s="18">
        <v>1.0</v>
      </c>
      <c r="F79" s="22" t="s">
        <v>39</v>
      </c>
    </row>
    <row r="80" ht="22.5" hidden="1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hidden="1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hidden="1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hidden="1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hidden="1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hidden="1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hidden="1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hidden="1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hidden="1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hidden="1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hidden="1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hidden="1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hidden="1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hidden="1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hidden="1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hidden="1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hidden="1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hidden="1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hidden="1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hidden="1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hidden="1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hidden="1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hidden="1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hidden="1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hidden="1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hidden="1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hidden="1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hidden="1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hidden="1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hidden="1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hidden="1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hidden="1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hidden="1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hidden="1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hidden="1" customHeight="1">
      <c r="A114" s="18">
        <v>136.0</v>
      </c>
      <c r="B114" s="18">
        <v>34.0</v>
      </c>
      <c r="C114" s="18">
        <v>2.0</v>
      </c>
      <c r="D114" s="18">
        <v>1.0</v>
      </c>
      <c r="F114" s="22" t="s">
        <v>39</v>
      </c>
    </row>
    <row r="115" ht="22.5" hidden="1" customHeight="1">
      <c r="A115" s="18">
        <v>137.0</v>
      </c>
      <c r="B115" s="18">
        <v>35.0</v>
      </c>
      <c r="C115" s="18">
        <v>2.0</v>
      </c>
      <c r="D115" s="18">
        <v>1.0</v>
      </c>
      <c r="F115" s="22" t="s">
        <v>39</v>
      </c>
    </row>
    <row r="116" ht="22.5" hidden="1" customHeight="1">
      <c r="A116" s="18">
        <v>138.0</v>
      </c>
      <c r="B116" s="18">
        <v>36.0</v>
      </c>
      <c r="C116" s="18">
        <v>2.0</v>
      </c>
      <c r="D116" s="18">
        <v>1.0</v>
      </c>
      <c r="F116" s="22" t="s">
        <v>39</v>
      </c>
    </row>
    <row r="117" ht="22.5" hidden="1" customHeight="1">
      <c r="A117" s="18">
        <v>139.0</v>
      </c>
      <c r="B117" s="18">
        <v>37.0</v>
      </c>
      <c r="C117" s="18">
        <v>2.0</v>
      </c>
      <c r="D117" s="18">
        <v>1.0</v>
      </c>
      <c r="F117" s="22" t="s">
        <v>39</v>
      </c>
    </row>
    <row r="118" ht="22.5" hidden="1" customHeight="1">
      <c r="A118" s="18">
        <v>140.0</v>
      </c>
      <c r="B118" s="18">
        <v>38.0</v>
      </c>
      <c r="C118" s="18">
        <v>2.0</v>
      </c>
      <c r="D118" s="18">
        <v>1.0</v>
      </c>
      <c r="F118" s="22" t="s">
        <v>39</v>
      </c>
    </row>
    <row r="119" ht="22.5" hidden="1" customHeight="1">
      <c r="A119" s="18">
        <v>141.0</v>
      </c>
      <c r="B119" s="18">
        <v>39.0</v>
      </c>
      <c r="C119" s="18">
        <v>2.0</v>
      </c>
      <c r="D119" s="18">
        <v>1.0</v>
      </c>
      <c r="F119" s="22" t="s">
        <v>39</v>
      </c>
    </row>
    <row r="120" ht="22.5" hidden="1" customHeight="1">
      <c r="A120" s="18">
        <v>142.0</v>
      </c>
      <c r="B120" s="18">
        <v>40.0</v>
      </c>
      <c r="C120" s="18">
        <v>2.0</v>
      </c>
      <c r="D120" s="18">
        <v>1.0</v>
      </c>
      <c r="F120" s="22" t="s">
        <v>39</v>
      </c>
    </row>
    <row r="121" ht="22.5" hidden="1" customHeight="1">
      <c r="A121" s="18">
        <v>143.0</v>
      </c>
      <c r="B121" s="18">
        <v>41.0</v>
      </c>
      <c r="C121" s="18">
        <v>2.0</v>
      </c>
      <c r="D121" s="18">
        <v>1.0</v>
      </c>
      <c r="F121" s="22" t="s">
        <v>39</v>
      </c>
    </row>
    <row r="122" ht="22.5" hidden="1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466</v>
      </c>
      <c r="F122" s="22" t="s">
        <v>39</v>
      </c>
    </row>
    <row r="123" ht="22.5" hidden="1" customHeight="1">
      <c r="A123" s="18">
        <v>145.0</v>
      </c>
      <c r="B123" s="18">
        <v>43.0</v>
      </c>
      <c r="C123" s="18">
        <v>2.0</v>
      </c>
      <c r="D123" s="18">
        <v>1.0</v>
      </c>
      <c r="F123" s="22" t="s">
        <v>39</v>
      </c>
    </row>
    <row r="124" ht="22.5" hidden="1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hidden="1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466</v>
      </c>
      <c r="F125" s="22" t="s">
        <v>39</v>
      </c>
    </row>
    <row r="126" ht="22.5" hidden="1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467</v>
      </c>
      <c r="F126" s="22" t="s">
        <v>39</v>
      </c>
    </row>
    <row r="127" ht="22.5" hidden="1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466</v>
      </c>
      <c r="F127" s="22" t="s">
        <v>39</v>
      </c>
    </row>
    <row r="128" ht="22.5" hidden="1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466</v>
      </c>
      <c r="F128" s="22" t="s">
        <v>39</v>
      </c>
    </row>
    <row r="129" ht="22.5" hidden="1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466</v>
      </c>
      <c r="F129" s="22" t="s">
        <v>39</v>
      </c>
    </row>
    <row r="130" ht="22.5" hidden="1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471</v>
      </c>
      <c r="F130" s="22" t="s">
        <v>39</v>
      </c>
    </row>
    <row r="131" ht="22.5" hidden="1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hidden="1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467</v>
      </c>
      <c r="F132" s="22" t="s">
        <v>39</v>
      </c>
    </row>
    <row r="133" ht="22.5" hidden="1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467</v>
      </c>
      <c r="F133" s="22" t="s">
        <v>39</v>
      </c>
    </row>
    <row r="134" ht="22.5" hidden="1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467</v>
      </c>
      <c r="F134" s="22" t="s">
        <v>39</v>
      </c>
    </row>
    <row r="135" ht="22.5" hidden="1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467</v>
      </c>
      <c r="F135" s="22" t="s">
        <v>39</v>
      </c>
    </row>
    <row r="136" ht="22.5" hidden="1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467</v>
      </c>
      <c r="F136" s="22" t="s">
        <v>39</v>
      </c>
    </row>
    <row r="137" ht="22.5" hidden="1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466</v>
      </c>
      <c r="F137" s="22" t="s">
        <v>39</v>
      </c>
    </row>
    <row r="138" ht="22.5" hidden="1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468</v>
      </c>
      <c r="F138" s="22" t="s">
        <v>39</v>
      </c>
    </row>
    <row r="139" ht="22.5" hidden="1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hidden="1" customHeight="1">
      <c r="A140" s="18">
        <v>185.0</v>
      </c>
      <c r="B140" s="24">
        <v>1.0</v>
      </c>
      <c r="C140" s="18">
        <v>3.0</v>
      </c>
      <c r="D140" s="18">
        <v>1.0</v>
      </c>
      <c r="F140" s="22" t="s">
        <v>39</v>
      </c>
    </row>
    <row r="141" ht="22.5" hidden="1" customHeight="1">
      <c r="A141" s="18">
        <v>186.0</v>
      </c>
      <c r="B141" s="24">
        <v>2.0</v>
      </c>
      <c r="C141" s="18">
        <v>3.0</v>
      </c>
      <c r="D141" s="18">
        <v>1.0</v>
      </c>
      <c r="F141" s="22" t="s">
        <v>39</v>
      </c>
    </row>
    <row r="142" ht="22.5" hidden="1" customHeight="1">
      <c r="A142" s="18">
        <v>187.0</v>
      </c>
      <c r="B142" s="24">
        <v>3.0</v>
      </c>
      <c r="C142" s="18">
        <v>3.0</v>
      </c>
      <c r="D142" s="18">
        <v>1.0</v>
      </c>
      <c r="F142" s="22" t="s">
        <v>39</v>
      </c>
    </row>
    <row r="143" ht="22.5" hidden="1" customHeight="1">
      <c r="A143" s="18">
        <v>188.0</v>
      </c>
      <c r="B143" s="24">
        <v>4.0</v>
      </c>
      <c r="C143" s="18">
        <v>3.0</v>
      </c>
      <c r="D143" s="18">
        <v>1.0</v>
      </c>
      <c r="F143" s="22" t="s">
        <v>39</v>
      </c>
    </row>
    <row r="144" ht="22.5" hidden="1" customHeight="1">
      <c r="A144" s="18">
        <v>189.0</v>
      </c>
      <c r="B144" s="24">
        <v>5.0</v>
      </c>
      <c r="C144" s="18">
        <v>3.0</v>
      </c>
      <c r="D144" s="18">
        <v>1.0</v>
      </c>
      <c r="F144" s="22" t="s">
        <v>39</v>
      </c>
    </row>
    <row r="145" ht="22.5" hidden="1" customHeight="1">
      <c r="A145" s="18">
        <v>190.0</v>
      </c>
      <c r="B145" s="24">
        <v>6.0</v>
      </c>
      <c r="C145" s="18">
        <v>3.0</v>
      </c>
      <c r="D145" s="18">
        <v>1.0</v>
      </c>
      <c r="F145" s="22" t="s">
        <v>39</v>
      </c>
    </row>
    <row r="146" ht="22.5" hidden="1" customHeight="1">
      <c r="A146" s="18">
        <v>191.0</v>
      </c>
      <c r="B146" s="24">
        <v>7.0</v>
      </c>
      <c r="C146" s="18">
        <v>3.0</v>
      </c>
      <c r="D146" s="18">
        <v>1.0</v>
      </c>
      <c r="F146" s="22" t="s">
        <v>39</v>
      </c>
    </row>
    <row r="147" ht="22.5" hidden="1" customHeight="1">
      <c r="A147" s="18">
        <v>192.0</v>
      </c>
      <c r="B147" s="24">
        <v>8.0</v>
      </c>
      <c r="C147" s="18">
        <v>3.0</v>
      </c>
      <c r="D147" s="18">
        <v>1.0</v>
      </c>
      <c r="F147" s="22" t="s">
        <v>39</v>
      </c>
    </row>
    <row r="148" ht="22.5" hidden="1" customHeight="1">
      <c r="A148" s="18">
        <v>193.0</v>
      </c>
      <c r="B148" s="24">
        <v>9.0</v>
      </c>
      <c r="C148" s="18">
        <v>3.0</v>
      </c>
      <c r="D148" s="18">
        <v>1.0</v>
      </c>
      <c r="F148" s="22" t="s">
        <v>39</v>
      </c>
    </row>
    <row r="149" ht="22.5" hidden="1" customHeight="1">
      <c r="A149" s="18">
        <v>194.0</v>
      </c>
      <c r="B149" s="24">
        <v>10.0</v>
      </c>
      <c r="C149" s="18">
        <v>3.0</v>
      </c>
      <c r="D149" s="18">
        <v>1.0</v>
      </c>
      <c r="F149" s="22" t="s">
        <v>39</v>
      </c>
    </row>
    <row r="150" ht="22.5" hidden="1" customHeight="1">
      <c r="A150" s="18">
        <v>195.0</v>
      </c>
      <c r="B150" s="24">
        <v>11.0</v>
      </c>
      <c r="C150" s="18">
        <v>3.0</v>
      </c>
      <c r="D150" s="18">
        <v>1.0</v>
      </c>
      <c r="F150" s="22" t="s">
        <v>39</v>
      </c>
    </row>
    <row r="151" ht="22.5" hidden="1" customHeight="1">
      <c r="A151" s="18">
        <v>196.0</v>
      </c>
      <c r="B151" s="24">
        <v>12.0</v>
      </c>
      <c r="C151" s="18">
        <v>3.0</v>
      </c>
      <c r="D151" s="18">
        <v>1.0</v>
      </c>
      <c r="F151" s="22" t="s">
        <v>39</v>
      </c>
    </row>
    <row r="152" ht="22.5" hidden="1" customHeight="1">
      <c r="A152" s="18">
        <v>197.0</v>
      </c>
      <c r="B152" s="24">
        <v>13.0</v>
      </c>
      <c r="C152" s="18">
        <v>3.0</v>
      </c>
      <c r="D152" s="18">
        <v>1.0</v>
      </c>
      <c r="F152" s="22" t="s">
        <v>39</v>
      </c>
    </row>
    <row r="153" ht="22.5" hidden="1" customHeight="1">
      <c r="A153" s="18">
        <v>198.0</v>
      </c>
      <c r="B153" s="24">
        <v>14.0</v>
      </c>
      <c r="C153" s="18">
        <v>3.0</v>
      </c>
      <c r="D153" s="18">
        <v>1.0</v>
      </c>
      <c r="F153" s="22" t="s">
        <v>39</v>
      </c>
    </row>
    <row r="154" ht="22.5" hidden="1" customHeight="1">
      <c r="A154" s="18">
        <v>199.0</v>
      </c>
      <c r="B154" s="24">
        <v>15.0</v>
      </c>
      <c r="C154" s="18">
        <v>3.0</v>
      </c>
      <c r="D154" s="18">
        <v>1.0</v>
      </c>
      <c r="F154" s="22" t="s">
        <v>39</v>
      </c>
    </row>
    <row r="155" ht="22.5" hidden="1" customHeight="1">
      <c r="A155" s="18">
        <v>200.0</v>
      </c>
      <c r="B155" s="24">
        <v>16.0</v>
      </c>
      <c r="C155" s="18">
        <v>3.0</v>
      </c>
      <c r="D155" s="18">
        <v>1.0</v>
      </c>
      <c r="F155" s="22" t="s">
        <v>39</v>
      </c>
    </row>
    <row r="156" ht="22.5" hidden="1" customHeight="1">
      <c r="A156" s="18">
        <v>201.0</v>
      </c>
      <c r="B156" s="24">
        <v>17.0</v>
      </c>
      <c r="C156" s="18">
        <v>3.0</v>
      </c>
      <c r="D156" s="18">
        <v>1.0</v>
      </c>
      <c r="F156" s="22" t="s">
        <v>39</v>
      </c>
    </row>
    <row r="157" ht="22.5" hidden="1" customHeight="1">
      <c r="A157" s="18">
        <v>202.0</v>
      </c>
      <c r="B157" s="24">
        <v>18.0</v>
      </c>
      <c r="C157" s="18">
        <v>3.0</v>
      </c>
      <c r="D157" s="18">
        <v>1.0</v>
      </c>
      <c r="F157" s="22" t="s">
        <v>39</v>
      </c>
    </row>
    <row r="158" ht="22.5" hidden="1" customHeight="1">
      <c r="A158" s="18">
        <v>203.0</v>
      </c>
      <c r="B158" s="24">
        <v>19.0</v>
      </c>
      <c r="C158" s="18">
        <v>3.0</v>
      </c>
      <c r="D158" s="18">
        <v>1.0</v>
      </c>
      <c r="F158" s="22" t="s">
        <v>39</v>
      </c>
    </row>
    <row r="159" ht="22.5" hidden="1" customHeight="1">
      <c r="A159" s="18">
        <v>204.0</v>
      </c>
      <c r="B159" s="24">
        <v>20.0</v>
      </c>
      <c r="C159" s="18">
        <v>3.0</v>
      </c>
      <c r="D159" s="18">
        <v>1.0</v>
      </c>
      <c r="F159" s="22" t="s">
        <v>39</v>
      </c>
    </row>
    <row r="160" ht="22.5" hidden="1" customHeight="1">
      <c r="A160" s="18">
        <v>205.0</v>
      </c>
      <c r="B160" s="24">
        <v>21.0</v>
      </c>
      <c r="C160" s="18">
        <v>3.0</v>
      </c>
      <c r="D160" s="18">
        <v>1.0</v>
      </c>
      <c r="F160" s="22" t="s">
        <v>39</v>
      </c>
    </row>
    <row r="161" ht="22.5" hidden="1" customHeight="1">
      <c r="A161" s="18">
        <v>206.0</v>
      </c>
      <c r="B161" s="24">
        <v>22.0</v>
      </c>
      <c r="C161" s="18">
        <v>3.0</v>
      </c>
      <c r="D161" s="18">
        <v>1.0</v>
      </c>
      <c r="F161" s="22" t="s">
        <v>39</v>
      </c>
    </row>
    <row r="162" ht="22.5" hidden="1" customHeight="1">
      <c r="A162" s="18">
        <v>207.0</v>
      </c>
      <c r="B162" s="24">
        <v>23.0</v>
      </c>
      <c r="C162" s="18">
        <v>3.0</v>
      </c>
      <c r="D162" s="18">
        <v>1.0</v>
      </c>
      <c r="F162" s="22" t="s">
        <v>39</v>
      </c>
    </row>
    <row r="163" ht="22.5" hidden="1" customHeight="1">
      <c r="A163" s="18">
        <v>208.0</v>
      </c>
      <c r="B163" s="24">
        <v>24.0</v>
      </c>
      <c r="C163" s="18">
        <v>3.0</v>
      </c>
      <c r="D163" s="18">
        <v>1.0</v>
      </c>
      <c r="F163" s="22" t="s">
        <v>39</v>
      </c>
    </row>
    <row r="164" ht="22.5" hidden="1" customHeight="1">
      <c r="A164" s="18">
        <v>209.0</v>
      </c>
      <c r="B164" s="24">
        <v>25.0</v>
      </c>
      <c r="C164" s="18">
        <v>3.0</v>
      </c>
      <c r="D164" s="18">
        <v>1.0</v>
      </c>
      <c r="F164" s="22" t="s">
        <v>39</v>
      </c>
    </row>
    <row r="165" ht="22.5" hidden="1" customHeight="1">
      <c r="A165" s="18">
        <v>210.0</v>
      </c>
      <c r="B165" s="24">
        <v>26.0</v>
      </c>
      <c r="C165" s="18">
        <v>3.0</v>
      </c>
      <c r="D165" s="18">
        <v>1.0</v>
      </c>
      <c r="F165" s="22" t="s">
        <v>39</v>
      </c>
    </row>
    <row r="166" ht="22.5" hidden="1" customHeight="1">
      <c r="A166" s="18">
        <v>211.0</v>
      </c>
      <c r="B166" s="24">
        <v>27.0</v>
      </c>
      <c r="C166" s="18">
        <v>3.0</v>
      </c>
      <c r="D166" s="18">
        <v>1.0</v>
      </c>
      <c r="F166" s="22" t="s">
        <v>39</v>
      </c>
    </row>
    <row r="167" ht="22.5" hidden="1" customHeight="1">
      <c r="A167" s="18">
        <v>212.0</v>
      </c>
      <c r="B167" s="24">
        <v>28.0</v>
      </c>
      <c r="C167" s="18">
        <v>3.0</v>
      </c>
      <c r="D167" s="18">
        <v>1.0</v>
      </c>
      <c r="F167" s="22" t="s">
        <v>39</v>
      </c>
    </row>
    <row r="168" ht="22.5" hidden="1" customHeight="1">
      <c r="A168" s="18">
        <v>213.0</v>
      </c>
      <c r="B168" s="24">
        <v>29.0</v>
      </c>
      <c r="C168" s="18">
        <v>3.0</v>
      </c>
      <c r="D168" s="18">
        <v>1.0</v>
      </c>
      <c r="F168" s="22" t="s">
        <v>39</v>
      </c>
    </row>
    <row r="169" ht="22.5" hidden="1" customHeight="1">
      <c r="A169" s="18">
        <v>214.0</v>
      </c>
      <c r="B169" s="24">
        <v>30.0</v>
      </c>
      <c r="C169" s="18">
        <v>3.0</v>
      </c>
      <c r="D169" s="18">
        <v>1.0</v>
      </c>
      <c r="F169" s="22" t="s">
        <v>39</v>
      </c>
    </row>
    <row r="170" ht="22.5" hidden="1" customHeight="1">
      <c r="A170" s="18">
        <v>215.0</v>
      </c>
      <c r="B170" s="24">
        <v>31.0</v>
      </c>
      <c r="C170" s="18">
        <v>3.0</v>
      </c>
      <c r="D170" s="18">
        <v>1.0</v>
      </c>
      <c r="F170" s="22" t="s">
        <v>39</v>
      </c>
    </row>
    <row r="171" ht="22.5" hidden="1" customHeight="1">
      <c r="A171" s="18">
        <v>216.0</v>
      </c>
      <c r="B171" s="24">
        <v>32.0</v>
      </c>
      <c r="C171" s="18">
        <v>3.0</v>
      </c>
      <c r="D171" s="18">
        <v>1.0</v>
      </c>
      <c r="F171" s="22" t="s">
        <v>39</v>
      </c>
    </row>
    <row r="172" ht="22.5" hidden="1" customHeight="1">
      <c r="A172" s="18">
        <v>217.0</v>
      </c>
      <c r="B172" s="24">
        <v>33.0</v>
      </c>
      <c r="C172" s="18">
        <v>3.0</v>
      </c>
      <c r="D172" s="18">
        <v>1.0</v>
      </c>
      <c r="F172" s="22" t="s">
        <v>39</v>
      </c>
    </row>
    <row r="173" ht="22.5" hidden="1" customHeight="1">
      <c r="A173" s="18">
        <v>218.0</v>
      </c>
      <c r="B173" s="24">
        <v>34.0</v>
      </c>
      <c r="C173" s="18">
        <v>3.0</v>
      </c>
      <c r="D173" s="18">
        <v>1.0</v>
      </c>
      <c r="F173" s="22" t="s">
        <v>39</v>
      </c>
    </row>
    <row r="174" ht="22.5" hidden="1" customHeight="1">
      <c r="A174" s="18">
        <v>219.0</v>
      </c>
      <c r="B174" s="24">
        <v>35.0</v>
      </c>
      <c r="C174" s="18">
        <v>3.0</v>
      </c>
      <c r="D174" s="18">
        <v>1.0</v>
      </c>
      <c r="F174" s="22" t="s">
        <v>39</v>
      </c>
    </row>
    <row r="175" ht="22.5" hidden="1" customHeight="1">
      <c r="A175" s="18">
        <v>220.0</v>
      </c>
      <c r="B175" s="24">
        <v>36.0</v>
      </c>
      <c r="C175" s="18">
        <v>3.0</v>
      </c>
      <c r="D175" s="18">
        <v>1.0</v>
      </c>
      <c r="F175" s="22" t="s">
        <v>39</v>
      </c>
    </row>
    <row r="176" ht="22.5" hidden="1" customHeight="1">
      <c r="A176" s="18">
        <v>221.0</v>
      </c>
      <c r="B176" s="24">
        <v>37.0</v>
      </c>
      <c r="C176" s="18">
        <v>3.0</v>
      </c>
      <c r="D176" s="18">
        <v>1.0</v>
      </c>
      <c r="F176" s="22" t="s">
        <v>39</v>
      </c>
    </row>
    <row r="177" ht="22.5" hidden="1" customHeight="1">
      <c r="A177" s="18">
        <v>222.0</v>
      </c>
      <c r="B177" s="24">
        <v>38.0</v>
      </c>
      <c r="C177" s="18">
        <v>3.0</v>
      </c>
      <c r="D177" s="18">
        <v>1.0</v>
      </c>
      <c r="F177" s="22" t="s">
        <v>39</v>
      </c>
    </row>
    <row r="178" ht="22.5" hidden="1" customHeight="1">
      <c r="A178" s="18">
        <v>223.0</v>
      </c>
      <c r="B178" s="24">
        <v>39.0</v>
      </c>
      <c r="C178" s="18">
        <v>3.0</v>
      </c>
      <c r="D178" s="18">
        <v>1.0</v>
      </c>
      <c r="E178" s="18" t="s">
        <v>472</v>
      </c>
      <c r="F178" s="22" t="s">
        <v>39</v>
      </c>
    </row>
    <row r="179" ht="22.5" hidden="1" customHeight="1">
      <c r="A179" s="18">
        <v>224.0</v>
      </c>
      <c r="B179" s="24">
        <v>40.0</v>
      </c>
      <c r="C179" s="18">
        <v>3.0</v>
      </c>
      <c r="D179" s="18">
        <v>1.0</v>
      </c>
      <c r="F179" s="22" t="s">
        <v>39</v>
      </c>
    </row>
    <row r="180" ht="22.5" hidden="1" customHeight="1">
      <c r="A180" s="18">
        <v>225.0</v>
      </c>
      <c r="B180" s="24">
        <v>41.0</v>
      </c>
      <c r="C180" s="18">
        <v>3.0</v>
      </c>
      <c r="D180" s="18">
        <v>1.0</v>
      </c>
      <c r="F180" s="22" t="s">
        <v>39</v>
      </c>
    </row>
    <row r="181" ht="22.5" hidden="1" customHeight="1">
      <c r="A181" s="18">
        <v>226.0</v>
      </c>
      <c r="B181" s="24">
        <v>42.0</v>
      </c>
      <c r="C181" s="18">
        <v>3.0</v>
      </c>
      <c r="D181" s="18">
        <v>1.0</v>
      </c>
      <c r="E181" s="18" t="s">
        <v>466</v>
      </c>
      <c r="F181" s="22" t="s">
        <v>39</v>
      </c>
    </row>
    <row r="182" ht="22.5" hidden="1" customHeight="1">
      <c r="A182" s="18">
        <v>227.0</v>
      </c>
      <c r="B182" s="24">
        <v>44.0</v>
      </c>
      <c r="C182" s="18">
        <v>3.0</v>
      </c>
      <c r="D182" s="18">
        <v>1.0</v>
      </c>
      <c r="E182" s="18" t="s">
        <v>466</v>
      </c>
      <c r="F182" s="22" t="s">
        <v>39</v>
      </c>
    </row>
    <row r="183" ht="22.5" hidden="1" customHeight="1">
      <c r="A183" s="18">
        <v>228.0</v>
      </c>
      <c r="B183" s="24">
        <v>46.0</v>
      </c>
      <c r="C183" s="18">
        <v>3.0</v>
      </c>
      <c r="D183" s="18">
        <v>1.0</v>
      </c>
      <c r="F183" s="22" t="s">
        <v>39</v>
      </c>
    </row>
    <row r="184" ht="22.5" hidden="1" customHeight="1">
      <c r="A184" s="18">
        <v>229.0</v>
      </c>
      <c r="B184" s="24">
        <v>49.0</v>
      </c>
      <c r="C184" s="18">
        <v>3.0</v>
      </c>
      <c r="D184" s="18">
        <v>1.0</v>
      </c>
      <c r="E184" s="18" t="s">
        <v>467</v>
      </c>
      <c r="F184" s="22" t="s">
        <v>39</v>
      </c>
    </row>
    <row r="185" ht="22.5" hidden="1" customHeight="1">
      <c r="A185" s="18">
        <v>230.0</v>
      </c>
      <c r="B185" s="24">
        <v>54.0</v>
      </c>
      <c r="C185" s="18">
        <v>3.0</v>
      </c>
      <c r="D185" s="18">
        <v>1.0</v>
      </c>
      <c r="F185" s="22" t="s">
        <v>39</v>
      </c>
    </row>
    <row r="186" ht="22.5" hidden="1" customHeight="1">
      <c r="A186" s="18">
        <v>231.0</v>
      </c>
      <c r="B186" s="24">
        <v>57.0</v>
      </c>
      <c r="C186" s="18">
        <v>3.0</v>
      </c>
      <c r="D186" s="18">
        <v>1.0</v>
      </c>
      <c r="E186" s="18" t="s">
        <v>467</v>
      </c>
      <c r="F186" s="22" t="s">
        <v>39</v>
      </c>
    </row>
    <row r="187" ht="22.5" hidden="1" customHeight="1">
      <c r="A187" s="18">
        <v>232.0</v>
      </c>
      <c r="B187" s="24">
        <v>58.0</v>
      </c>
      <c r="C187" s="18">
        <v>3.0</v>
      </c>
      <c r="D187" s="18">
        <v>1.0</v>
      </c>
      <c r="E187" s="18" t="s">
        <v>467</v>
      </c>
      <c r="F187" s="22" t="s">
        <v>39</v>
      </c>
    </row>
    <row r="188" ht="22.5" hidden="1" customHeight="1">
      <c r="A188" s="18">
        <v>233.0</v>
      </c>
      <c r="B188" s="24">
        <v>59.0</v>
      </c>
      <c r="C188" s="18">
        <v>3.0</v>
      </c>
      <c r="D188" s="18">
        <v>1.0</v>
      </c>
      <c r="E188" s="18" t="s">
        <v>467</v>
      </c>
      <c r="F188" s="22" t="s">
        <v>39</v>
      </c>
    </row>
    <row r="189" ht="22.5" hidden="1" customHeight="1">
      <c r="A189" s="18">
        <v>234.0</v>
      </c>
      <c r="B189" s="24">
        <v>60.0</v>
      </c>
      <c r="C189" s="18">
        <v>3.0</v>
      </c>
      <c r="D189" s="18">
        <v>1.0</v>
      </c>
      <c r="E189" s="18" t="s">
        <v>467</v>
      </c>
      <c r="F189" s="22" t="s">
        <v>39</v>
      </c>
    </row>
    <row r="190" ht="22.5" hidden="1" customHeight="1">
      <c r="A190" s="18">
        <v>235.0</v>
      </c>
      <c r="B190" s="24">
        <v>61.0</v>
      </c>
      <c r="C190" s="18">
        <v>3.0</v>
      </c>
      <c r="D190" s="18">
        <v>1.0</v>
      </c>
      <c r="E190" s="18" t="s">
        <v>467</v>
      </c>
      <c r="F190" s="22" t="s">
        <v>39</v>
      </c>
    </row>
    <row r="191" ht="22.5" hidden="1" customHeight="1">
      <c r="A191" s="18">
        <v>236.0</v>
      </c>
      <c r="B191" s="24">
        <v>63.0</v>
      </c>
      <c r="C191" s="18">
        <v>3.0</v>
      </c>
      <c r="D191" s="18">
        <v>2.0</v>
      </c>
      <c r="E191" s="18" t="s">
        <v>468</v>
      </c>
      <c r="F191" s="22" t="s">
        <v>39</v>
      </c>
    </row>
    <row r="192" ht="22.5" hidden="1" customHeight="1">
      <c r="A192" s="18">
        <v>237.0</v>
      </c>
      <c r="B192" s="24">
        <v>64.0</v>
      </c>
      <c r="C192" s="18">
        <v>3.0</v>
      </c>
      <c r="D192" s="18">
        <v>1.0</v>
      </c>
      <c r="F192" s="22" t="s">
        <v>39</v>
      </c>
    </row>
    <row r="193" ht="22.5" hidden="1" customHeight="1">
      <c r="A193" s="18">
        <v>238.0</v>
      </c>
      <c r="B193" s="24">
        <v>65.0</v>
      </c>
      <c r="C193" s="18">
        <v>3.0</v>
      </c>
      <c r="D193" s="18">
        <v>1.0</v>
      </c>
      <c r="F193" s="22" t="s">
        <v>39</v>
      </c>
    </row>
    <row r="194" ht="22.5" hidden="1" customHeight="1">
      <c r="A194" s="18">
        <v>239.0</v>
      </c>
      <c r="B194" s="24">
        <v>66.0</v>
      </c>
      <c r="C194" s="18">
        <v>3.0</v>
      </c>
      <c r="D194" s="18">
        <v>2.0</v>
      </c>
      <c r="E194" s="18" t="s">
        <v>469</v>
      </c>
      <c r="F194" s="22" t="s">
        <v>39</v>
      </c>
    </row>
    <row r="195" ht="22.5" hidden="1" customHeight="1">
      <c r="A195" s="18">
        <v>240.0</v>
      </c>
      <c r="B195" s="24">
        <v>67.0</v>
      </c>
      <c r="C195" s="18">
        <v>3.0</v>
      </c>
      <c r="D195" s="18">
        <v>2.0</v>
      </c>
      <c r="E195" s="18" t="s">
        <v>469</v>
      </c>
      <c r="F195" s="22" t="s">
        <v>39</v>
      </c>
    </row>
    <row r="196" ht="22.5" hidden="1" customHeight="1">
      <c r="A196" s="18">
        <v>241.0</v>
      </c>
      <c r="B196" s="24">
        <v>68.0</v>
      </c>
      <c r="C196" s="18">
        <v>3.0</v>
      </c>
      <c r="D196" s="18">
        <v>2.0</v>
      </c>
      <c r="E196" s="18" t="s">
        <v>466</v>
      </c>
      <c r="F196" s="22" t="s">
        <v>39</v>
      </c>
    </row>
    <row r="197" ht="22.5" hidden="1" customHeight="1">
      <c r="A197" s="18">
        <v>242.0</v>
      </c>
      <c r="B197" s="24">
        <v>70.0</v>
      </c>
      <c r="C197" s="18">
        <v>3.0</v>
      </c>
      <c r="D197" s="18">
        <v>2.0</v>
      </c>
      <c r="E197" s="18" t="s">
        <v>470</v>
      </c>
      <c r="F197" s="22" t="s">
        <v>39</v>
      </c>
    </row>
    <row r="198" ht="22.5" hidden="1" customHeight="1">
      <c r="A198" s="18">
        <v>243.0</v>
      </c>
      <c r="B198" s="24">
        <v>71.0</v>
      </c>
      <c r="C198" s="18">
        <v>3.0</v>
      </c>
      <c r="D198" s="18">
        <v>2.0</v>
      </c>
      <c r="E198" s="18" t="s">
        <v>470</v>
      </c>
      <c r="F198" s="22" t="s">
        <v>39</v>
      </c>
    </row>
    <row r="199" ht="22.5" hidden="1" customHeight="1">
      <c r="A199" s="18">
        <v>244.0</v>
      </c>
      <c r="B199" s="24">
        <v>72.0</v>
      </c>
      <c r="C199" s="18">
        <v>3.0</v>
      </c>
      <c r="D199" s="18">
        <v>2.0</v>
      </c>
      <c r="E199" s="18" t="s">
        <v>470</v>
      </c>
      <c r="F199" s="22" t="s">
        <v>39</v>
      </c>
    </row>
    <row r="200" ht="22.5" hidden="1" customHeight="1">
      <c r="A200" s="18">
        <v>245.0</v>
      </c>
      <c r="B200" s="24">
        <v>73.0</v>
      </c>
      <c r="C200" s="18">
        <v>3.0</v>
      </c>
      <c r="D200" s="18">
        <v>2.0</v>
      </c>
      <c r="E200" s="18" t="s">
        <v>470</v>
      </c>
      <c r="F200" s="22" t="s">
        <v>39</v>
      </c>
    </row>
    <row r="201" ht="22.5" hidden="1" customHeight="1">
      <c r="A201" s="18">
        <v>246.0</v>
      </c>
      <c r="B201" s="24">
        <v>74.0</v>
      </c>
      <c r="C201" s="18">
        <v>3.0</v>
      </c>
      <c r="D201" s="18">
        <v>2.0</v>
      </c>
      <c r="E201" s="18" t="s">
        <v>470</v>
      </c>
      <c r="F201" s="22" t="s">
        <v>39</v>
      </c>
    </row>
    <row r="202" ht="22.5" hidden="1" customHeight="1">
      <c r="A202" s="18">
        <v>247.0</v>
      </c>
      <c r="B202" s="24">
        <v>75.0</v>
      </c>
      <c r="C202" s="18">
        <v>3.0</v>
      </c>
      <c r="D202" s="18">
        <v>2.0</v>
      </c>
      <c r="E202" s="18" t="s">
        <v>470</v>
      </c>
      <c r="F202" s="22" t="s">
        <v>39</v>
      </c>
    </row>
    <row r="203" ht="22.5" hidden="1" customHeight="1">
      <c r="A203" s="18">
        <v>248.0</v>
      </c>
      <c r="B203" s="24">
        <v>76.0</v>
      </c>
      <c r="C203" s="18">
        <v>3.0</v>
      </c>
      <c r="D203" s="18">
        <v>2.0</v>
      </c>
      <c r="E203" s="18" t="s">
        <v>470</v>
      </c>
      <c r="F203" s="22" t="s">
        <v>39</v>
      </c>
    </row>
    <row r="204" ht="22.5" hidden="1" customHeight="1">
      <c r="A204" s="18">
        <v>249.0</v>
      </c>
      <c r="B204" s="24">
        <v>77.0</v>
      </c>
      <c r="C204" s="18">
        <v>3.0</v>
      </c>
      <c r="D204" s="18">
        <v>2.0</v>
      </c>
      <c r="E204" s="18" t="s">
        <v>470</v>
      </c>
      <c r="F204" s="22" t="s">
        <v>39</v>
      </c>
    </row>
    <row r="205" ht="22.5" hidden="1" customHeight="1">
      <c r="A205" s="18">
        <v>250.0</v>
      </c>
      <c r="B205" s="24">
        <v>78.0</v>
      </c>
      <c r="C205" s="18">
        <v>3.0</v>
      </c>
      <c r="D205" s="18">
        <v>2.0</v>
      </c>
      <c r="E205" s="18" t="s">
        <v>470</v>
      </c>
      <c r="F205" s="22" t="s">
        <v>39</v>
      </c>
    </row>
    <row r="206" ht="22.5" hidden="1" customHeight="1">
      <c r="A206" s="18">
        <v>251.0</v>
      </c>
      <c r="B206" s="24">
        <v>79.0</v>
      </c>
      <c r="C206" s="18">
        <v>3.0</v>
      </c>
      <c r="D206" s="18">
        <v>2.0</v>
      </c>
      <c r="E206" s="18" t="s">
        <v>470</v>
      </c>
      <c r="F206" s="22" t="s">
        <v>39</v>
      </c>
    </row>
    <row r="207" ht="22.5" hidden="1" customHeight="1">
      <c r="A207" s="18">
        <v>252.0</v>
      </c>
      <c r="B207" s="24">
        <v>80.0</v>
      </c>
      <c r="C207" s="18">
        <v>3.0</v>
      </c>
      <c r="D207" s="18">
        <v>2.0</v>
      </c>
      <c r="E207" s="18" t="s">
        <v>470</v>
      </c>
      <c r="F207" s="22" t="s">
        <v>39</v>
      </c>
    </row>
    <row r="208" ht="22.5" hidden="1" customHeight="1">
      <c r="A208" s="18">
        <v>253.0</v>
      </c>
      <c r="B208" s="24">
        <v>81.0</v>
      </c>
      <c r="C208" s="18">
        <v>3.0</v>
      </c>
      <c r="D208" s="18">
        <v>2.0</v>
      </c>
      <c r="E208" s="18" t="s">
        <v>470</v>
      </c>
      <c r="F208" s="22" t="s">
        <v>39</v>
      </c>
    </row>
    <row r="209" ht="22.5" hidden="1" customHeight="1">
      <c r="A209" s="18">
        <v>254.0</v>
      </c>
      <c r="B209" s="24">
        <v>83.0</v>
      </c>
      <c r="C209" s="18">
        <v>3.0</v>
      </c>
      <c r="D209" s="18">
        <v>2.0</v>
      </c>
      <c r="E209" s="18" t="s">
        <v>470</v>
      </c>
      <c r="F209" s="22" t="s">
        <v>39</v>
      </c>
    </row>
    <row r="210" ht="22.5" hidden="1" customHeight="1">
      <c r="A210" s="18">
        <v>255.0</v>
      </c>
      <c r="B210" s="24">
        <v>84.0</v>
      </c>
      <c r="C210" s="18">
        <v>3.0</v>
      </c>
      <c r="D210" s="18">
        <v>2.0</v>
      </c>
      <c r="E210" s="18" t="s">
        <v>470</v>
      </c>
      <c r="F210" s="22" t="s">
        <v>39</v>
      </c>
    </row>
    <row r="211" ht="22.5" hidden="1" customHeight="1">
      <c r="A211" s="18">
        <v>279.0</v>
      </c>
      <c r="B211" s="24">
        <v>109.0</v>
      </c>
      <c r="C211" s="18">
        <v>3.0</v>
      </c>
      <c r="D211" s="18">
        <v>1.0</v>
      </c>
      <c r="E211" s="18" t="s">
        <v>471</v>
      </c>
      <c r="F211" s="22" t="s">
        <v>39</v>
      </c>
    </row>
    <row r="212" ht="22.5" hidden="1" customHeight="1">
      <c r="A212" s="18">
        <v>280.0</v>
      </c>
      <c r="B212" s="24">
        <v>110.0</v>
      </c>
      <c r="C212" s="18">
        <v>3.0</v>
      </c>
      <c r="D212" s="18">
        <v>1.0</v>
      </c>
      <c r="F212" s="22" t="s">
        <v>39</v>
      </c>
    </row>
    <row r="213" ht="22.5" hidden="1" customHeight="1">
      <c r="A213" s="18">
        <v>281.0</v>
      </c>
      <c r="B213" s="24">
        <v>111.0</v>
      </c>
      <c r="C213" s="18">
        <v>3.0</v>
      </c>
      <c r="D213" s="18">
        <v>1.0</v>
      </c>
      <c r="F213" s="22" t="s">
        <v>39</v>
      </c>
    </row>
    <row r="214" ht="22.5" hidden="1" customHeight="1">
      <c r="A214" s="18">
        <v>282.0</v>
      </c>
      <c r="B214" s="24">
        <v>1.0</v>
      </c>
      <c r="C214" s="18">
        <v>4.0</v>
      </c>
      <c r="D214" s="18">
        <v>1.0</v>
      </c>
      <c r="F214" s="22" t="s">
        <v>39</v>
      </c>
    </row>
    <row r="215" ht="22.5" hidden="1" customHeight="1">
      <c r="A215" s="18">
        <v>283.0</v>
      </c>
      <c r="B215" s="24">
        <v>2.0</v>
      </c>
      <c r="C215" s="18">
        <v>4.0</v>
      </c>
      <c r="D215" s="18">
        <v>2.0</v>
      </c>
      <c r="F215" s="22" t="s">
        <v>39</v>
      </c>
    </row>
    <row r="216" ht="22.5" hidden="1" customHeight="1">
      <c r="A216" s="18">
        <v>284.0</v>
      </c>
      <c r="B216" s="24">
        <v>3.0</v>
      </c>
      <c r="C216" s="18">
        <v>4.0</v>
      </c>
      <c r="D216" s="18">
        <v>1.0</v>
      </c>
      <c r="F216" s="22" t="s">
        <v>39</v>
      </c>
    </row>
    <row r="217" ht="22.5" hidden="1" customHeight="1">
      <c r="A217" s="18">
        <v>285.0</v>
      </c>
      <c r="B217" s="24">
        <v>4.0</v>
      </c>
      <c r="C217" s="18">
        <v>4.0</v>
      </c>
      <c r="D217" s="18">
        <v>1.0</v>
      </c>
      <c r="F217" s="22" t="s">
        <v>39</v>
      </c>
    </row>
    <row r="218" ht="22.5" hidden="1" customHeight="1">
      <c r="A218" s="18">
        <v>286.0</v>
      </c>
      <c r="B218" s="24">
        <v>5.0</v>
      </c>
      <c r="C218" s="18">
        <v>4.0</v>
      </c>
      <c r="D218" s="18">
        <v>2.0</v>
      </c>
      <c r="F218" s="22" t="s">
        <v>39</v>
      </c>
    </row>
    <row r="219" ht="22.5" hidden="1" customHeight="1">
      <c r="A219" s="18">
        <v>287.0</v>
      </c>
      <c r="B219" s="24">
        <v>6.0</v>
      </c>
      <c r="C219" s="18">
        <v>4.0</v>
      </c>
      <c r="D219" s="18">
        <v>1.0</v>
      </c>
      <c r="F219" s="22" t="s">
        <v>39</v>
      </c>
    </row>
    <row r="220" ht="22.5" hidden="1" customHeight="1">
      <c r="A220" s="18">
        <v>288.0</v>
      </c>
      <c r="B220" s="24">
        <v>7.0</v>
      </c>
      <c r="C220" s="18">
        <v>4.0</v>
      </c>
      <c r="D220" s="18">
        <v>1.0</v>
      </c>
      <c r="F220" s="22" t="s">
        <v>39</v>
      </c>
    </row>
    <row r="221" ht="22.5" hidden="1" customHeight="1">
      <c r="A221" s="18">
        <v>289.0</v>
      </c>
      <c r="B221" s="24">
        <v>8.0</v>
      </c>
      <c r="C221" s="18">
        <v>4.0</v>
      </c>
      <c r="D221" s="18">
        <v>1.0</v>
      </c>
      <c r="F221" s="22" t="s">
        <v>39</v>
      </c>
    </row>
    <row r="222" ht="22.5" hidden="1" customHeight="1">
      <c r="A222" s="18">
        <v>290.0</v>
      </c>
      <c r="B222" s="24">
        <v>9.0</v>
      </c>
      <c r="C222" s="18">
        <v>4.0</v>
      </c>
      <c r="D222" s="18">
        <v>1.0</v>
      </c>
      <c r="F222" s="22" t="s">
        <v>39</v>
      </c>
    </row>
    <row r="223" ht="22.5" hidden="1" customHeight="1">
      <c r="A223" s="18">
        <v>291.0</v>
      </c>
      <c r="B223" s="24">
        <v>10.0</v>
      </c>
      <c r="C223" s="18">
        <v>4.0</v>
      </c>
      <c r="D223" s="18">
        <v>1.0</v>
      </c>
      <c r="F223" s="22" t="s">
        <v>39</v>
      </c>
    </row>
    <row r="224" ht="22.5" hidden="1" customHeight="1">
      <c r="A224" s="18">
        <v>292.0</v>
      </c>
      <c r="B224" s="24">
        <v>11.0</v>
      </c>
      <c r="C224" s="18">
        <v>4.0</v>
      </c>
      <c r="D224" s="18">
        <v>1.0</v>
      </c>
      <c r="F224" s="22" t="s">
        <v>39</v>
      </c>
    </row>
    <row r="225" ht="22.5" hidden="1" customHeight="1">
      <c r="A225" s="18">
        <v>293.0</v>
      </c>
      <c r="B225" s="24">
        <v>12.0</v>
      </c>
      <c r="C225" s="18">
        <v>4.0</v>
      </c>
      <c r="D225" s="18">
        <v>1.0</v>
      </c>
      <c r="F225" s="22" t="s">
        <v>39</v>
      </c>
    </row>
    <row r="226" ht="22.5" hidden="1" customHeight="1">
      <c r="A226" s="18">
        <v>294.0</v>
      </c>
      <c r="B226" s="24">
        <v>13.0</v>
      </c>
      <c r="C226" s="18">
        <v>4.0</v>
      </c>
      <c r="D226" s="18">
        <v>1.0</v>
      </c>
      <c r="F226" s="22" t="s">
        <v>39</v>
      </c>
    </row>
    <row r="227" ht="22.5" hidden="1" customHeight="1">
      <c r="A227" s="18">
        <v>295.0</v>
      </c>
      <c r="B227" s="24">
        <v>14.0</v>
      </c>
      <c r="C227" s="18">
        <v>4.0</v>
      </c>
      <c r="D227" s="18">
        <v>1.0</v>
      </c>
      <c r="F227" s="22" t="s">
        <v>39</v>
      </c>
    </row>
    <row r="228" ht="22.5" hidden="1" customHeight="1">
      <c r="A228" s="18">
        <v>296.0</v>
      </c>
      <c r="B228" s="24">
        <v>15.0</v>
      </c>
      <c r="C228" s="18">
        <v>4.0</v>
      </c>
      <c r="D228" s="18">
        <v>1.0</v>
      </c>
      <c r="F228" s="22" t="s">
        <v>39</v>
      </c>
    </row>
    <row r="229" ht="22.5" hidden="1" customHeight="1">
      <c r="A229" s="18">
        <v>297.0</v>
      </c>
      <c r="B229" s="24">
        <v>16.0</v>
      </c>
      <c r="C229" s="18">
        <v>4.0</v>
      </c>
      <c r="D229" s="18">
        <v>1.0</v>
      </c>
      <c r="F229" s="22" t="s">
        <v>39</v>
      </c>
    </row>
    <row r="230" ht="22.5" hidden="1" customHeight="1">
      <c r="A230" s="18">
        <v>298.0</v>
      </c>
      <c r="B230" s="24">
        <v>17.0</v>
      </c>
      <c r="C230" s="18">
        <v>4.0</v>
      </c>
      <c r="D230" s="18">
        <v>1.0</v>
      </c>
      <c r="F230" s="22" t="s">
        <v>39</v>
      </c>
    </row>
    <row r="231" ht="22.5" hidden="1" customHeight="1">
      <c r="A231" s="18">
        <v>299.0</v>
      </c>
      <c r="B231" s="24">
        <v>18.0</v>
      </c>
      <c r="C231" s="18">
        <v>4.0</v>
      </c>
      <c r="D231" s="18">
        <v>1.0</v>
      </c>
      <c r="F231" s="22" t="s">
        <v>39</v>
      </c>
    </row>
    <row r="232" ht="22.5" hidden="1" customHeight="1">
      <c r="A232" s="18">
        <v>300.0</v>
      </c>
      <c r="B232" s="24">
        <v>19.0</v>
      </c>
      <c r="C232" s="18">
        <v>4.0</v>
      </c>
      <c r="D232" s="18">
        <v>1.0</v>
      </c>
      <c r="F232" s="22" t="s">
        <v>39</v>
      </c>
    </row>
    <row r="233" ht="22.5" hidden="1" customHeight="1">
      <c r="A233" s="18">
        <v>301.0</v>
      </c>
      <c r="B233" s="24">
        <v>20.0</v>
      </c>
      <c r="C233" s="18">
        <v>4.0</v>
      </c>
      <c r="D233" s="18">
        <v>1.0</v>
      </c>
      <c r="F233" s="22" t="s">
        <v>39</v>
      </c>
    </row>
    <row r="234" ht="22.5" hidden="1" customHeight="1">
      <c r="A234" s="18">
        <v>302.0</v>
      </c>
      <c r="B234" s="24">
        <v>21.0</v>
      </c>
      <c r="C234" s="18">
        <v>4.0</v>
      </c>
      <c r="D234" s="18">
        <v>1.0</v>
      </c>
      <c r="F234" s="22" t="s">
        <v>39</v>
      </c>
    </row>
    <row r="235" ht="22.5" hidden="1" customHeight="1">
      <c r="A235" s="18">
        <v>303.0</v>
      </c>
      <c r="B235" s="24">
        <v>22.0</v>
      </c>
      <c r="C235" s="18">
        <v>4.0</v>
      </c>
      <c r="D235" s="18">
        <v>1.0</v>
      </c>
      <c r="F235" s="22" t="s">
        <v>39</v>
      </c>
    </row>
    <row r="236" ht="22.5" hidden="1" customHeight="1">
      <c r="A236" s="18">
        <v>304.0</v>
      </c>
      <c r="B236" s="24">
        <v>23.0</v>
      </c>
      <c r="C236" s="18">
        <v>4.0</v>
      </c>
      <c r="D236" s="18">
        <v>1.0</v>
      </c>
      <c r="F236" s="22" t="s">
        <v>39</v>
      </c>
    </row>
    <row r="237" ht="22.5" hidden="1" customHeight="1">
      <c r="A237" s="18">
        <v>305.0</v>
      </c>
      <c r="B237" s="24">
        <v>24.0</v>
      </c>
      <c r="C237" s="18">
        <v>4.0</v>
      </c>
      <c r="D237" s="18">
        <v>1.0</v>
      </c>
      <c r="F237" s="22" t="s">
        <v>39</v>
      </c>
    </row>
    <row r="238" ht="22.5" hidden="1" customHeight="1">
      <c r="A238" s="18">
        <v>306.0</v>
      </c>
      <c r="B238" s="24">
        <v>25.0</v>
      </c>
      <c r="C238" s="18">
        <v>4.0</v>
      </c>
      <c r="D238" s="18">
        <v>1.0</v>
      </c>
      <c r="F238" s="22" t="s">
        <v>39</v>
      </c>
    </row>
    <row r="239" ht="22.5" hidden="1" customHeight="1">
      <c r="A239" s="18">
        <v>307.0</v>
      </c>
      <c r="B239" s="24">
        <v>26.0</v>
      </c>
      <c r="C239" s="18">
        <v>4.0</v>
      </c>
      <c r="D239" s="18">
        <v>1.0</v>
      </c>
      <c r="F239" s="22" t="s">
        <v>39</v>
      </c>
    </row>
    <row r="240" ht="22.5" hidden="1" customHeight="1">
      <c r="A240" s="18">
        <v>308.0</v>
      </c>
      <c r="B240" s="24">
        <v>27.0</v>
      </c>
      <c r="C240" s="18">
        <v>4.0</v>
      </c>
      <c r="D240" s="18">
        <v>1.0</v>
      </c>
      <c r="F240" s="22" t="s">
        <v>39</v>
      </c>
    </row>
    <row r="241" ht="22.5" hidden="1" customHeight="1">
      <c r="A241" s="18">
        <v>309.0</v>
      </c>
      <c r="B241" s="24">
        <v>28.0</v>
      </c>
      <c r="C241" s="18">
        <v>4.0</v>
      </c>
      <c r="D241" s="18">
        <v>1.0</v>
      </c>
      <c r="F241" s="22" t="s">
        <v>39</v>
      </c>
    </row>
    <row r="242" ht="22.5" hidden="1" customHeight="1">
      <c r="A242" s="18">
        <v>310.0</v>
      </c>
      <c r="B242" s="24">
        <v>29.0</v>
      </c>
      <c r="C242" s="18">
        <v>4.0</v>
      </c>
      <c r="D242" s="18">
        <v>2.0</v>
      </c>
      <c r="F242" s="22" t="s">
        <v>39</v>
      </c>
    </row>
    <row r="243" ht="22.5" hidden="1" customHeight="1">
      <c r="A243" s="18">
        <v>311.0</v>
      </c>
      <c r="B243" s="24">
        <v>30.0</v>
      </c>
      <c r="C243" s="18">
        <v>4.0</v>
      </c>
      <c r="D243" s="18">
        <v>2.0</v>
      </c>
      <c r="F243" s="22" t="s">
        <v>39</v>
      </c>
    </row>
    <row r="244" ht="22.5" hidden="1" customHeight="1">
      <c r="A244" s="18">
        <v>312.0</v>
      </c>
      <c r="B244" s="24">
        <v>31.0</v>
      </c>
      <c r="C244" s="18">
        <v>4.0</v>
      </c>
      <c r="D244" s="18">
        <v>1.0</v>
      </c>
      <c r="F244" s="22" t="s">
        <v>39</v>
      </c>
    </row>
    <row r="245" ht="22.5" hidden="1" customHeight="1">
      <c r="A245" s="18">
        <v>313.0</v>
      </c>
      <c r="B245" s="24">
        <v>32.0</v>
      </c>
      <c r="C245" s="18">
        <v>4.0</v>
      </c>
      <c r="D245" s="18">
        <v>2.0</v>
      </c>
      <c r="F245" s="22" t="s">
        <v>39</v>
      </c>
    </row>
    <row r="246" ht="22.5" hidden="1" customHeight="1">
      <c r="A246" s="18">
        <v>314.0</v>
      </c>
      <c r="B246" s="24">
        <v>33.0</v>
      </c>
      <c r="C246" s="18">
        <v>4.0</v>
      </c>
      <c r="D246" s="18">
        <v>1.0</v>
      </c>
      <c r="F246" s="22" t="s">
        <v>39</v>
      </c>
    </row>
    <row r="247" ht="22.5" hidden="1" customHeight="1">
      <c r="A247" s="18">
        <v>315.0</v>
      </c>
      <c r="B247" s="24">
        <v>34.0</v>
      </c>
      <c r="C247" s="18">
        <v>4.0</v>
      </c>
      <c r="D247" s="18">
        <v>1.0</v>
      </c>
      <c r="F247" s="22" t="s">
        <v>39</v>
      </c>
    </row>
    <row r="248" ht="22.5" hidden="1" customHeight="1">
      <c r="A248" s="18">
        <v>316.0</v>
      </c>
      <c r="B248" s="24">
        <v>35.0</v>
      </c>
      <c r="C248" s="18">
        <v>4.0</v>
      </c>
      <c r="D248" s="18">
        <v>1.0</v>
      </c>
      <c r="F248" s="22" t="s">
        <v>39</v>
      </c>
    </row>
    <row r="249" ht="22.5" hidden="1" customHeight="1">
      <c r="A249" s="18">
        <v>317.0</v>
      </c>
      <c r="B249" s="24">
        <v>36.0</v>
      </c>
      <c r="C249" s="18">
        <v>4.0</v>
      </c>
      <c r="D249" s="18">
        <v>1.0</v>
      </c>
      <c r="F249" s="22" t="s">
        <v>39</v>
      </c>
    </row>
    <row r="250" ht="22.5" hidden="1" customHeight="1">
      <c r="A250" s="18">
        <v>318.0</v>
      </c>
      <c r="B250" s="24">
        <v>37.0</v>
      </c>
      <c r="C250" s="18">
        <v>4.0</v>
      </c>
      <c r="D250" s="18">
        <v>1.0</v>
      </c>
      <c r="F250" s="22" t="s">
        <v>39</v>
      </c>
    </row>
    <row r="251" ht="22.5" hidden="1" customHeight="1">
      <c r="A251" s="18">
        <v>319.0</v>
      </c>
      <c r="B251" s="24">
        <v>38.0</v>
      </c>
      <c r="C251" s="18">
        <v>4.0</v>
      </c>
      <c r="D251" s="18">
        <v>1.0</v>
      </c>
      <c r="F251" s="22" t="s">
        <v>39</v>
      </c>
    </row>
    <row r="252" ht="22.5" hidden="1" customHeight="1">
      <c r="A252" s="18">
        <v>320.0</v>
      </c>
      <c r="B252" s="24">
        <v>40.0</v>
      </c>
      <c r="C252" s="18">
        <v>4.0</v>
      </c>
      <c r="D252" s="18">
        <v>1.0</v>
      </c>
      <c r="F252" s="22" t="s">
        <v>39</v>
      </c>
    </row>
    <row r="253" ht="22.5" hidden="1" customHeight="1">
      <c r="A253" s="18">
        <v>321.0</v>
      </c>
      <c r="B253" s="24">
        <v>41.0</v>
      </c>
      <c r="C253" s="18">
        <v>4.0</v>
      </c>
      <c r="D253" s="18">
        <v>1.0</v>
      </c>
      <c r="F253" s="22" t="s">
        <v>39</v>
      </c>
    </row>
    <row r="254" ht="22.5" hidden="1" customHeight="1">
      <c r="A254" s="18">
        <v>322.0</v>
      </c>
      <c r="B254" s="24">
        <v>42.0</v>
      </c>
      <c r="C254" s="18">
        <v>4.0</v>
      </c>
      <c r="D254" s="18">
        <v>1.0</v>
      </c>
      <c r="E254" s="18" t="s">
        <v>466</v>
      </c>
      <c r="F254" s="22" t="s">
        <v>39</v>
      </c>
    </row>
    <row r="255" ht="22.5" hidden="1" customHeight="1">
      <c r="A255" s="18">
        <v>323.0</v>
      </c>
      <c r="B255" s="24">
        <v>44.0</v>
      </c>
      <c r="C255" s="18">
        <v>4.0</v>
      </c>
      <c r="D255" s="18">
        <v>1.0</v>
      </c>
      <c r="E255" s="18" t="s">
        <v>466</v>
      </c>
      <c r="F255" s="22" t="s">
        <v>39</v>
      </c>
    </row>
    <row r="256" ht="22.5" hidden="1" customHeight="1">
      <c r="A256" s="18">
        <v>324.0</v>
      </c>
      <c r="B256" s="24">
        <v>63.0</v>
      </c>
      <c r="C256" s="18">
        <v>4.0</v>
      </c>
      <c r="D256" s="18">
        <v>1.0</v>
      </c>
      <c r="E256" s="18" t="s">
        <v>468</v>
      </c>
      <c r="F256" s="22" t="s">
        <v>39</v>
      </c>
    </row>
    <row r="257" ht="22.5" hidden="1" customHeight="1">
      <c r="A257" s="18">
        <v>325.0</v>
      </c>
      <c r="B257" s="24">
        <v>64.0</v>
      </c>
      <c r="C257" s="18">
        <v>4.0</v>
      </c>
      <c r="D257" s="18">
        <v>1.0</v>
      </c>
      <c r="F257" s="22" t="s">
        <v>39</v>
      </c>
    </row>
    <row r="258" ht="22.5" hidden="1" customHeight="1">
      <c r="A258" s="18">
        <v>326.0</v>
      </c>
      <c r="B258" s="24">
        <v>65.0</v>
      </c>
      <c r="C258" s="18">
        <v>4.0</v>
      </c>
      <c r="D258" s="18">
        <v>2.0</v>
      </c>
      <c r="F258" s="22" t="s">
        <v>39</v>
      </c>
    </row>
    <row r="259" ht="22.5" hidden="1" customHeight="1">
      <c r="A259" s="18">
        <v>327.0</v>
      </c>
      <c r="B259" s="24">
        <v>70.0</v>
      </c>
      <c r="C259" s="18">
        <v>4.0</v>
      </c>
      <c r="D259" s="18">
        <v>2.0</v>
      </c>
      <c r="E259" s="18" t="s">
        <v>470</v>
      </c>
      <c r="F259" s="22" t="s">
        <v>39</v>
      </c>
    </row>
    <row r="260" ht="22.5" hidden="1" customHeight="1">
      <c r="A260" s="18">
        <v>328.0</v>
      </c>
      <c r="B260" s="24">
        <v>76.0</v>
      </c>
      <c r="C260" s="18">
        <v>4.0</v>
      </c>
      <c r="D260" s="18">
        <v>2.0</v>
      </c>
      <c r="E260" s="18" t="s">
        <v>470</v>
      </c>
      <c r="F260" s="22" t="s">
        <v>39</v>
      </c>
    </row>
    <row r="261" ht="22.5" hidden="1" customHeight="1">
      <c r="A261" s="18">
        <v>329.0</v>
      </c>
      <c r="B261" s="24">
        <v>77.0</v>
      </c>
      <c r="C261" s="18">
        <v>4.0</v>
      </c>
      <c r="D261" s="18">
        <v>2.0</v>
      </c>
      <c r="E261" s="18" t="s">
        <v>470</v>
      </c>
      <c r="F261" s="22" t="s">
        <v>39</v>
      </c>
    </row>
    <row r="262" ht="22.5" hidden="1" customHeight="1">
      <c r="A262" s="18">
        <v>330.0</v>
      </c>
      <c r="B262" s="24">
        <v>78.0</v>
      </c>
      <c r="C262" s="18">
        <v>4.0</v>
      </c>
      <c r="D262" s="18">
        <v>2.0</v>
      </c>
      <c r="E262" s="18" t="s">
        <v>470</v>
      </c>
      <c r="F262" s="22" t="s">
        <v>39</v>
      </c>
    </row>
    <row r="263" ht="22.5" hidden="1" customHeight="1">
      <c r="A263" s="18">
        <v>331.0</v>
      </c>
      <c r="B263" s="24">
        <v>79.0</v>
      </c>
      <c r="C263" s="18">
        <v>4.0</v>
      </c>
      <c r="D263" s="18">
        <v>2.0</v>
      </c>
      <c r="E263" s="18" t="s">
        <v>470</v>
      </c>
      <c r="F263" s="22" t="s">
        <v>39</v>
      </c>
    </row>
    <row r="264" ht="22.5" hidden="1" customHeight="1">
      <c r="A264" s="18">
        <v>332.0</v>
      </c>
      <c r="B264" s="24">
        <v>80.0</v>
      </c>
      <c r="C264" s="18">
        <v>4.0</v>
      </c>
      <c r="D264" s="18">
        <v>2.0</v>
      </c>
      <c r="E264" s="18" t="s">
        <v>470</v>
      </c>
      <c r="F264" s="22" t="s">
        <v>39</v>
      </c>
    </row>
    <row r="265" ht="22.5" hidden="1" customHeight="1">
      <c r="A265" s="18">
        <v>333.0</v>
      </c>
      <c r="B265" s="24">
        <v>83.0</v>
      </c>
      <c r="C265" s="18">
        <v>4.0</v>
      </c>
      <c r="D265" s="18">
        <v>2.0</v>
      </c>
      <c r="E265" s="18" t="s">
        <v>470</v>
      </c>
      <c r="F265" s="22" t="s">
        <v>39</v>
      </c>
    </row>
    <row r="266" ht="22.5" hidden="1" customHeight="1">
      <c r="A266" s="18">
        <v>334.0</v>
      </c>
      <c r="B266" s="24">
        <v>84.0</v>
      </c>
      <c r="C266" s="18">
        <v>4.0</v>
      </c>
      <c r="D266" s="18">
        <v>2.0</v>
      </c>
      <c r="E266" s="18" t="s">
        <v>470</v>
      </c>
      <c r="F266" s="22" t="s">
        <v>39</v>
      </c>
    </row>
    <row r="267" ht="22.5" hidden="1" customHeight="1">
      <c r="A267" s="18">
        <v>358.0</v>
      </c>
      <c r="B267" s="24">
        <v>111.0</v>
      </c>
      <c r="C267" s="18">
        <v>4.0</v>
      </c>
      <c r="D267" s="18">
        <v>2.0</v>
      </c>
      <c r="F267" s="22" t="s">
        <v>39</v>
      </c>
    </row>
    <row r="268" ht="22.5" hidden="1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hidden="1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hidden="1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hidden="1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hidden="1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hidden="1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hidden="1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hidden="1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hidden="1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hidden="1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hidden="1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hidden="1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hidden="1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hidden="1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hidden="1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hidden="1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hidden="1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hidden="1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hidden="1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hidden="1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hidden="1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hidden="1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hidden="1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hidden="1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hidden="1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hidden="1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hidden="1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hidden="1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hidden="1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hidden="1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hidden="1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hidden="1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hidden="1" customHeight="1">
      <c r="A300" s="18">
        <v>391.0</v>
      </c>
      <c r="B300" s="18">
        <v>34.0</v>
      </c>
      <c r="C300" s="18">
        <v>5.0</v>
      </c>
      <c r="D300" s="18">
        <v>1.0</v>
      </c>
      <c r="F300" s="22" t="s">
        <v>39</v>
      </c>
    </row>
    <row r="301" ht="22.5" hidden="1" customHeight="1">
      <c r="A301" s="18">
        <v>392.0</v>
      </c>
      <c r="B301" s="18">
        <v>35.0</v>
      </c>
      <c r="C301" s="18">
        <v>5.0</v>
      </c>
      <c r="D301" s="18">
        <v>1.0</v>
      </c>
      <c r="F301" s="22" t="s">
        <v>39</v>
      </c>
    </row>
    <row r="302" ht="22.5" hidden="1" customHeight="1">
      <c r="A302" s="18">
        <v>393.0</v>
      </c>
      <c r="B302" s="18">
        <v>36.0</v>
      </c>
      <c r="C302" s="18">
        <v>5.0</v>
      </c>
      <c r="D302" s="18">
        <v>1.0</v>
      </c>
      <c r="F302" s="22" t="s">
        <v>39</v>
      </c>
    </row>
    <row r="303" ht="22.5" hidden="1" customHeight="1">
      <c r="A303" s="18">
        <v>394.0</v>
      </c>
      <c r="B303" s="18">
        <v>37.0</v>
      </c>
      <c r="C303" s="18">
        <v>5.0</v>
      </c>
      <c r="D303" s="18">
        <v>1.0</v>
      </c>
      <c r="F303" s="22" t="s">
        <v>39</v>
      </c>
    </row>
    <row r="304" ht="22.5" hidden="1" customHeight="1">
      <c r="A304" s="18">
        <v>395.0</v>
      </c>
      <c r="B304" s="18">
        <v>38.0</v>
      </c>
      <c r="C304" s="18">
        <v>5.0</v>
      </c>
      <c r="D304" s="18">
        <v>1.0</v>
      </c>
      <c r="F304" s="22" t="s">
        <v>39</v>
      </c>
    </row>
    <row r="305" ht="22.5" hidden="1" customHeight="1">
      <c r="A305" s="18">
        <v>396.0</v>
      </c>
      <c r="B305" s="18">
        <v>40.0</v>
      </c>
      <c r="C305" s="18">
        <v>5.0</v>
      </c>
      <c r="D305" s="18">
        <v>1.0</v>
      </c>
      <c r="F305" s="22" t="s">
        <v>39</v>
      </c>
    </row>
    <row r="306" ht="22.5" hidden="1" customHeight="1">
      <c r="A306" s="18">
        <v>397.0</v>
      </c>
      <c r="B306" s="18">
        <v>41.0</v>
      </c>
      <c r="C306" s="18">
        <v>5.0</v>
      </c>
      <c r="D306" s="18">
        <v>1.0</v>
      </c>
      <c r="F306" s="22" t="s">
        <v>39</v>
      </c>
    </row>
    <row r="307" ht="22.5" hidden="1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468</v>
      </c>
      <c r="F307" s="22" t="s">
        <v>39</v>
      </c>
    </row>
    <row r="308" ht="22.5" hidden="1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hidden="1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hidden="1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hidden="1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hidden="1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hidden="1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hidden="1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hidden="1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hidden="1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hidden="1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hidden="1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hidden="1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hidden="1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hidden="1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hidden="1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hidden="1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hidden="1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hidden="1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hidden="1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hidden="1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hidden="1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hidden="1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hidden="1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hidden="1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hidden="1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hidden="1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hidden="1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hidden="1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hidden="1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hidden="1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hidden="1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hidden="1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hidden="1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hidden="1" customHeight="1">
      <c r="A341" s="18">
        <v>432.0</v>
      </c>
      <c r="B341" s="18">
        <v>34.0</v>
      </c>
      <c r="C341" s="18">
        <v>6.0</v>
      </c>
      <c r="D341" s="18">
        <v>1.0</v>
      </c>
      <c r="F341" s="22" t="s">
        <v>39</v>
      </c>
    </row>
    <row r="342" ht="22.5" hidden="1" customHeight="1">
      <c r="A342" s="18">
        <v>433.0</v>
      </c>
      <c r="B342" s="18">
        <v>35.0</v>
      </c>
      <c r="C342" s="18">
        <v>6.0</v>
      </c>
      <c r="D342" s="18">
        <v>1.0</v>
      </c>
      <c r="F342" s="22" t="s">
        <v>39</v>
      </c>
    </row>
    <row r="343" ht="22.5" hidden="1" customHeight="1">
      <c r="A343" s="18">
        <v>434.0</v>
      </c>
      <c r="B343" s="18">
        <v>36.0</v>
      </c>
      <c r="C343" s="18">
        <v>6.0</v>
      </c>
      <c r="D343" s="18">
        <v>1.0</v>
      </c>
      <c r="F343" s="22" t="s">
        <v>39</v>
      </c>
    </row>
    <row r="344" ht="22.5" hidden="1" customHeight="1">
      <c r="A344" s="18">
        <v>435.0</v>
      </c>
      <c r="B344" s="18">
        <v>37.0</v>
      </c>
      <c r="C344" s="18">
        <v>6.0</v>
      </c>
      <c r="D344" s="18">
        <v>1.0</v>
      </c>
      <c r="F344" s="22" t="s">
        <v>39</v>
      </c>
    </row>
    <row r="345" ht="22.5" hidden="1" customHeight="1">
      <c r="A345" s="18">
        <v>436.0</v>
      </c>
      <c r="B345" s="18">
        <v>38.0</v>
      </c>
      <c r="C345" s="18">
        <v>6.0</v>
      </c>
      <c r="D345" s="18">
        <v>1.0</v>
      </c>
      <c r="F345" s="22" t="s">
        <v>39</v>
      </c>
    </row>
    <row r="346" ht="22.5" hidden="1" customHeight="1">
      <c r="A346" s="18">
        <v>437.0</v>
      </c>
      <c r="B346" s="18">
        <v>40.0</v>
      </c>
      <c r="C346" s="18">
        <v>6.0</v>
      </c>
      <c r="D346" s="18">
        <v>1.0</v>
      </c>
      <c r="F346" s="22" t="s">
        <v>39</v>
      </c>
    </row>
    <row r="347" ht="22.5" hidden="1" customHeight="1">
      <c r="A347" s="18">
        <v>438.0</v>
      </c>
      <c r="B347" s="18">
        <v>41.0</v>
      </c>
      <c r="C347" s="18">
        <v>6.0</v>
      </c>
      <c r="D347" s="18">
        <v>1.0</v>
      </c>
      <c r="F347" s="22" t="s">
        <v>39</v>
      </c>
    </row>
    <row r="348" ht="22.5" hidden="1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466</v>
      </c>
      <c r="F348" s="22" t="s">
        <v>39</v>
      </c>
    </row>
    <row r="349" ht="22.5" hidden="1" customHeight="1">
      <c r="A349" s="18">
        <v>440.0</v>
      </c>
      <c r="B349" s="18">
        <v>43.0</v>
      </c>
      <c r="C349" s="18">
        <v>6.0</v>
      </c>
      <c r="D349" s="18">
        <v>1.0</v>
      </c>
      <c r="F349" s="22" t="s">
        <v>39</v>
      </c>
    </row>
    <row r="350" ht="22.5" hidden="1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467</v>
      </c>
      <c r="F350" s="22" t="s">
        <v>39</v>
      </c>
    </row>
    <row r="351" ht="22.5" hidden="1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467</v>
      </c>
      <c r="F351" s="22" t="s">
        <v>39</v>
      </c>
    </row>
    <row r="352" ht="22.5" hidden="1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467</v>
      </c>
      <c r="F352" s="22" t="s">
        <v>39</v>
      </c>
    </row>
    <row r="353" ht="22.5" hidden="1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467</v>
      </c>
      <c r="F353" s="22" t="s">
        <v>39</v>
      </c>
    </row>
    <row r="354" ht="22.5" hidden="1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468</v>
      </c>
      <c r="F354" s="22" t="s">
        <v>39</v>
      </c>
    </row>
    <row r="355" ht="22.5" hidden="1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hidden="1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hidden="1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hidden="1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469</v>
      </c>
      <c r="F358" s="22" t="s">
        <v>39</v>
      </c>
    </row>
    <row r="359" ht="22.5" hidden="1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469</v>
      </c>
      <c r="F359" s="22" t="s">
        <v>39</v>
      </c>
    </row>
    <row r="360" ht="22.5" hidden="1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470</v>
      </c>
      <c r="F360" s="22" t="s">
        <v>39</v>
      </c>
    </row>
    <row r="361" ht="22.5" hidden="1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470</v>
      </c>
      <c r="F361" s="22" t="s">
        <v>39</v>
      </c>
    </row>
    <row r="362" ht="22.5" hidden="1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470</v>
      </c>
      <c r="F362" s="22" t="s">
        <v>39</v>
      </c>
    </row>
    <row r="363" ht="22.5" hidden="1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470</v>
      </c>
      <c r="F363" s="22" t="s">
        <v>39</v>
      </c>
    </row>
    <row r="364" ht="22.5" hidden="1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470</v>
      </c>
      <c r="F364" s="22" t="s">
        <v>39</v>
      </c>
    </row>
    <row r="365" ht="22.5" hidden="1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470</v>
      </c>
      <c r="F365" s="22" t="s">
        <v>39</v>
      </c>
    </row>
    <row r="366" ht="22.5" hidden="1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470</v>
      </c>
      <c r="F366" s="22" t="s">
        <v>39</v>
      </c>
    </row>
    <row r="367" ht="22.5" hidden="1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hidden="1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hidden="1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hidden="1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hidden="1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hidden="1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hidden="1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hidden="1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hidden="1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hidden="1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hidden="1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hidden="1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hidden="1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hidden="1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hidden="1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hidden="1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hidden="1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hidden="1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hidden="1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hidden="1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hidden="1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hidden="1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hidden="1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hidden="1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hidden="1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hidden="1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hidden="1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hidden="1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hidden="1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hidden="1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hidden="1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hidden="1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hidden="1" customHeight="1">
      <c r="A399" s="18">
        <v>490.0</v>
      </c>
      <c r="B399" s="18">
        <v>34.0</v>
      </c>
      <c r="C399" s="18">
        <v>7.0</v>
      </c>
      <c r="D399" s="18">
        <v>1.0</v>
      </c>
      <c r="F399" s="22" t="s">
        <v>39</v>
      </c>
    </row>
    <row r="400" ht="22.5" hidden="1" customHeight="1">
      <c r="A400" s="18">
        <v>491.0</v>
      </c>
      <c r="B400" s="18">
        <v>35.0</v>
      </c>
      <c r="C400" s="18">
        <v>7.0</v>
      </c>
      <c r="D400" s="18">
        <v>1.0</v>
      </c>
      <c r="F400" s="22" t="s">
        <v>39</v>
      </c>
    </row>
    <row r="401" ht="22.5" hidden="1" customHeight="1">
      <c r="A401" s="18">
        <v>492.0</v>
      </c>
      <c r="B401" s="18">
        <v>36.0</v>
      </c>
      <c r="C401" s="18">
        <v>7.0</v>
      </c>
      <c r="D401" s="18">
        <v>1.0</v>
      </c>
      <c r="F401" s="22" t="s">
        <v>39</v>
      </c>
    </row>
    <row r="402" ht="22.5" hidden="1" customHeight="1">
      <c r="A402" s="18">
        <v>493.0</v>
      </c>
      <c r="B402" s="18">
        <v>37.0</v>
      </c>
      <c r="C402" s="18">
        <v>7.0</v>
      </c>
      <c r="D402" s="18">
        <v>1.0</v>
      </c>
      <c r="F402" s="22" t="s">
        <v>39</v>
      </c>
    </row>
    <row r="403" ht="22.5" hidden="1" customHeight="1">
      <c r="A403" s="18">
        <v>494.0</v>
      </c>
      <c r="B403" s="18">
        <v>38.0</v>
      </c>
      <c r="C403" s="18">
        <v>7.0</v>
      </c>
      <c r="D403" s="18">
        <v>1.0</v>
      </c>
      <c r="F403" s="22" t="s">
        <v>39</v>
      </c>
    </row>
    <row r="404" ht="22.5" hidden="1" customHeight="1">
      <c r="A404" s="18">
        <v>495.0</v>
      </c>
      <c r="B404" s="18">
        <v>40.0</v>
      </c>
      <c r="C404" s="18">
        <v>7.0</v>
      </c>
      <c r="D404" s="18">
        <v>1.0</v>
      </c>
      <c r="F404" s="22" t="s">
        <v>39</v>
      </c>
    </row>
    <row r="405" ht="22.5" hidden="1" customHeight="1">
      <c r="A405" s="18">
        <v>496.0</v>
      </c>
      <c r="B405" s="18">
        <v>41.0</v>
      </c>
      <c r="C405" s="18">
        <v>7.0</v>
      </c>
      <c r="D405" s="18">
        <v>1.0</v>
      </c>
      <c r="F405" s="22" t="s">
        <v>39</v>
      </c>
    </row>
    <row r="406" ht="22.5" hidden="1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hidden="1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hidden="1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hidden="1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hidden="1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hidden="1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hidden="1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hidden="1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hidden="1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hidden="1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hidden="1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hidden="1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hidden="1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hidden="1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hidden="1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hidden="1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hidden="1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hidden="1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hidden="1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hidden="1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hidden="1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hidden="1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hidden="1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hidden="1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hidden="1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hidden="1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hidden="1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hidden="1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hidden="1" customHeight="1">
      <c r="A434" s="18">
        <v>525.0</v>
      </c>
      <c r="B434" s="18">
        <v>110.0</v>
      </c>
      <c r="C434" s="18">
        <v>8.0</v>
      </c>
      <c r="D434" s="18">
        <v>1.0</v>
      </c>
      <c r="F434" s="22" t="s">
        <v>39</v>
      </c>
    </row>
    <row r="435" ht="22.5" hidden="1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hidden="1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hidden="1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hidden="1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hidden="1" customHeight="1">
      <c r="A439" s="18">
        <v>530.0</v>
      </c>
      <c r="B439" s="18">
        <v>34.0</v>
      </c>
      <c r="C439" s="18">
        <v>8.0</v>
      </c>
      <c r="D439" s="18">
        <v>1.0</v>
      </c>
      <c r="F439" s="22" t="s">
        <v>39</v>
      </c>
    </row>
    <row r="440" ht="22.5" hidden="1" customHeight="1">
      <c r="A440" s="18">
        <v>531.0</v>
      </c>
      <c r="B440" s="18">
        <v>35.0</v>
      </c>
      <c r="C440" s="18">
        <v>8.0</v>
      </c>
      <c r="D440" s="18">
        <v>1.0</v>
      </c>
      <c r="F440" s="22" t="s">
        <v>39</v>
      </c>
    </row>
    <row r="441" ht="22.5" hidden="1" customHeight="1">
      <c r="A441" s="18">
        <v>532.0</v>
      </c>
      <c r="B441" s="18">
        <v>36.0</v>
      </c>
      <c r="C441" s="18">
        <v>8.0</v>
      </c>
      <c r="D441" s="18">
        <v>1.0</v>
      </c>
      <c r="F441" s="22" t="s">
        <v>39</v>
      </c>
    </row>
    <row r="442" ht="22.5" hidden="1" customHeight="1">
      <c r="A442" s="18">
        <v>533.0</v>
      </c>
      <c r="B442" s="18">
        <v>37.0</v>
      </c>
      <c r="C442" s="18">
        <v>8.0</v>
      </c>
      <c r="D442" s="18">
        <v>1.0</v>
      </c>
      <c r="F442" s="22" t="s">
        <v>39</v>
      </c>
    </row>
    <row r="443" ht="22.5" hidden="1" customHeight="1">
      <c r="A443" s="18">
        <v>534.0</v>
      </c>
      <c r="B443" s="18">
        <v>38.0</v>
      </c>
      <c r="C443" s="18">
        <v>8.0</v>
      </c>
      <c r="D443" s="18">
        <v>1.0</v>
      </c>
      <c r="F443" s="22" t="s">
        <v>39</v>
      </c>
    </row>
    <row r="444" ht="22.5" hidden="1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472</v>
      </c>
      <c r="F444" s="22" t="s">
        <v>39</v>
      </c>
    </row>
    <row r="445" ht="22.5" hidden="1" customHeight="1">
      <c r="A445" s="18">
        <v>536.0</v>
      </c>
      <c r="B445" s="18">
        <v>40.0</v>
      </c>
      <c r="C445" s="18">
        <v>8.0</v>
      </c>
      <c r="D445" s="18">
        <v>1.0</v>
      </c>
      <c r="F445" s="22" t="s">
        <v>39</v>
      </c>
    </row>
    <row r="446" ht="22.5" hidden="1" customHeight="1">
      <c r="A446" s="18">
        <v>537.0</v>
      </c>
      <c r="B446" s="18">
        <v>41.0</v>
      </c>
      <c r="C446" s="18">
        <v>8.0</v>
      </c>
      <c r="D446" s="18">
        <v>1.0</v>
      </c>
      <c r="F446" s="22" t="s">
        <v>39</v>
      </c>
    </row>
    <row r="447" ht="22.5" hidden="1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466</v>
      </c>
      <c r="F447" s="22" t="s">
        <v>39</v>
      </c>
    </row>
    <row r="448" ht="22.5" hidden="1" customHeight="1">
      <c r="A448" s="18">
        <v>539.0</v>
      </c>
      <c r="B448" s="18">
        <v>43.0</v>
      </c>
      <c r="C448" s="18">
        <v>8.0</v>
      </c>
      <c r="D448" s="18">
        <v>1.0</v>
      </c>
      <c r="F448" s="22" t="s">
        <v>39</v>
      </c>
    </row>
    <row r="449" ht="22.5" hidden="1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466</v>
      </c>
      <c r="F449" s="22" t="s">
        <v>39</v>
      </c>
    </row>
    <row r="450" ht="22.5" hidden="1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466</v>
      </c>
      <c r="F450" s="22" t="s">
        <v>39</v>
      </c>
    </row>
    <row r="451" ht="22.5" hidden="1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466</v>
      </c>
      <c r="F451" s="22" t="s">
        <v>39</v>
      </c>
    </row>
    <row r="452" ht="22.5" hidden="1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466</v>
      </c>
      <c r="F452" s="22" t="s">
        <v>39</v>
      </c>
    </row>
    <row r="453" ht="22.5" hidden="1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hidden="1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467</v>
      </c>
      <c r="F454" s="22" t="s">
        <v>39</v>
      </c>
    </row>
    <row r="455" ht="22.5" hidden="1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466</v>
      </c>
      <c r="F455" s="22" t="s">
        <v>39</v>
      </c>
    </row>
    <row r="456" ht="22.5" hidden="1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466</v>
      </c>
      <c r="F456" s="22" t="s">
        <v>39</v>
      </c>
    </row>
    <row r="457" ht="22.5" hidden="1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466</v>
      </c>
      <c r="F457" s="22" t="s">
        <v>39</v>
      </c>
    </row>
    <row r="458" ht="22.5" hidden="1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471</v>
      </c>
      <c r="F458" s="22" t="s">
        <v>39</v>
      </c>
    </row>
    <row r="459" ht="22.5" hidden="1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hidden="1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467</v>
      </c>
      <c r="F460" s="22" t="s">
        <v>39</v>
      </c>
    </row>
    <row r="461" ht="22.5" hidden="1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467</v>
      </c>
      <c r="F461" s="22" t="s">
        <v>39</v>
      </c>
    </row>
    <row r="462" ht="22.5" hidden="1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467</v>
      </c>
      <c r="F462" s="22" t="s">
        <v>39</v>
      </c>
    </row>
    <row r="463" ht="22.5" hidden="1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467</v>
      </c>
      <c r="F463" s="22" t="s">
        <v>39</v>
      </c>
    </row>
    <row r="464" ht="22.5" hidden="1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467</v>
      </c>
      <c r="F464" s="22" t="s">
        <v>39</v>
      </c>
    </row>
    <row r="465" ht="22.5" hidden="1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467</v>
      </c>
      <c r="F465" s="22" t="s">
        <v>39</v>
      </c>
    </row>
    <row r="466" ht="22.5" hidden="1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467</v>
      </c>
      <c r="F466" s="22" t="s">
        <v>39</v>
      </c>
    </row>
    <row r="467" ht="22.5" hidden="1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466</v>
      </c>
      <c r="F467" s="22" t="s">
        <v>39</v>
      </c>
    </row>
    <row r="468" ht="22.5" hidden="1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468</v>
      </c>
      <c r="F468" s="22" t="s">
        <v>39</v>
      </c>
    </row>
    <row r="469" ht="22.5" hidden="1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hidden="1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hidden="1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hidden="1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469</v>
      </c>
      <c r="F472" s="22" t="s">
        <v>39</v>
      </c>
    </row>
    <row r="473" ht="22.5" hidden="1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469</v>
      </c>
      <c r="F473" s="22" t="s">
        <v>39</v>
      </c>
    </row>
    <row r="474" ht="22.5" hidden="1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466</v>
      </c>
      <c r="F474" s="22" t="s">
        <v>39</v>
      </c>
    </row>
    <row r="475" ht="22.5" hidden="1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466</v>
      </c>
      <c r="F475" s="22" t="s">
        <v>39</v>
      </c>
    </row>
    <row r="476" ht="22.5" hidden="1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470</v>
      </c>
      <c r="F476" s="22" t="s">
        <v>39</v>
      </c>
    </row>
    <row r="477" ht="22.5" hidden="1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470</v>
      </c>
      <c r="F477" s="22" t="s">
        <v>39</v>
      </c>
    </row>
    <row r="478" ht="22.5" hidden="1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470</v>
      </c>
      <c r="F478" s="22" t="s">
        <v>39</v>
      </c>
    </row>
    <row r="479" ht="22.5" hidden="1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470</v>
      </c>
      <c r="F479" s="22" t="s">
        <v>39</v>
      </c>
    </row>
    <row r="480" ht="22.5" hidden="1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470</v>
      </c>
      <c r="F480" s="22" t="s">
        <v>39</v>
      </c>
    </row>
    <row r="481" ht="22.5" hidden="1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470</v>
      </c>
      <c r="F481" s="22" t="s">
        <v>39</v>
      </c>
    </row>
    <row r="482" ht="22.5" hidden="1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470</v>
      </c>
      <c r="F482" s="22" t="s">
        <v>39</v>
      </c>
    </row>
    <row r="483" ht="22.5" hidden="1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470</v>
      </c>
      <c r="F483" s="22" t="s">
        <v>39</v>
      </c>
    </row>
    <row r="484" ht="22.5" hidden="1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470</v>
      </c>
      <c r="F484" s="22" t="s">
        <v>39</v>
      </c>
    </row>
    <row r="485" ht="22.5" hidden="1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470</v>
      </c>
      <c r="F485" s="22" t="s">
        <v>39</v>
      </c>
    </row>
    <row r="486" ht="22.5" hidden="1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470</v>
      </c>
      <c r="F486" s="22" t="s">
        <v>39</v>
      </c>
    </row>
    <row r="487" ht="22.5" hidden="1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470</v>
      </c>
      <c r="F487" s="22" t="s">
        <v>39</v>
      </c>
    </row>
    <row r="488" ht="22.5" hidden="1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473</v>
      </c>
      <c r="F488" s="22" t="s">
        <v>39</v>
      </c>
    </row>
    <row r="489" ht="22.5" hidden="1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470</v>
      </c>
      <c r="F489" s="22" t="s">
        <v>39</v>
      </c>
    </row>
    <row r="490" ht="22.5" hidden="1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470</v>
      </c>
      <c r="F490" s="22" t="s">
        <v>39</v>
      </c>
    </row>
    <row r="491" ht="22.5" hidden="1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471</v>
      </c>
      <c r="F491" s="22" t="s">
        <v>39</v>
      </c>
    </row>
    <row r="492" ht="22.5" hidden="1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471</v>
      </c>
      <c r="F492" s="22" t="s">
        <v>39</v>
      </c>
    </row>
    <row r="493" ht="22.5" hidden="1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hidden="1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hidden="1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hidden="1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hidden="1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hidden="1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hidden="1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hidden="1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hidden="1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hidden="1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hidden="1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hidden="1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hidden="1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hidden="1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hidden="1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hidden="1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hidden="1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hidden="1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hidden="1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hidden="1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hidden="1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hidden="1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hidden="1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hidden="1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hidden="1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hidden="1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hidden="1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hidden="1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hidden="1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hidden="1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hidden="1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hidden="1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hidden="1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hidden="1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hidden="1" customHeight="1">
      <c r="A527" s="18">
        <v>620.0</v>
      </c>
      <c r="B527" s="18">
        <v>34.0</v>
      </c>
      <c r="C527" s="18">
        <v>9.0</v>
      </c>
      <c r="D527" s="18">
        <v>1.0</v>
      </c>
      <c r="F527" s="22" t="s">
        <v>39</v>
      </c>
    </row>
    <row r="528" ht="22.5" hidden="1" customHeight="1">
      <c r="A528" s="18">
        <v>621.0</v>
      </c>
      <c r="B528" s="18">
        <v>35.0</v>
      </c>
      <c r="C528" s="18">
        <v>9.0</v>
      </c>
      <c r="D528" s="18">
        <v>1.0</v>
      </c>
      <c r="F528" s="22" t="s">
        <v>39</v>
      </c>
    </row>
    <row r="529" ht="22.5" hidden="1" customHeight="1">
      <c r="A529" s="18">
        <v>622.0</v>
      </c>
      <c r="B529" s="18">
        <v>36.0</v>
      </c>
      <c r="C529" s="18">
        <v>9.0</v>
      </c>
      <c r="D529" s="18">
        <v>1.0</v>
      </c>
      <c r="F529" s="22" t="s">
        <v>39</v>
      </c>
    </row>
    <row r="530" ht="22.5" hidden="1" customHeight="1">
      <c r="A530" s="18">
        <v>623.0</v>
      </c>
      <c r="B530" s="18">
        <v>37.0</v>
      </c>
      <c r="C530" s="18">
        <v>9.0</v>
      </c>
      <c r="D530" s="18">
        <v>1.0</v>
      </c>
      <c r="F530" s="22" t="s">
        <v>39</v>
      </c>
    </row>
    <row r="531" ht="22.5" hidden="1" customHeight="1">
      <c r="A531" s="18">
        <v>624.0</v>
      </c>
      <c r="B531" s="18">
        <v>38.0</v>
      </c>
      <c r="C531" s="18">
        <v>9.0</v>
      </c>
      <c r="D531" s="18">
        <v>1.0</v>
      </c>
      <c r="F531" s="22" t="s">
        <v>39</v>
      </c>
    </row>
    <row r="532" ht="22.5" hidden="1" customHeight="1">
      <c r="A532" s="18">
        <v>625.0</v>
      </c>
      <c r="B532" s="18">
        <v>40.0</v>
      </c>
      <c r="C532" s="18">
        <v>9.0</v>
      </c>
      <c r="D532" s="18">
        <v>1.0</v>
      </c>
      <c r="F532" s="22" t="s">
        <v>39</v>
      </c>
    </row>
    <row r="533" ht="22.5" hidden="1" customHeight="1">
      <c r="A533" s="18">
        <v>626.0</v>
      </c>
      <c r="B533" s="18">
        <v>41.0</v>
      </c>
      <c r="C533" s="18">
        <v>9.0</v>
      </c>
      <c r="D533" s="18">
        <v>1.0</v>
      </c>
      <c r="F533" s="22" t="s">
        <v>39</v>
      </c>
    </row>
    <row r="534" ht="22.5" hidden="1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466</v>
      </c>
      <c r="F534" s="22" t="s">
        <v>39</v>
      </c>
    </row>
    <row r="535" ht="22.5" hidden="1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467</v>
      </c>
      <c r="F535" s="22" t="s">
        <v>39</v>
      </c>
    </row>
    <row r="536" ht="22.5" hidden="1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467</v>
      </c>
      <c r="F536" s="22" t="s">
        <v>39</v>
      </c>
    </row>
    <row r="537" ht="22.5" hidden="1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467</v>
      </c>
      <c r="F537" s="22" t="s">
        <v>39</v>
      </c>
    </row>
    <row r="538" ht="22.5" hidden="1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467</v>
      </c>
      <c r="F538" s="22" t="s">
        <v>39</v>
      </c>
    </row>
    <row r="539" ht="22.5" hidden="1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468</v>
      </c>
      <c r="F539" s="22" t="s">
        <v>39</v>
      </c>
    </row>
    <row r="540" ht="22.5" hidden="1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hidden="1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hidden="1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hidden="1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469</v>
      </c>
      <c r="F543" s="22" t="s">
        <v>39</v>
      </c>
    </row>
    <row r="544" ht="22.5" hidden="1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469</v>
      </c>
      <c r="F544" s="22" t="s">
        <v>39</v>
      </c>
    </row>
    <row r="545" ht="22.5" hidden="1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470</v>
      </c>
      <c r="F545" s="22" t="s">
        <v>39</v>
      </c>
    </row>
    <row r="546" ht="22.5" hidden="1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470</v>
      </c>
      <c r="F546" s="22" t="s">
        <v>39</v>
      </c>
    </row>
    <row r="547" ht="22.5" hidden="1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470</v>
      </c>
      <c r="F547" s="22" t="s">
        <v>39</v>
      </c>
    </row>
    <row r="548" ht="22.5" hidden="1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hidden="1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hidden="1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hidden="1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hidden="1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hidden="1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hidden="1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hidden="1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hidden="1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hidden="1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hidden="1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hidden="1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hidden="1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hidden="1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hidden="1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hidden="1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hidden="1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hidden="1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hidden="1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hidden="1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hidden="1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hidden="1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hidden="1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hidden="1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hidden="1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hidden="1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hidden="1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hidden="1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hidden="1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hidden="1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hidden="1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hidden="1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hidden="1" customHeight="1">
      <c r="A580" s="18">
        <v>673.0</v>
      </c>
      <c r="B580" s="18">
        <v>34.0</v>
      </c>
      <c r="C580" s="18">
        <v>11.0</v>
      </c>
      <c r="D580" s="18">
        <v>1.0</v>
      </c>
      <c r="F580" s="22" t="s">
        <v>39</v>
      </c>
    </row>
    <row r="581" ht="22.5" hidden="1" customHeight="1">
      <c r="A581" s="18">
        <v>674.0</v>
      </c>
      <c r="B581" s="18">
        <v>35.0</v>
      </c>
      <c r="C581" s="18">
        <v>11.0</v>
      </c>
      <c r="D581" s="18">
        <v>1.0</v>
      </c>
      <c r="F581" s="22" t="s">
        <v>39</v>
      </c>
    </row>
    <row r="582" ht="22.5" hidden="1" customHeight="1">
      <c r="A582" s="18">
        <v>675.0</v>
      </c>
      <c r="B582" s="18">
        <v>36.0</v>
      </c>
      <c r="C582" s="18">
        <v>11.0</v>
      </c>
      <c r="D582" s="18">
        <v>1.0</v>
      </c>
      <c r="F582" s="22" t="s">
        <v>39</v>
      </c>
    </row>
    <row r="583" ht="22.5" hidden="1" customHeight="1">
      <c r="A583" s="18">
        <v>676.0</v>
      </c>
      <c r="B583" s="18">
        <v>37.0</v>
      </c>
      <c r="C583" s="18">
        <v>11.0</v>
      </c>
      <c r="D583" s="18">
        <v>1.0</v>
      </c>
      <c r="F583" s="22" t="s">
        <v>39</v>
      </c>
    </row>
    <row r="584" ht="22.5" hidden="1" customHeight="1">
      <c r="A584" s="18">
        <v>677.0</v>
      </c>
      <c r="B584" s="18">
        <v>38.0</v>
      </c>
      <c r="C584" s="18">
        <v>11.0</v>
      </c>
      <c r="D584" s="18">
        <v>1.0</v>
      </c>
      <c r="F584" s="22" t="s">
        <v>39</v>
      </c>
    </row>
    <row r="585" ht="22.5" hidden="1" customHeight="1">
      <c r="A585" s="18">
        <v>678.0</v>
      </c>
      <c r="B585" s="18">
        <v>40.0</v>
      </c>
      <c r="C585" s="18">
        <v>11.0</v>
      </c>
      <c r="D585" s="18">
        <v>1.0</v>
      </c>
      <c r="F585" s="22" t="s">
        <v>39</v>
      </c>
    </row>
    <row r="586" ht="22.5" hidden="1" customHeight="1">
      <c r="A586" s="18">
        <v>679.0</v>
      </c>
      <c r="B586" s="18">
        <v>41.0</v>
      </c>
      <c r="C586" s="18">
        <v>11.0</v>
      </c>
      <c r="D586" s="18">
        <v>1.0</v>
      </c>
      <c r="F586" s="22" t="s">
        <v>39</v>
      </c>
    </row>
    <row r="587" ht="22.5" hidden="1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466</v>
      </c>
      <c r="F587" s="22" t="s">
        <v>39</v>
      </c>
    </row>
    <row r="588" ht="22.5" hidden="1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468</v>
      </c>
      <c r="F588" s="22" t="s">
        <v>39</v>
      </c>
    </row>
    <row r="589" ht="22.5" hidden="1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hidden="1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hidden="1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hidden="1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469</v>
      </c>
      <c r="F592" s="22" t="s">
        <v>39</v>
      </c>
    </row>
    <row r="593" ht="22.5" hidden="1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469</v>
      </c>
      <c r="F593" s="22" t="s">
        <v>39</v>
      </c>
    </row>
    <row r="594" ht="22.5" hidden="1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hidden="1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hidden="1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hidden="1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hidden="1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hidden="1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hidden="1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hidden="1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hidden="1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hidden="1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hidden="1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hidden="1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hidden="1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hidden="1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hidden="1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hidden="1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hidden="1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hidden="1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hidden="1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hidden="1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hidden="1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hidden="1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hidden="1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hidden="1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hidden="1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hidden="1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hidden="1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hidden="1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hidden="1" customHeight="1">
      <c r="A622" s="18">
        <v>715.0</v>
      </c>
      <c r="B622" s="18">
        <v>110.0</v>
      </c>
      <c r="C622" s="18">
        <v>12.0</v>
      </c>
      <c r="D622" s="18">
        <v>1.0</v>
      </c>
      <c r="F622" s="22" t="s">
        <v>39</v>
      </c>
    </row>
    <row r="623" ht="22.5" hidden="1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hidden="1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hidden="1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hidden="1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hidden="1" customHeight="1">
      <c r="A627" s="18">
        <v>720.0</v>
      </c>
      <c r="B627" s="18">
        <v>34.0</v>
      </c>
      <c r="C627" s="18">
        <v>12.0</v>
      </c>
      <c r="D627" s="18">
        <v>1.0</v>
      </c>
      <c r="F627" s="22" t="s">
        <v>39</v>
      </c>
    </row>
    <row r="628" ht="22.5" hidden="1" customHeight="1">
      <c r="A628" s="18">
        <v>721.0</v>
      </c>
      <c r="B628" s="18">
        <v>35.0</v>
      </c>
      <c r="C628" s="18">
        <v>12.0</v>
      </c>
      <c r="D628" s="18">
        <v>1.0</v>
      </c>
      <c r="F628" s="22" t="s">
        <v>39</v>
      </c>
    </row>
    <row r="629" ht="22.5" hidden="1" customHeight="1">
      <c r="A629" s="18">
        <v>722.0</v>
      </c>
      <c r="B629" s="18">
        <v>36.0</v>
      </c>
      <c r="C629" s="18">
        <v>12.0</v>
      </c>
      <c r="D629" s="18">
        <v>1.0</v>
      </c>
      <c r="F629" s="22" t="s">
        <v>39</v>
      </c>
    </row>
    <row r="630" ht="22.5" hidden="1" customHeight="1">
      <c r="A630" s="18">
        <v>723.0</v>
      </c>
      <c r="B630" s="18">
        <v>37.0</v>
      </c>
      <c r="C630" s="18">
        <v>12.0</v>
      </c>
      <c r="D630" s="18">
        <v>1.0</v>
      </c>
      <c r="F630" s="22" t="s">
        <v>39</v>
      </c>
    </row>
    <row r="631" ht="22.5" hidden="1" customHeight="1">
      <c r="A631" s="18">
        <v>724.0</v>
      </c>
      <c r="B631" s="18">
        <v>38.0</v>
      </c>
      <c r="C631" s="18">
        <v>12.0</v>
      </c>
      <c r="D631" s="18">
        <v>1.0</v>
      </c>
      <c r="F631" s="22" t="s">
        <v>39</v>
      </c>
    </row>
    <row r="632" ht="22.5" hidden="1" customHeight="1">
      <c r="A632" s="18">
        <v>726.0</v>
      </c>
      <c r="B632" s="18">
        <v>41.0</v>
      </c>
      <c r="C632" s="18">
        <v>12.0</v>
      </c>
      <c r="D632" s="18">
        <v>1.0</v>
      </c>
      <c r="F632" s="22" t="s">
        <v>39</v>
      </c>
    </row>
    <row r="633" ht="22.5" hidden="1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466</v>
      </c>
      <c r="F633" s="22" t="s">
        <v>39</v>
      </c>
    </row>
    <row r="634" ht="22.5" hidden="1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468</v>
      </c>
      <c r="F634" s="22" t="s">
        <v>39</v>
      </c>
    </row>
    <row r="635" ht="22.5" hidden="1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hidden="1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469</v>
      </c>
      <c r="F636" s="22" t="s">
        <v>39</v>
      </c>
    </row>
    <row r="637" ht="22.5" hidden="1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469</v>
      </c>
      <c r="F637" s="22" t="s">
        <v>39</v>
      </c>
    </row>
    <row r="638" ht="22.5" hidden="1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470</v>
      </c>
      <c r="F638" s="22" t="s">
        <v>39</v>
      </c>
    </row>
    <row r="639" ht="22.5" hidden="1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470</v>
      </c>
      <c r="F639" s="22" t="s">
        <v>39</v>
      </c>
    </row>
    <row r="640" ht="22.5" hidden="1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470</v>
      </c>
      <c r="F640" s="22" t="s">
        <v>39</v>
      </c>
    </row>
    <row r="641" ht="22.5" hidden="1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470</v>
      </c>
      <c r="F641" s="22" t="s">
        <v>39</v>
      </c>
    </row>
    <row r="642" ht="22.5" hidden="1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hidden="1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hidden="1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hidden="1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hidden="1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hidden="1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hidden="1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hidden="1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hidden="1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hidden="1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hidden="1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hidden="1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hidden="1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hidden="1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hidden="1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hidden="1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hidden="1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hidden="1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hidden="1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hidden="1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hidden="1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hidden="1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hidden="1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hidden="1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hidden="1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hidden="1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hidden="1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hidden="1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hidden="1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hidden="1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hidden="1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hidden="1" customHeight="1">
      <c r="A673" s="18">
        <v>767.0</v>
      </c>
      <c r="B673" s="18">
        <v>34.0</v>
      </c>
      <c r="C673" s="18">
        <v>13.0</v>
      </c>
      <c r="D673" s="18">
        <v>1.0</v>
      </c>
      <c r="F673" s="22" t="s">
        <v>39</v>
      </c>
    </row>
    <row r="674" ht="22.5" hidden="1" customHeight="1">
      <c r="A674" s="18">
        <v>768.0</v>
      </c>
      <c r="B674" s="18">
        <v>35.0</v>
      </c>
      <c r="C674" s="18">
        <v>13.0</v>
      </c>
      <c r="D674" s="18">
        <v>1.0</v>
      </c>
      <c r="F674" s="22" t="s">
        <v>39</v>
      </c>
    </row>
    <row r="675" ht="22.5" hidden="1" customHeight="1">
      <c r="A675" s="18">
        <v>769.0</v>
      </c>
      <c r="B675" s="18">
        <v>36.0</v>
      </c>
      <c r="C675" s="18">
        <v>13.0</v>
      </c>
      <c r="D675" s="18">
        <v>1.0</v>
      </c>
      <c r="F675" s="22" t="s">
        <v>39</v>
      </c>
    </row>
    <row r="676" ht="22.5" hidden="1" customHeight="1">
      <c r="A676" s="18">
        <v>770.0</v>
      </c>
      <c r="B676" s="18">
        <v>37.0</v>
      </c>
      <c r="C676" s="18">
        <v>13.0</v>
      </c>
      <c r="D676" s="18">
        <v>1.0</v>
      </c>
      <c r="F676" s="22" t="s">
        <v>39</v>
      </c>
    </row>
    <row r="677" ht="22.5" hidden="1" customHeight="1">
      <c r="A677" s="18">
        <v>771.0</v>
      </c>
      <c r="B677" s="18">
        <v>38.0</v>
      </c>
      <c r="C677" s="18">
        <v>13.0</v>
      </c>
      <c r="D677" s="18">
        <v>1.0</v>
      </c>
      <c r="F677" s="22" t="s">
        <v>39</v>
      </c>
    </row>
    <row r="678" ht="22.5" hidden="1" customHeight="1">
      <c r="A678" s="18">
        <v>772.0</v>
      </c>
      <c r="B678" s="18">
        <v>40.0</v>
      </c>
      <c r="C678" s="18">
        <v>13.0</v>
      </c>
      <c r="D678" s="18">
        <v>1.0</v>
      </c>
      <c r="F678" s="22" t="s">
        <v>39</v>
      </c>
    </row>
    <row r="679" ht="22.5" hidden="1" customHeight="1">
      <c r="A679" s="18">
        <v>773.0</v>
      </c>
      <c r="B679" s="18">
        <v>41.0</v>
      </c>
      <c r="C679" s="18">
        <v>13.0</v>
      </c>
      <c r="D679" s="18">
        <v>1.0</v>
      </c>
      <c r="F679" s="22" t="s">
        <v>39</v>
      </c>
    </row>
    <row r="680" ht="22.5" hidden="1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466</v>
      </c>
      <c r="F680" s="22" t="s">
        <v>39</v>
      </c>
    </row>
    <row r="681" ht="22.5" hidden="1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474</v>
      </c>
      <c r="F681" s="22" t="s">
        <v>39</v>
      </c>
    </row>
    <row r="682" ht="22.5" hidden="1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hidden="1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hidden="1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hidden="1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474</v>
      </c>
      <c r="F685" s="22" t="s">
        <v>39</v>
      </c>
    </row>
    <row r="686" ht="22.5" hidden="1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474</v>
      </c>
      <c r="F686" s="22" t="s">
        <v>39</v>
      </c>
    </row>
    <row r="687" ht="22.5" hidden="1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466</v>
      </c>
      <c r="F687" s="22" t="s">
        <v>39</v>
      </c>
    </row>
    <row r="688" ht="22.5" hidden="1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466</v>
      </c>
      <c r="F688" s="22" t="s">
        <v>39</v>
      </c>
    </row>
    <row r="689" ht="22.5" hidden="1" customHeight="1">
      <c r="A689" s="18">
        <v>783.0</v>
      </c>
      <c r="B689" s="18">
        <v>70.0</v>
      </c>
      <c r="C689" s="18">
        <v>13.0</v>
      </c>
      <c r="D689" s="18">
        <v>1.0</v>
      </c>
      <c r="F689" s="22" t="s">
        <v>39</v>
      </c>
    </row>
    <row r="690" ht="22.5" hidden="1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470</v>
      </c>
      <c r="F690" s="22" t="s">
        <v>39</v>
      </c>
    </row>
    <row r="691" ht="22.5" hidden="1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470</v>
      </c>
      <c r="F691" s="22" t="s">
        <v>39</v>
      </c>
    </row>
    <row r="692" ht="22.5" hidden="1" customHeight="1">
      <c r="A692" s="18">
        <v>786.0</v>
      </c>
      <c r="B692" s="18">
        <v>74.0</v>
      </c>
      <c r="C692" s="18">
        <v>13.0</v>
      </c>
      <c r="D692" s="18">
        <v>2.0</v>
      </c>
      <c r="F692" s="22" t="s">
        <v>39</v>
      </c>
    </row>
    <row r="693" ht="22.5" hidden="1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470</v>
      </c>
      <c r="F693" s="22" t="s">
        <v>39</v>
      </c>
    </row>
    <row r="694" ht="22.5" hidden="1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470</v>
      </c>
      <c r="F694" s="22" t="s">
        <v>39</v>
      </c>
    </row>
    <row r="695" ht="22.5" hidden="1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470</v>
      </c>
      <c r="F695" s="22" t="s">
        <v>39</v>
      </c>
    </row>
    <row r="696" ht="22.5" hidden="1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470</v>
      </c>
      <c r="F696" s="22" t="s">
        <v>39</v>
      </c>
    </row>
    <row r="697" ht="22.5" hidden="1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470</v>
      </c>
      <c r="F697" s="22" t="s">
        <v>39</v>
      </c>
    </row>
    <row r="698" ht="22.5" hidden="1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470</v>
      </c>
      <c r="F698" s="22" t="s">
        <v>39</v>
      </c>
    </row>
    <row r="699" ht="22.5" hidden="1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hidden="1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hidden="1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hidden="1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hidden="1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hidden="1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hidden="1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hidden="1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hidden="1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hidden="1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hidden="1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hidden="1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hidden="1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hidden="1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hidden="1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hidden="1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hidden="1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hidden="1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hidden="1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hidden="1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hidden="1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hidden="1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hidden="1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hidden="1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hidden="1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hidden="1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hidden="1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hidden="1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hidden="1" customHeight="1">
      <c r="A727" s="18">
        <v>821.0</v>
      </c>
      <c r="B727" s="18">
        <v>110.0</v>
      </c>
      <c r="C727" s="18">
        <v>14.0</v>
      </c>
      <c r="D727" s="18">
        <v>1.0</v>
      </c>
      <c r="F727" s="22" t="s">
        <v>39</v>
      </c>
    </row>
    <row r="728" ht="22.5" hidden="1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hidden="1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hidden="1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hidden="1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hidden="1" customHeight="1">
      <c r="A732" s="18">
        <v>826.0</v>
      </c>
      <c r="B732" s="18">
        <v>34.0</v>
      </c>
      <c r="C732" s="18">
        <v>14.0</v>
      </c>
      <c r="D732" s="18">
        <v>1.0</v>
      </c>
      <c r="F732" s="22" t="s">
        <v>39</v>
      </c>
    </row>
    <row r="733" ht="22.5" hidden="1" customHeight="1">
      <c r="A733" s="18">
        <v>827.0</v>
      </c>
      <c r="B733" s="18">
        <v>35.0</v>
      </c>
      <c r="C733" s="18">
        <v>14.0</v>
      </c>
      <c r="D733" s="18">
        <v>1.0</v>
      </c>
      <c r="F733" s="22" t="s">
        <v>39</v>
      </c>
    </row>
    <row r="734" ht="22.5" hidden="1" customHeight="1">
      <c r="A734" s="18">
        <v>828.0</v>
      </c>
      <c r="B734" s="18">
        <v>36.0</v>
      </c>
      <c r="C734" s="18">
        <v>14.0</v>
      </c>
      <c r="D734" s="18">
        <v>1.0</v>
      </c>
      <c r="F734" s="22" t="s">
        <v>39</v>
      </c>
    </row>
    <row r="735" ht="22.5" hidden="1" customHeight="1">
      <c r="A735" s="18">
        <v>829.0</v>
      </c>
      <c r="B735" s="18">
        <v>37.0</v>
      </c>
      <c r="C735" s="18">
        <v>14.0</v>
      </c>
      <c r="D735" s="18">
        <v>1.0</v>
      </c>
      <c r="F735" s="22" t="s">
        <v>39</v>
      </c>
    </row>
    <row r="736" ht="22.5" hidden="1" customHeight="1">
      <c r="A736" s="18">
        <v>830.0</v>
      </c>
      <c r="B736" s="18">
        <v>38.0</v>
      </c>
      <c r="C736" s="18">
        <v>14.0</v>
      </c>
      <c r="D736" s="18">
        <v>1.0</v>
      </c>
      <c r="F736" s="22" t="s">
        <v>39</v>
      </c>
    </row>
    <row r="737" ht="22.5" hidden="1" customHeight="1">
      <c r="A737" s="18">
        <v>831.0</v>
      </c>
      <c r="B737" s="18">
        <v>39.0</v>
      </c>
      <c r="C737" s="18">
        <v>14.0</v>
      </c>
      <c r="D737" s="18">
        <v>1.0</v>
      </c>
      <c r="F737" s="22" t="s">
        <v>39</v>
      </c>
    </row>
    <row r="738" ht="22.5" hidden="1" customHeight="1">
      <c r="A738" s="18">
        <v>832.0</v>
      </c>
      <c r="B738" s="18">
        <v>40.0</v>
      </c>
      <c r="C738" s="18">
        <v>14.0</v>
      </c>
      <c r="D738" s="18">
        <v>1.0</v>
      </c>
      <c r="F738" s="22" t="s">
        <v>39</v>
      </c>
    </row>
    <row r="739" ht="22.5" hidden="1" customHeight="1">
      <c r="A739" s="18">
        <v>833.0</v>
      </c>
      <c r="B739" s="18">
        <v>41.0</v>
      </c>
      <c r="C739" s="18">
        <v>14.0</v>
      </c>
      <c r="D739" s="18">
        <v>1.0</v>
      </c>
      <c r="F739" s="22" t="s">
        <v>39</v>
      </c>
    </row>
    <row r="740" ht="22.5" hidden="1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466</v>
      </c>
      <c r="F740" s="22" t="s">
        <v>39</v>
      </c>
    </row>
    <row r="741" ht="22.5" hidden="1" customHeight="1">
      <c r="A741" s="18">
        <v>835.0</v>
      </c>
      <c r="B741" s="18">
        <v>43.0</v>
      </c>
      <c r="C741" s="18">
        <v>14.0</v>
      </c>
      <c r="D741" s="18">
        <v>1.0</v>
      </c>
      <c r="F741" s="22" t="s">
        <v>39</v>
      </c>
    </row>
    <row r="742" ht="22.5" hidden="1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466</v>
      </c>
      <c r="F742" s="22" t="s">
        <v>39</v>
      </c>
    </row>
    <row r="743" ht="22.5" hidden="1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466</v>
      </c>
      <c r="F743" s="22" t="s">
        <v>39</v>
      </c>
    </row>
    <row r="744" ht="22.5" hidden="1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467</v>
      </c>
      <c r="F744" s="22" t="s">
        <v>39</v>
      </c>
    </row>
    <row r="745" ht="22.5" hidden="1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466</v>
      </c>
      <c r="F745" s="22" t="s">
        <v>39</v>
      </c>
    </row>
    <row r="746" ht="22.5" hidden="1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hidden="1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467</v>
      </c>
      <c r="F747" s="22" t="s">
        <v>39</v>
      </c>
    </row>
    <row r="748" ht="22.5" hidden="1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467</v>
      </c>
      <c r="F748" s="22" t="s">
        <v>39</v>
      </c>
    </row>
    <row r="749" ht="22.5" hidden="1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467</v>
      </c>
      <c r="F749" s="22" t="s">
        <v>39</v>
      </c>
    </row>
    <row r="750" ht="22.5" hidden="1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467</v>
      </c>
      <c r="F750" s="22" t="s">
        <v>39</v>
      </c>
    </row>
    <row r="751" ht="22.5" hidden="1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467</v>
      </c>
      <c r="F751" s="22" t="s">
        <v>39</v>
      </c>
    </row>
    <row r="752" ht="22.5" hidden="1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466</v>
      </c>
      <c r="F752" s="22" t="s">
        <v>39</v>
      </c>
    </row>
    <row r="753" ht="22.5" hidden="1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468</v>
      </c>
      <c r="F753" s="22" t="s">
        <v>39</v>
      </c>
    </row>
    <row r="754" ht="22.5" hidden="1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hidden="1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hidden="1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hidden="1" customHeight="1">
      <c r="A757" s="18">
        <v>852.0</v>
      </c>
      <c r="B757" s="18">
        <v>74.0</v>
      </c>
      <c r="C757" s="18">
        <v>14.0</v>
      </c>
      <c r="D757" s="18">
        <v>1.0</v>
      </c>
      <c r="F757" s="22" t="s">
        <v>39</v>
      </c>
    </row>
    <row r="758" ht="22.5" hidden="1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470</v>
      </c>
      <c r="F758" s="22" t="s">
        <v>39</v>
      </c>
    </row>
    <row r="759" ht="22.5" hidden="1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470</v>
      </c>
      <c r="F759" s="22" t="s">
        <v>39</v>
      </c>
    </row>
    <row r="760" ht="22.5" hidden="1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470</v>
      </c>
      <c r="F760" s="22" t="s">
        <v>39</v>
      </c>
    </row>
    <row r="761" ht="22.5" hidden="1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470</v>
      </c>
      <c r="F761" s="22" t="s">
        <v>39</v>
      </c>
    </row>
    <row r="762" ht="22.5" hidden="1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470</v>
      </c>
      <c r="F762" s="22" t="s">
        <v>39</v>
      </c>
    </row>
    <row r="763" ht="22.5" hidden="1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470</v>
      </c>
      <c r="F763" s="22" t="s">
        <v>39</v>
      </c>
    </row>
    <row r="764" ht="22.5" hidden="1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470</v>
      </c>
      <c r="F764" s="22" t="s">
        <v>39</v>
      </c>
    </row>
    <row r="765" ht="22.5" hidden="1" customHeight="1">
      <c r="A765" s="18">
        <v>860.0</v>
      </c>
      <c r="B765" s="18">
        <v>83.0</v>
      </c>
      <c r="C765" s="18">
        <v>14.0</v>
      </c>
      <c r="D765" s="18">
        <v>1.0</v>
      </c>
      <c r="F765" s="22" t="s">
        <v>39</v>
      </c>
    </row>
    <row r="766" ht="22.5" hidden="1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470</v>
      </c>
      <c r="F766" s="22" t="s">
        <v>39</v>
      </c>
    </row>
    <row r="767" ht="22.5" hidden="1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hidden="1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hidden="1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hidden="1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hidden="1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hidden="1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hidden="1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hidden="1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hidden="1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hidden="1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hidden="1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hidden="1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hidden="1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hidden="1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hidden="1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hidden="1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hidden="1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hidden="1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hidden="1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hidden="1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hidden="1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hidden="1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hidden="1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hidden="1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hidden="1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hidden="1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hidden="1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hidden="1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hidden="1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hidden="1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hidden="1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hidden="1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hidden="1" customHeight="1">
      <c r="A799" s="18">
        <v>894.0</v>
      </c>
      <c r="B799" s="18">
        <v>34.0</v>
      </c>
      <c r="C799" s="18">
        <v>15.0</v>
      </c>
      <c r="D799" s="18">
        <v>1.0</v>
      </c>
      <c r="F799" s="22" t="s">
        <v>39</v>
      </c>
    </row>
    <row r="800" ht="22.5" hidden="1" customHeight="1">
      <c r="A800" s="18">
        <v>895.0</v>
      </c>
      <c r="B800" s="18">
        <v>35.0</v>
      </c>
      <c r="C800" s="18">
        <v>15.0</v>
      </c>
      <c r="D800" s="18">
        <v>1.0</v>
      </c>
      <c r="F800" s="22" t="s">
        <v>39</v>
      </c>
    </row>
    <row r="801" ht="22.5" hidden="1" customHeight="1">
      <c r="A801" s="18">
        <v>896.0</v>
      </c>
      <c r="B801" s="18">
        <v>36.0</v>
      </c>
      <c r="C801" s="18">
        <v>15.0</v>
      </c>
      <c r="D801" s="18">
        <v>1.0</v>
      </c>
      <c r="F801" s="22" t="s">
        <v>39</v>
      </c>
    </row>
    <row r="802" ht="22.5" hidden="1" customHeight="1">
      <c r="A802" s="18">
        <v>897.0</v>
      </c>
      <c r="B802" s="18">
        <v>37.0</v>
      </c>
      <c r="C802" s="18">
        <v>15.0</v>
      </c>
      <c r="D802" s="18">
        <v>1.0</v>
      </c>
      <c r="F802" s="22" t="s">
        <v>39</v>
      </c>
    </row>
    <row r="803" ht="22.5" hidden="1" customHeight="1">
      <c r="A803" s="18">
        <v>898.0</v>
      </c>
      <c r="B803" s="18">
        <v>38.0</v>
      </c>
      <c r="C803" s="18">
        <v>15.0</v>
      </c>
      <c r="D803" s="18">
        <v>1.0</v>
      </c>
      <c r="F803" s="22" t="s">
        <v>39</v>
      </c>
    </row>
    <row r="804" ht="22.5" hidden="1" customHeight="1">
      <c r="A804" s="18">
        <v>899.0</v>
      </c>
      <c r="B804" s="18">
        <v>40.0</v>
      </c>
      <c r="C804" s="18">
        <v>15.0</v>
      </c>
      <c r="D804" s="18">
        <v>1.0</v>
      </c>
      <c r="F804" s="22" t="s">
        <v>39</v>
      </c>
    </row>
    <row r="805" ht="22.5" hidden="1" customHeight="1">
      <c r="A805" s="18">
        <v>900.0</v>
      </c>
      <c r="B805" s="18">
        <v>41.0</v>
      </c>
      <c r="C805" s="18">
        <v>15.0</v>
      </c>
      <c r="D805" s="18">
        <v>1.0</v>
      </c>
      <c r="F805" s="22" t="s">
        <v>39</v>
      </c>
    </row>
    <row r="806" ht="22.5" hidden="1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466</v>
      </c>
      <c r="F806" s="22" t="s">
        <v>39</v>
      </c>
    </row>
    <row r="807" ht="22.5" hidden="1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466</v>
      </c>
      <c r="F807" s="22" t="s">
        <v>39</v>
      </c>
    </row>
    <row r="808" ht="22.5" hidden="1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467</v>
      </c>
      <c r="F808" s="22" t="s">
        <v>39</v>
      </c>
    </row>
    <row r="809" ht="22.5" hidden="1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467</v>
      </c>
      <c r="F809" s="22" t="s">
        <v>39</v>
      </c>
    </row>
    <row r="810" ht="22.5" hidden="1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467</v>
      </c>
      <c r="F810" s="22" t="s">
        <v>39</v>
      </c>
    </row>
    <row r="811" ht="22.5" hidden="1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467</v>
      </c>
      <c r="F811" s="22" t="s">
        <v>39</v>
      </c>
    </row>
    <row r="812" ht="22.5" hidden="1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468</v>
      </c>
      <c r="F812" s="22" t="s">
        <v>39</v>
      </c>
    </row>
    <row r="813" ht="22.5" hidden="1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hidden="1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hidden="1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469</v>
      </c>
      <c r="F815" s="22" t="s">
        <v>39</v>
      </c>
    </row>
    <row r="816" ht="22.5" hidden="1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469</v>
      </c>
      <c r="F816" s="22" t="s">
        <v>39</v>
      </c>
    </row>
    <row r="817" ht="22.5" hidden="1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470</v>
      </c>
      <c r="F817" s="22" t="s">
        <v>39</v>
      </c>
    </row>
    <row r="818" ht="22.5" hidden="1" customHeight="1">
      <c r="A818" s="18">
        <v>913.0</v>
      </c>
      <c r="B818" s="18">
        <v>74.0</v>
      </c>
      <c r="C818" s="18">
        <v>15.0</v>
      </c>
      <c r="D818" s="18">
        <v>1.0</v>
      </c>
      <c r="F818" s="22" t="s">
        <v>39</v>
      </c>
    </row>
    <row r="819" ht="22.5" hidden="1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470</v>
      </c>
      <c r="F819" s="22" t="s">
        <v>39</v>
      </c>
    </row>
    <row r="820" ht="22.5" hidden="1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470</v>
      </c>
      <c r="F820" s="22" t="s">
        <v>39</v>
      </c>
    </row>
    <row r="821" ht="22.5" hidden="1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470</v>
      </c>
      <c r="F821" s="22" t="s">
        <v>39</v>
      </c>
    </row>
    <row r="822" ht="22.5" hidden="1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470</v>
      </c>
      <c r="F822" s="22" t="s">
        <v>39</v>
      </c>
    </row>
    <row r="823" ht="22.5" hidden="1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hidden="1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hidden="1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hidden="1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hidden="1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hidden="1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hidden="1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hidden="1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hidden="1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hidden="1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hidden="1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hidden="1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hidden="1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hidden="1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hidden="1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hidden="1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hidden="1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hidden="1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hidden="1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hidden="1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hidden="1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hidden="1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hidden="1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hidden="1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hidden="1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hidden="1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hidden="1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hidden="1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hidden="1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hidden="1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hidden="1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hidden="1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hidden="1" customHeight="1">
      <c r="A855" s="18">
        <v>950.0</v>
      </c>
      <c r="B855" s="18">
        <v>34.0</v>
      </c>
      <c r="C855" s="18">
        <v>16.0</v>
      </c>
      <c r="D855" s="18">
        <v>1.0</v>
      </c>
      <c r="F855" s="22" t="s">
        <v>39</v>
      </c>
    </row>
    <row r="856" ht="22.5" hidden="1" customHeight="1">
      <c r="A856" s="18">
        <v>951.0</v>
      </c>
      <c r="B856" s="18">
        <v>35.0</v>
      </c>
      <c r="C856" s="18">
        <v>16.0</v>
      </c>
      <c r="D856" s="18">
        <v>1.0</v>
      </c>
      <c r="F856" s="22" t="s">
        <v>39</v>
      </c>
    </row>
    <row r="857" ht="22.5" hidden="1" customHeight="1">
      <c r="A857" s="18">
        <v>952.0</v>
      </c>
      <c r="B857" s="18">
        <v>36.0</v>
      </c>
      <c r="C857" s="18">
        <v>16.0</v>
      </c>
      <c r="D857" s="18">
        <v>1.0</v>
      </c>
      <c r="F857" s="22" t="s">
        <v>39</v>
      </c>
    </row>
    <row r="858" ht="22.5" hidden="1" customHeight="1">
      <c r="A858" s="18">
        <v>953.0</v>
      </c>
      <c r="B858" s="18">
        <v>37.0</v>
      </c>
      <c r="C858" s="18">
        <v>16.0</v>
      </c>
      <c r="D858" s="18">
        <v>1.0</v>
      </c>
      <c r="F858" s="22" t="s">
        <v>39</v>
      </c>
    </row>
    <row r="859" ht="22.5" hidden="1" customHeight="1">
      <c r="A859" s="18">
        <v>954.0</v>
      </c>
      <c r="B859" s="18">
        <v>38.0</v>
      </c>
      <c r="C859" s="18">
        <v>16.0</v>
      </c>
      <c r="D859" s="18">
        <v>1.0</v>
      </c>
      <c r="F859" s="22" t="s">
        <v>39</v>
      </c>
    </row>
    <row r="860" ht="22.5" hidden="1" customHeight="1">
      <c r="A860" s="18">
        <v>955.0</v>
      </c>
      <c r="B860" s="18">
        <v>39.0</v>
      </c>
      <c r="C860" s="18">
        <v>16.0</v>
      </c>
      <c r="D860" s="18">
        <v>1.0</v>
      </c>
      <c r="F860" s="22" t="s">
        <v>39</v>
      </c>
    </row>
    <row r="861" ht="22.5" hidden="1" customHeight="1">
      <c r="A861" s="18">
        <v>956.0</v>
      </c>
      <c r="B861" s="18">
        <v>40.0</v>
      </c>
      <c r="C861" s="18">
        <v>16.0</v>
      </c>
      <c r="D861" s="18">
        <v>1.0</v>
      </c>
      <c r="F861" s="22" t="s">
        <v>39</v>
      </c>
    </row>
    <row r="862" ht="22.5" hidden="1" customHeight="1">
      <c r="A862" s="18">
        <v>957.0</v>
      </c>
      <c r="B862" s="18">
        <v>41.0</v>
      </c>
      <c r="C862" s="18">
        <v>16.0</v>
      </c>
      <c r="D862" s="18">
        <v>1.0</v>
      </c>
      <c r="F862" s="22" t="s">
        <v>39</v>
      </c>
    </row>
    <row r="863" ht="22.5" hidden="1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466</v>
      </c>
      <c r="F863" s="22" t="s">
        <v>39</v>
      </c>
    </row>
    <row r="864" ht="22.5" hidden="1" customHeight="1">
      <c r="A864" s="18">
        <v>959.0</v>
      </c>
      <c r="B864" s="18">
        <v>43.0</v>
      </c>
      <c r="C864" s="18">
        <v>16.0</v>
      </c>
      <c r="D864" s="18">
        <v>1.0</v>
      </c>
      <c r="F864" s="22" t="s">
        <v>39</v>
      </c>
    </row>
    <row r="865" ht="22.5" hidden="1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466</v>
      </c>
      <c r="F865" s="22" t="s">
        <v>39</v>
      </c>
    </row>
    <row r="866" ht="22.5" hidden="1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467</v>
      </c>
      <c r="F866" s="22" t="s">
        <v>39</v>
      </c>
    </row>
    <row r="867" ht="22.5" hidden="1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hidden="1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467</v>
      </c>
      <c r="F868" s="22" t="s">
        <v>39</v>
      </c>
    </row>
    <row r="869" ht="22.5" hidden="1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467</v>
      </c>
      <c r="F869" s="22" t="s">
        <v>39</v>
      </c>
    </row>
    <row r="870" ht="22.5" hidden="1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467</v>
      </c>
      <c r="F870" s="22" t="s">
        <v>39</v>
      </c>
    </row>
    <row r="871" ht="22.5" hidden="1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468</v>
      </c>
      <c r="F871" s="22" t="s">
        <v>39</v>
      </c>
    </row>
    <row r="872" ht="22.5" hidden="1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hidden="1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hidden="1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hidden="1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469</v>
      </c>
      <c r="F875" s="22" t="s">
        <v>39</v>
      </c>
    </row>
    <row r="876" ht="22.5" hidden="1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469</v>
      </c>
      <c r="F876" s="22" t="s">
        <v>39</v>
      </c>
    </row>
    <row r="877" ht="22.5" hidden="1" customHeight="1">
      <c r="A877" s="18">
        <v>972.0</v>
      </c>
      <c r="B877" s="18">
        <v>70.0</v>
      </c>
      <c r="C877" s="18">
        <v>16.0</v>
      </c>
      <c r="D877" s="18">
        <v>1.0</v>
      </c>
      <c r="F877" s="22" t="s">
        <v>39</v>
      </c>
    </row>
    <row r="878" ht="22.5" hidden="1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470</v>
      </c>
      <c r="F878" s="22" t="s">
        <v>39</v>
      </c>
    </row>
    <row r="879" ht="22.5" hidden="1" customHeight="1">
      <c r="A879" s="18">
        <v>974.0</v>
      </c>
      <c r="B879" s="18">
        <v>74.0</v>
      </c>
      <c r="C879" s="18">
        <v>16.0</v>
      </c>
      <c r="D879" s="18">
        <v>1.0</v>
      </c>
      <c r="F879" s="22" t="s">
        <v>39</v>
      </c>
    </row>
    <row r="880" ht="22.5" hidden="1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470</v>
      </c>
      <c r="F880" s="22" t="s">
        <v>39</v>
      </c>
    </row>
    <row r="881" ht="22.5" hidden="1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470</v>
      </c>
      <c r="F881" s="22" t="s">
        <v>39</v>
      </c>
    </row>
    <row r="882" ht="22.5" hidden="1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470</v>
      </c>
      <c r="F882" s="22" t="s">
        <v>39</v>
      </c>
    </row>
    <row r="883" ht="22.5" hidden="1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470</v>
      </c>
      <c r="F883" s="22" t="s">
        <v>39</v>
      </c>
    </row>
    <row r="884" ht="22.5" hidden="1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470</v>
      </c>
      <c r="F884" s="22" t="s">
        <v>39</v>
      </c>
    </row>
    <row r="885" ht="22.5" hidden="1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hidden="1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hidden="1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hidden="1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hidden="1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hidden="1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hidden="1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hidden="1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hidden="1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hidden="1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hidden="1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hidden="1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hidden="1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hidden="1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hidden="1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hidden="1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hidden="1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hidden="1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hidden="1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hidden="1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hidden="1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hidden="1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hidden="1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hidden="1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hidden="1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hidden="1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hidden="1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hidden="1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hidden="1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hidden="1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hidden="1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hidden="1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hidden="1" customHeight="1">
      <c r="A917" s="18">
        <v>1012.0</v>
      </c>
      <c r="B917" s="18">
        <v>34.0</v>
      </c>
      <c r="C917" s="18">
        <v>17.0</v>
      </c>
      <c r="D917" s="18">
        <v>1.0</v>
      </c>
      <c r="F917" s="22" t="s">
        <v>39</v>
      </c>
    </row>
    <row r="918" ht="22.5" hidden="1" customHeight="1">
      <c r="A918" s="18">
        <v>1013.0</v>
      </c>
      <c r="B918" s="18">
        <v>35.0</v>
      </c>
      <c r="C918" s="18">
        <v>17.0</v>
      </c>
      <c r="D918" s="18">
        <v>1.0</v>
      </c>
      <c r="F918" s="22" t="s">
        <v>39</v>
      </c>
    </row>
    <row r="919" ht="22.5" hidden="1" customHeight="1">
      <c r="A919" s="18">
        <v>1014.0</v>
      </c>
      <c r="B919" s="18">
        <v>36.0</v>
      </c>
      <c r="C919" s="18">
        <v>17.0</v>
      </c>
      <c r="D919" s="18">
        <v>1.0</v>
      </c>
      <c r="F919" s="22" t="s">
        <v>39</v>
      </c>
    </row>
    <row r="920" ht="22.5" hidden="1" customHeight="1">
      <c r="A920" s="18">
        <v>1015.0</v>
      </c>
      <c r="B920" s="18">
        <v>37.0</v>
      </c>
      <c r="C920" s="18">
        <v>17.0</v>
      </c>
      <c r="D920" s="18">
        <v>1.0</v>
      </c>
      <c r="F920" s="22" t="s">
        <v>39</v>
      </c>
    </row>
    <row r="921" ht="22.5" hidden="1" customHeight="1">
      <c r="A921" s="18">
        <v>1016.0</v>
      </c>
      <c r="B921" s="18">
        <v>38.0</v>
      </c>
      <c r="C921" s="18">
        <v>17.0</v>
      </c>
      <c r="D921" s="18">
        <v>1.0</v>
      </c>
      <c r="F921" s="22" t="s">
        <v>39</v>
      </c>
    </row>
    <row r="922" ht="22.5" hidden="1" customHeight="1">
      <c r="A922" s="18">
        <v>1017.0</v>
      </c>
      <c r="B922" s="18">
        <v>40.0</v>
      </c>
      <c r="C922" s="18">
        <v>17.0</v>
      </c>
      <c r="D922" s="18">
        <v>1.0</v>
      </c>
      <c r="F922" s="22" t="s">
        <v>39</v>
      </c>
    </row>
    <row r="923" ht="22.5" hidden="1" customHeight="1">
      <c r="A923" s="18">
        <v>1018.0</v>
      </c>
      <c r="B923" s="18">
        <v>41.0</v>
      </c>
      <c r="C923" s="18">
        <v>17.0</v>
      </c>
      <c r="D923" s="18">
        <v>1.0</v>
      </c>
      <c r="F923" s="22" t="s">
        <v>39</v>
      </c>
    </row>
    <row r="924" ht="22.5" hidden="1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468</v>
      </c>
      <c r="F924" s="22" t="s">
        <v>39</v>
      </c>
    </row>
    <row r="925" ht="22.5" hidden="1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hidden="1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hidden="1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hidden="1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hidden="1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hidden="1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hidden="1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hidden="1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hidden="1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hidden="1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hidden="1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hidden="1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hidden="1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hidden="1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hidden="1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hidden="1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hidden="1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hidden="1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hidden="1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hidden="1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hidden="1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hidden="1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hidden="1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hidden="1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hidden="1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hidden="1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hidden="1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hidden="1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hidden="1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hidden="1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hidden="1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hidden="1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hidden="1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hidden="1" customHeight="1">
      <c r="A958" s="18">
        <v>1053.0</v>
      </c>
      <c r="B958" s="18">
        <v>34.0</v>
      </c>
      <c r="C958" s="18">
        <v>18.0</v>
      </c>
      <c r="D958" s="18">
        <v>1.0</v>
      </c>
      <c r="F958" s="22" t="s">
        <v>39</v>
      </c>
    </row>
    <row r="959" ht="22.5" hidden="1" customHeight="1">
      <c r="A959" s="18">
        <v>1054.0</v>
      </c>
      <c r="B959" s="18">
        <v>35.0</v>
      </c>
      <c r="C959" s="18">
        <v>18.0</v>
      </c>
      <c r="D959" s="18">
        <v>1.0</v>
      </c>
      <c r="F959" s="22" t="s">
        <v>39</v>
      </c>
    </row>
    <row r="960" ht="22.5" hidden="1" customHeight="1">
      <c r="A960" s="18">
        <v>1055.0</v>
      </c>
      <c r="B960" s="18">
        <v>36.0</v>
      </c>
      <c r="C960" s="18">
        <v>18.0</v>
      </c>
      <c r="D960" s="18">
        <v>1.0</v>
      </c>
      <c r="F960" s="22" t="s">
        <v>39</v>
      </c>
    </row>
    <row r="961" ht="22.5" hidden="1" customHeight="1">
      <c r="A961" s="18">
        <v>1056.0</v>
      </c>
      <c r="B961" s="18">
        <v>37.0</v>
      </c>
      <c r="C961" s="18">
        <v>18.0</v>
      </c>
      <c r="D961" s="18">
        <v>1.0</v>
      </c>
      <c r="F961" s="22" t="s">
        <v>39</v>
      </c>
    </row>
    <row r="962" ht="22.5" hidden="1" customHeight="1">
      <c r="A962" s="18">
        <v>1057.0</v>
      </c>
      <c r="B962" s="18">
        <v>38.0</v>
      </c>
      <c r="C962" s="18">
        <v>18.0</v>
      </c>
      <c r="D962" s="18">
        <v>1.0</v>
      </c>
      <c r="F962" s="22" t="s">
        <v>39</v>
      </c>
    </row>
    <row r="963" ht="22.5" hidden="1" customHeight="1">
      <c r="A963" s="18">
        <v>1058.0</v>
      </c>
      <c r="B963" s="18">
        <v>40.0</v>
      </c>
      <c r="C963" s="18">
        <v>18.0</v>
      </c>
      <c r="D963" s="18">
        <v>1.0</v>
      </c>
      <c r="F963" s="22" t="s">
        <v>39</v>
      </c>
    </row>
    <row r="964" ht="22.5" hidden="1" customHeight="1">
      <c r="A964" s="18">
        <v>1059.0</v>
      </c>
      <c r="B964" s="18">
        <v>41.0</v>
      </c>
      <c r="C964" s="18">
        <v>18.0</v>
      </c>
      <c r="D964" s="18">
        <v>1.0</v>
      </c>
      <c r="F964" s="22" t="s">
        <v>39</v>
      </c>
    </row>
    <row r="965" ht="22.5" hidden="1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468</v>
      </c>
      <c r="F965" s="22" t="s">
        <v>39</v>
      </c>
    </row>
    <row r="966" ht="22.5" hidden="1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hidden="1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hidden="1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hidden="1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469</v>
      </c>
      <c r="F969" s="22" t="s">
        <v>39</v>
      </c>
    </row>
    <row r="970" ht="22.5" hidden="1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469</v>
      </c>
      <c r="F970" s="22" t="s">
        <v>39</v>
      </c>
    </row>
    <row r="971" ht="22.5" hidden="1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hidden="1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hidden="1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hidden="1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hidden="1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hidden="1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hidden="1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hidden="1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hidden="1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hidden="1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hidden="1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hidden="1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hidden="1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hidden="1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hidden="1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hidden="1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hidden="1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hidden="1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hidden="1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hidden="1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hidden="1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hidden="1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hidden="1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hidden="1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hidden="1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hidden="1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hidden="1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hidden="1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hidden="1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hidden="1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hidden="1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hidden="1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hidden="1" customHeight="1">
      <c r="A1003" s="18">
        <v>1098.0</v>
      </c>
      <c r="B1003" s="18">
        <v>34.0</v>
      </c>
      <c r="C1003" s="18">
        <v>19.0</v>
      </c>
      <c r="D1003" s="18">
        <v>1.0</v>
      </c>
      <c r="F1003" s="22" t="s">
        <v>39</v>
      </c>
    </row>
    <row r="1004" ht="22.5" hidden="1" customHeight="1">
      <c r="A1004" s="18">
        <v>1099.0</v>
      </c>
      <c r="B1004" s="18">
        <v>35.0</v>
      </c>
      <c r="C1004" s="18">
        <v>19.0</v>
      </c>
      <c r="D1004" s="18">
        <v>1.0</v>
      </c>
      <c r="F1004" s="22" t="s">
        <v>39</v>
      </c>
    </row>
    <row r="1005" ht="22.5" hidden="1" customHeight="1">
      <c r="A1005" s="18">
        <v>1100.0</v>
      </c>
      <c r="B1005" s="18">
        <v>36.0</v>
      </c>
      <c r="C1005" s="18">
        <v>19.0</v>
      </c>
      <c r="D1005" s="18">
        <v>1.0</v>
      </c>
      <c r="F1005" s="22" t="s">
        <v>39</v>
      </c>
    </row>
    <row r="1006" ht="22.5" hidden="1" customHeight="1">
      <c r="A1006" s="18">
        <v>1101.0</v>
      </c>
      <c r="B1006" s="18">
        <v>37.0</v>
      </c>
      <c r="C1006" s="18">
        <v>19.0</v>
      </c>
      <c r="D1006" s="18">
        <v>1.0</v>
      </c>
      <c r="F1006" s="22" t="s">
        <v>39</v>
      </c>
    </row>
    <row r="1007" ht="22.5" hidden="1" customHeight="1">
      <c r="A1007" s="18">
        <v>1102.0</v>
      </c>
      <c r="B1007" s="18">
        <v>38.0</v>
      </c>
      <c r="C1007" s="18">
        <v>19.0</v>
      </c>
      <c r="D1007" s="18">
        <v>1.0</v>
      </c>
      <c r="F1007" s="22" t="s">
        <v>39</v>
      </c>
    </row>
    <row r="1008" ht="22.5" hidden="1" customHeight="1">
      <c r="A1008" s="18">
        <v>1103.0</v>
      </c>
      <c r="B1008" s="18">
        <v>40.0</v>
      </c>
      <c r="C1008" s="18">
        <v>19.0</v>
      </c>
      <c r="D1008" s="18">
        <v>1.0</v>
      </c>
      <c r="F1008" s="22" t="s">
        <v>39</v>
      </c>
    </row>
    <row r="1009" ht="22.5" hidden="1" customHeight="1">
      <c r="A1009" s="18">
        <v>1104.0</v>
      </c>
      <c r="B1009" s="18">
        <v>41.0</v>
      </c>
      <c r="C1009" s="18">
        <v>19.0</v>
      </c>
      <c r="D1009" s="18">
        <v>1.0</v>
      </c>
      <c r="F1009" s="22" t="s">
        <v>39</v>
      </c>
    </row>
    <row r="1010" ht="22.5" hidden="1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467</v>
      </c>
      <c r="F1010" s="22" t="s">
        <v>39</v>
      </c>
    </row>
    <row r="1011" ht="22.5" hidden="1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467</v>
      </c>
      <c r="F1011" s="22" t="s">
        <v>39</v>
      </c>
    </row>
    <row r="1012" ht="22.5" hidden="1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467</v>
      </c>
      <c r="F1012" s="22" t="s">
        <v>39</v>
      </c>
    </row>
    <row r="1013" ht="22.5" hidden="1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467</v>
      </c>
      <c r="F1013" s="22" t="s">
        <v>39</v>
      </c>
    </row>
    <row r="1014" ht="22.5" hidden="1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468</v>
      </c>
      <c r="F1014" s="22" t="s">
        <v>39</v>
      </c>
    </row>
    <row r="1015" ht="22.5" hidden="1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hidden="1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hidden="1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hidden="1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469</v>
      </c>
      <c r="F1018" s="22" t="s">
        <v>39</v>
      </c>
    </row>
    <row r="1019" ht="22.5" hidden="1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469</v>
      </c>
      <c r="F1019" s="22" t="s">
        <v>39</v>
      </c>
    </row>
    <row r="1020" ht="22.5" hidden="1" customHeight="1">
      <c r="A1020" s="18">
        <v>1115.0</v>
      </c>
      <c r="B1020" s="18">
        <v>70.0</v>
      </c>
      <c r="C1020" s="18">
        <v>19.0</v>
      </c>
      <c r="D1020" s="18">
        <v>1.0</v>
      </c>
      <c r="F1020" s="22" t="s">
        <v>39</v>
      </c>
    </row>
    <row r="1021" ht="22.5" hidden="1" customHeight="1">
      <c r="A1021" s="18">
        <v>1116.0</v>
      </c>
      <c r="B1021" s="18">
        <v>74.0</v>
      </c>
      <c r="C1021" s="18">
        <v>19.0</v>
      </c>
      <c r="D1021" s="18">
        <v>1.0</v>
      </c>
      <c r="F1021" s="22" t="s">
        <v>39</v>
      </c>
    </row>
    <row r="1022" ht="22.5" hidden="1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470</v>
      </c>
      <c r="F1022" s="22" t="s">
        <v>39</v>
      </c>
    </row>
    <row r="1023" ht="22.5" hidden="1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hidden="1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hidden="1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hidden="1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hidden="1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hidden="1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hidden="1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hidden="1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hidden="1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hidden="1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hidden="1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hidden="1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hidden="1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hidden="1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hidden="1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hidden="1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hidden="1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hidden="1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hidden="1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471</v>
      </c>
      <c r="F1041" s="22" t="s">
        <v>39</v>
      </c>
    </row>
    <row r="1042" ht="22.5" hidden="1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471</v>
      </c>
      <c r="F1042" s="22" t="s">
        <v>39</v>
      </c>
    </row>
    <row r="1043" ht="22.5" hidden="1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471</v>
      </c>
      <c r="F1043" s="22" t="s">
        <v>39</v>
      </c>
    </row>
    <row r="1044" ht="22.5" hidden="1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471</v>
      </c>
      <c r="F1044" s="22" t="s">
        <v>39</v>
      </c>
    </row>
    <row r="1045" ht="22.5" hidden="1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471</v>
      </c>
      <c r="F1045" s="22" t="s">
        <v>39</v>
      </c>
    </row>
    <row r="1046" ht="22.5" hidden="1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471</v>
      </c>
      <c r="F1046" s="22" t="s">
        <v>39</v>
      </c>
    </row>
    <row r="1047" ht="22.5" hidden="1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471</v>
      </c>
      <c r="F1047" s="22" t="s">
        <v>39</v>
      </c>
    </row>
    <row r="1048" ht="22.5" hidden="1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471</v>
      </c>
      <c r="F1048" s="22" t="s">
        <v>39</v>
      </c>
    </row>
    <row r="1049" ht="22.5" hidden="1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471</v>
      </c>
      <c r="F1049" s="22" t="s">
        <v>39</v>
      </c>
    </row>
    <row r="1050" ht="22.5" hidden="1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471</v>
      </c>
      <c r="F1050" s="22" t="s">
        <v>39</v>
      </c>
    </row>
    <row r="1051" ht="22.5" hidden="1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471</v>
      </c>
      <c r="F1051" s="22" t="s">
        <v>39</v>
      </c>
    </row>
    <row r="1052" ht="22.5" hidden="1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471</v>
      </c>
      <c r="F1052" s="22" t="s">
        <v>39</v>
      </c>
    </row>
    <row r="1053" ht="22.5" hidden="1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471</v>
      </c>
      <c r="F1053" s="22" t="s">
        <v>39</v>
      </c>
    </row>
    <row r="1054" ht="22.5" hidden="1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471</v>
      </c>
      <c r="F1054" s="22" t="s">
        <v>39</v>
      </c>
    </row>
    <row r="1055" ht="22.5" hidden="1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471</v>
      </c>
      <c r="F1055" s="22" t="s">
        <v>39</v>
      </c>
    </row>
    <row r="1056" ht="22.5" hidden="1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471</v>
      </c>
      <c r="F1056" s="22" t="s">
        <v>39</v>
      </c>
    </row>
    <row r="1057" ht="22.5" hidden="1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471</v>
      </c>
      <c r="F1057" s="22" t="s">
        <v>39</v>
      </c>
    </row>
    <row r="1058" ht="22.5" hidden="1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471</v>
      </c>
      <c r="F1058" s="22" t="s">
        <v>39</v>
      </c>
    </row>
    <row r="1059" ht="22.5" hidden="1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471</v>
      </c>
      <c r="F1059" s="22" t="s">
        <v>39</v>
      </c>
    </row>
    <row r="1060" ht="22.5" hidden="1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471</v>
      </c>
      <c r="F1060" s="22" t="s">
        <v>39</v>
      </c>
    </row>
    <row r="1061" ht="22.5" hidden="1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471</v>
      </c>
      <c r="F1061" s="22" t="s">
        <v>39</v>
      </c>
    </row>
    <row r="1062" ht="22.5" hidden="1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471</v>
      </c>
      <c r="F1062" s="22" t="s">
        <v>39</v>
      </c>
    </row>
    <row r="1063" ht="22.5" hidden="1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471</v>
      </c>
      <c r="F1063" s="22" t="s">
        <v>39</v>
      </c>
    </row>
    <row r="1064" ht="22.5" hidden="1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471</v>
      </c>
      <c r="F1064" s="22" t="s">
        <v>39</v>
      </c>
    </row>
    <row r="1065" ht="22.5" hidden="1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471</v>
      </c>
      <c r="F1065" s="22" t="s">
        <v>39</v>
      </c>
    </row>
    <row r="1066" ht="22.5" hidden="1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471</v>
      </c>
      <c r="F1066" s="22" t="s">
        <v>39</v>
      </c>
    </row>
    <row r="1067" ht="22.5" hidden="1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471</v>
      </c>
      <c r="F1067" s="22" t="s">
        <v>39</v>
      </c>
    </row>
    <row r="1068" ht="22.5" hidden="1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471</v>
      </c>
      <c r="F1068" s="22" t="s">
        <v>39</v>
      </c>
    </row>
    <row r="1069" ht="22.5" hidden="1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471</v>
      </c>
      <c r="F1069" s="22" t="s">
        <v>39</v>
      </c>
    </row>
    <row r="1070" ht="22.5" hidden="1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hidden="1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471</v>
      </c>
      <c r="F1071" s="22" t="s">
        <v>39</v>
      </c>
    </row>
    <row r="1072" ht="22.5" hidden="1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471</v>
      </c>
      <c r="F1072" s="22" t="s">
        <v>39</v>
      </c>
    </row>
    <row r="1073" ht="22.5" hidden="1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471</v>
      </c>
      <c r="F1073" s="22" t="s">
        <v>39</v>
      </c>
    </row>
    <row r="1074" ht="22.5" hidden="1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471</v>
      </c>
      <c r="F1074" s="22" t="s">
        <v>39</v>
      </c>
    </row>
    <row r="1075" ht="22.5" hidden="1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471</v>
      </c>
      <c r="F1075" s="22" t="s">
        <v>39</v>
      </c>
    </row>
    <row r="1076" ht="22.5" hidden="1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471</v>
      </c>
      <c r="F1076" s="22" t="s">
        <v>39</v>
      </c>
    </row>
    <row r="1077" ht="22.5" hidden="1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471</v>
      </c>
      <c r="F1077" s="22" t="s">
        <v>39</v>
      </c>
    </row>
    <row r="1078" ht="22.5" hidden="1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471</v>
      </c>
      <c r="F1078" s="22" t="s">
        <v>39</v>
      </c>
    </row>
    <row r="1079" ht="22.5" hidden="1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471</v>
      </c>
      <c r="F1079" s="22" t="s">
        <v>39</v>
      </c>
    </row>
    <row r="1080" ht="22.5" hidden="1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471</v>
      </c>
      <c r="F1080" s="22" t="s">
        <v>39</v>
      </c>
    </row>
    <row r="1081" ht="22.5" hidden="1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471</v>
      </c>
      <c r="F1081" s="22" t="s">
        <v>39</v>
      </c>
    </row>
    <row r="1082" ht="22.5" hidden="1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471</v>
      </c>
      <c r="F1082" s="22" t="s">
        <v>39</v>
      </c>
    </row>
    <row r="1083" ht="22.5" hidden="1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471</v>
      </c>
      <c r="F1083" s="22" t="s">
        <v>39</v>
      </c>
    </row>
    <row r="1084" ht="22.5" hidden="1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471</v>
      </c>
      <c r="F1084" s="22" t="s">
        <v>39</v>
      </c>
    </row>
    <row r="1085" ht="22.5" hidden="1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471</v>
      </c>
      <c r="F1085" s="22" t="s">
        <v>39</v>
      </c>
    </row>
    <row r="1086" ht="22.5" hidden="1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471</v>
      </c>
      <c r="F1086" s="22" t="s">
        <v>39</v>
      </c>
    </row>
    <row r="1087" ht="22.5" hidden="1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471</v>
      </c>
      <c r="F1087" s="22" t="s">
        <v>39</v>
      </c>
    </row>
    <row r="1088" ht="22.5" hidden="1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471</v>
      </c>
      <c r="F1088" s="22" t="s">
        <v>39</v>
      </c>
    </row>
    <row r="1089" ht="22.5" hidden="1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471</v>
      </c>
      <c r="F1089" s="22" t="s">
        <v>39</v>
      </c>
    </row>
    <row r="1090" ht="22.5" hidden="1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475</v>
      </c>
      <c r="F1090" s="22" t="s">
        <v>39</v>
      </c>
    </row>
    <row r="1091" ht="22.5" hidden="1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475</v>
      </c>
      <c r="F1091" s="22" t="s">
        <v>39</v>
      </c>
    </row>
    <row r="1092" ht="22.5" hidden="1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475</v>
      </c>
      <c r="F1092" s="22" t="s">
        <v>39</v>
      </c>
    </row>
    <row r="1093" ht="22.5" hidden="1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476</v>
      </c>
      <c r="F1093" s="22" t="s">
        <v>39</v>
      </c>
    </row>
    <row r="1094" ht="22.5" hidden="1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471</v>
      </c>
      <c r="F1094" s="22" t="s">
        <v>39</v>
      </c>
    </row>
    <row r="1095" ht="22.5" hidden="1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471</v>
      </c>
      <c r="F1095" s="22" t="s">
        <v>39</v>
      </c>
    </row>
    <row r="1096" ht="22.5" hidden="1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471</v>
      </c>
      <c r="F1096" s="22" t="s">
        <v>39</v>
      </c>
    </row>
    <row r="1097" ht="22.5" hidden="1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471</v>
      </c>
      <c r="F1097" s="22" t="s">
        <v>39</v>
      </c>
    </row>
    <row r="1098" ht="22.5" hidden="1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471</v>
      </c>
      <c r="F1098" s="22" t="s">
        <v>39</v>
      </c>
    </row>
    <row r="1099" ht="22.5" hidden="1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471</v>
      </c>
      <c r="F1099" s="22" t="s">
        <v>39</v>
      </c>
    </row>
    <row r="1100" ht="22.5" hidden="1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471</v>
      </c>
      <c r="F1100" s="22" t="s">
        <v>39</v>
      </c>
    </row>
    <row r="1101" ht="22.5" hidden="1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471</v>
      </c>
      <c r="F1101" s="22" t="s">
        <v>39</v>
      </c>
    </row>
    <row r="1102" ht="22.5" hidden="1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471</v>
      </c>
      <c r="F1102" s="22" t="s">
        <v>39</v>
      </c>
    </row>
    <row r="1103" ht="22.5" hidden="1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471</v>
      </c>
      <c r="F1103" s="22" t="s">
        <v>39</v>
      </c>
    </row>
    <row r="1104" ht="22.5" hidden="1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471</v>
      </c>
      <c r="F1104" s="22" t="s">
        <v>39</v>
      </c>
    </row>
    <row r="1105" ht="22.5" hidden="1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471</v>
      </c>
      <c r="F1105" s="22" t="s">
        <v>39</v>
      </c>
    </row>
    <row r="1106" ht="22.5" hidden="1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471</v>
      </c>
      <c r="F1106" s="22" t="s">
        <v>39</v>
      </c>
    </row>
    <row r="1107" ht="22.5" hidden="1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471</v>
      </c>
      <c r="F1107" s="22" t="s">
        <v>39</v>
      </c>
    </row>
    <row r="1108" ht="22.5" hidden="1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471</v>
      </c>
      <c r="F1108" s="22" t="s">
        <v>39</v>
      </c>
    </row>
    <row r="1109" ht="22.5" hidden="1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471</v>
      </c>
      <c r="F1109" s="22" t="s">
        <v>39</v>
      </c>
    </row>
    <row r="1110" ht="22.5" hidden="1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471</v>
      </c>
      <c r="F1110" s="22" t="s">
        <v>39</v>
      </c>
    </row>
    <row r="1111" ht="22.5" hidden="1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471</v>
      </c>
      <c r="F1111" s="22" t="s">
        <v>39</v>
      </c>
    </row>
    <row r="1112" ht="22.5" hidden="1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471</v>
      </c>
      <c r="F1112" s="22" t="s">
        <v>39</v>
      </c>
    </row>
    <row r="1113" ht="22.5" hidden="1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471</v>
      </c>
      <c r="F1113" s="22" t="s">
        <v>39</v>
      </c>
    </row>
    <row r="1114" ht="22.5" hidden="1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471</v>
      </c>
      <c r="F1114" s="22" t="s">
        <v>39</v>
      </c>
    </row>
    <row r="1115" ht="22.5" hidden="1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471</v>
      </c>
      <c r="F1115" s="22" t="s">
        <v>39</v>
      </c>
    </row>
    <row r="1116" ht="22.5" hidden="1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471</v>
      </c>
      <c r="F1116" s="22" t="s">
        <v>39</v>
      </c>
    </row>
    <row r="1117" ht="22.5" hidden="1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471</v>
      </c>
      <c r="F1117" s="22" t="s">
        <v>39</v>
      </c>
    </row>
    <row r="1118" ht="22.5" hidden="1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471</v>
      </c>
      <c r="F1118" s="22" t="s">
        <v>39</v>
      </c>
    </row>
    <row r="1119" ht="22.5" hidden="1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471</v>
      </c>
      <c r="F1119" s="22" t="s">
        <v>39</v>
      </c>
    </row>
    <row r="1120" ht="22.5" hidden="1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471</v>
      </c>
      <c r="F1120" s="22" t="s">
        <v>39</v>
      </c>
    </row>
    <row r="1121" ht="22.5" hidden="1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471</v>
      </c>
      <c r="F1121" s="22" t="s">
        <v>39</v>
      </c>
    </row>
    <row r="1122" ht="22.5" hidden="1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471</v>
      </c>
      <c r="F1122" s="22" t="s">
        <v>39</v>
      </c>
    </row>
    <row r="1123" ht="22.5" hidden="1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471</v>
      </c>
      <c r="F1123" s="22" t="s">
        <v>39</v>
      </c>
    </row>
    <row r="1124" ht="22.5" hidden="1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471</v>
      </c>
      <c r="F1124" s="22" t="s">
        <v>39</v>
      </c>
    </row>
    <row r="1125" ht="22.5" hidden="1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471</v>
      </c>
      <c r="F1125" s="22" t="s">
        <v>39</v>
      </c>
    </row>
    <row r="1126" ht="22.5" hidden="1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471</v>
      </c>
      <c r="F1126" s="22" t="s">
        <v>39</v>
      </c>
    </row>
    <row r="1127" ht="22.5" hidden="1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471</v>
      </c>
      <c r="F1127" s="22" t="s">
        <v>39</v>
      </c>
    </row>
    <row r="1128" ht="22.5" hidden="1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471</v>
      </c>
      <c r="F1128" s="22" t="s">
        <v>39</v>
      </c>
    </row>
    <row r="1129" ht="22.5" hidden="1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471</v>
      </c>
      <c r="F1129" s="22" t="s">
        <v>39</v>
      </c>
    </row>
    <row r="1130" ht="22.5" hidden="1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471</v>
      </c>
      <c r="F1130" s="22" t="s">
        <v>39</v>
      </c>
    </row>
    <row r="1131" ht="22.5" hidden="1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471</v>
      </c>
      <c r="F1131" s="22" t="s">
        <v>39</v>
      </c>
    </row>
    <row r="1132" ht="22.5" hidden="1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471</v>
      </c>
      <c r="F1132" s="22" t="s">
        <v>39</v>
      </c>
    </row>
    <row r="1133" ht="22.5" hidden="1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477</v>
      </c>
      <c r="F1133" s="22" t="s">
        <v>39</v>
      </c>
    </row>
    <row r="1134" ht="22.5" hidden="1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477</v>
      </c>
      <c r="F1134" s="22" t="s">
        <v>39</v>
      </c>
    </row>
    <row r="1135" ht="22.5" hidden="1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477</v>
      </c>
      <c r="F1135" s="22" t="s">
        <v>39</v>
      </c>
    </row>
    <row r="1136" ht="22.5" hidden="1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477</v>
      </c>
      <c r="F1136" s="22" t="s">
        <v>39</v>
      </c>
    </row>
    <row r="1137" ht="22.5" hidden="1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477</v>
      </c>
      <c r="F1137" s="22" t="s">
        <v>39</v>
      </c>
    </row>
    <row r="1138" ht="22.5" hidden="1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477</v>
      </c>
      <c r="F1138" s="22" t="s">
        <v>39</v>
      </c>
    </row>
    <row r="1139" ht="22.5" hidden="1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477</v>
      </c>
      <c r="F1139" s="22" t="s">
        <v>39</v>
      </c>
    </row>
    <row r="1140" ht="22.5" hidden="1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477</v>
      </c>
      <c r="F1140" s="22" t="s">
        <v>39</v>
      </c>
    </row>
    <row r="1141" ht="22.5" hidden="1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477</v>
      </c>
      <c r="F1141" s="22" t="s">
        <v>39</v>
      </c>
    </row>
    <row r="1142" ht="22.5" hidden="1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477</v>
      </c>
      <c r="F1142" s="22" t="s">
        <v>39</v>
      </c>
    </row>
    <row r="1143" ht="22.5" hidden="1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477</v>
      </c>
      <c r="F1143" s="22" t="s">
        <v>39</v>
      </c>
    </row>
    <row r="1144" ht="22.5" hidden="1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477</v>
      </c>
      <c r="F1144" s="22" t="s">
        <v>39</v>
      </c>
    </row>
    <row r="1145" ht="22.5" hidden="1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477</v>
      </c>
      <c r="F1145" s="22" t="s">
        <v>39</v>
      </c>
    </row>
    <row r="1146" ht="22.5" hidden="1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477</v>
      </c>
      <c r="F1146" s="22" t="s">
        <v>39</v>
      </c>
    </row>
    <row r="1147" ht="22.5" hidden="1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477</v>
      </c>
      <c r="F1147" s="22" t="s">
        <v>39</v>
      </c>
    </row>
    <row r="1148" ht="22.5" hidden="1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477</v>
      </c>
      <c r="F1148" s="22" t="s">
        <v>39</v>
      </c>
    </row>
    <row r="1149" ht="22.5" hidden="1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477</v>
      </c>
      <c r="F1149" s="22" t="s">
        <v>39</v>
      </c>
    </row>
    <row r="1150" ht="22.5" hidden="1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477</v>
      </c>
      <c r="F1150" s="22" t="s">
        <v>39</v>
      </c>
    </row>
    <row r="1151" ht="22.5" hidden="1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477</v>
      </c>
      <c r="F1151" s="22" t="s">
        <v>39</v>
      </c>
    </row>
    <row r="1152" ht="22.5" hidden="1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477</v>
      </c>
      <c r="F1152" s="22" t="s">
        <v>39</v>
      </c>
    </row>
    <row r="1153" ht="22.5" hidden="1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477</v>
      </c>
      <c r="F1153" s="22" t="s">
        <v>39</v>
      </c>
    </row>
    <row r="1154" ht="22.5" hidden="1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477</v>
      </c>
      <c r="F1154" s="22" t="s">
        <v>39</v>
      </c>
    </row>
    <row r="1155" ht="22.5" hidden="1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469</v>
      </c>
      <c r="F1155" s="22" t="s">
        <v>39</v>
      </c>
    </row>
    <row r="1156" ht="22.5" hidden="1" customHeight="1">
      <c r="A1156" s="20">
        <v>1266.0</v>
      </c>
      <c r="B1156" s="20">
        <v>110.0</v>
      </c>
      <c r="C1156" s="20">
        <v>19.0</v>
      </c>
      <c r="D1156" s="20">
        <v>1.0</v>
      </c>
      <c r="E1156" s="20"/>
      <c r="F1156" s="22" t="s">
        <v>39</v>
      </c>
    </row>
    <row r="1157" ht="22.5" hidden="1" customHeight="1">
      <c r="A1157" s="18">
        <v>1267.0</v>
      </c>
      <c r="B1157" s="18">
        <v>30.0</v>
      </c>
      <c r="C1157" s="25">
        <v>5.0</v>
      </c>
      <c r="D1157" s="20">
        <v>1.0</v>
      </c>
      <c r="E1157" s="20"/>
      <c r="F1157" s="22" t="s">
        <v>39</v>
      </c>
    </row>
    <row r="1158" ht="22.5" hidden="1" customHeight="1">
      <c r="A1158" s="20">
        <v>1268.0</v>
      </c>
      <c r="B1158" s="18">
        <v>30.0</v>
      </c>
      <c r="C1158" s="25">
        <v>6.0</v>
      </c>
      <c r="D1158" s="20">
        <v>1.0</v>
      </c>
      <c r="E1158" s="20"/>
      <c r="F1158" s="22" t="s">
        <v>39</v>
      </c>
    </row>
    <row r="1159" ht="22.5" hidden="1" customHeight="1">
      <c r="A1159" s="20">
        <v>1269.0</v>
      </c>
      <c r="B1159" s="18">
        <v>30.0</v>
      </c>
      <c r="C1159" s="25">
        <v>7.0</v>
      </c>
      <c r="D1159" s="20">
        <v>1.0</v>
      </c>
      <c r="E1159" s="20"/>
      <c r="F1159" s="22" t="s">
        <v>39</v>
      </c>
    </row>
    <row r="1160" ht="22.5" hidden="1" customHeight="1">
      <c r="A1160" s="18">
        <v>1270.0</v>
      </c>
      <c r="B1160" s="18">
        <v>30.0</v>
      </c>
      <c r="C1160" s="25">
        <v>8.0</v>
      </c>
      <c r="D1160" s="20">
        <v>1.0</v>
      </c>
      <c r="E1160" s="20"/>
      <c r="F1160" s="22" t="s">
        <v>39</v>
      </c>
    </row>
    <row r="1161" ht="22.5" hidden="1" customHeight="1">
      <c r="A1161" s="20">
        <v>1271.0</v>
      </c>
      <c r="B1161" s="18">
        <v>30.0</v>
      </c>
      <c r="C1161" s="25">
        <v>9.0</v>
      </c>
      <c r="D1161" s="20">
        <v>1.0</v>
      </c>
      <c r="E1161" s="20"/>
      <c r="F1161" s="22" t="s">
        <v>39</v>
      </c>
    </row>
    <row r="1162" ht="22.5" hidden="1" customHeight="1">
      <c r="A1162" s="20">
        <v>1272.0</v>
      </c>
      <c r="B1162" s="18">
        <v>30.0</v>
      </c>
      <c r="C1162" s="25">
        <v>11.0</v>
      </c>
      <c r="D1162" s="20">
        <v>1.0</v>
      </c>
      <c r="E1162" s="20"/>
      <c r="F1162" s="22" t="s">
        <v>39</v>
      </c>
    </row>
    <row r="1163" ht="22.5" hidden="1" customHeight="1">
      <c r="A1163" s="18">
        <v>1273.0</v>
      </c>
      <c r="B1163" s="18">
        <v>30.0</v>
      </c>
      <c r="C1163" s="25">
        <v>12.0</v>
      </c>
      <c r="D1163" s="20">
        <v>1.0</v>
      </c>
      <c r="E1163" s="20"/>
      <c r="F1163" s="22" t="s">
        <v>39</v>
      </c>
    </row>
    <row r="1164" ht="22.5" hidden="1" customHeight="1">
      <c r="A1164" s="20">
        <v>1274.0</v>
      </c>
      <c r="B1164" s="18">
        <v>30.0</v>
      </c>
      <c r="C1164" s="25">
        <v>14.0</v>
      </c>
      <c r="D1164" s="20">
        <v>1.0</v>
      </c>
      <c r="E1164" s="20"/>
      <c r="F1164" s="22" t="s">
        <v>39</v>
      </c>
    </row>
    <row r="1165" ht="22.5" hidden="1" customHeight="1">
      <c r="A1165" s="20">
        <v>1275.0</v>
      </c>
      <c r="B1165" s="18">
        <v>30.0</v>
      </c>
      <c r="C1165" s="25">
        <v>15.0</v>
      </c>
      <c r="D1165" s="20">
        <v>1.0</v>
      </c>
      <c r="E1165" s="20"/>
      <c r="F1165" s="22" t="s">
        <v>39</v>
      </c>
    </row>
    <row r="1166" ht="22.5" hidden="1" customHeight="1">
      <c r="A1166" s="18">
        <v>1276.0</v>
      </c>
      <c r="B1166" s="18">
        <v>30.0</v>
      </c>
      <c r="C1166" s="25">
        <v>16.0</v>
      </c>
      <c r="D1166" s="20">
        <v>1.0</v>
      </c>
      <c r="E1166" s="20"/>
      <c r="F1166" s="22" t="s">
        <v>39</v>
      </c>
    </row>
    <row r="1167" ht="22.5" hidden="1" customHeight="1">
      <c r="A1167" s="20">
        <v>1277.0</v>
      </c>
      <c r="B1167" s="18">
        <v>30.0</v>
      </c>
      <c r="C1167" s="25">
        <v>17.0</v>
      </c>
      <c r="D1167" s="20">
        <v>1.0</v>
      </c>
      <c r="E1167" s="20"/>
      <c r="F1167" s="22" t="s">
        <v>39</v>
      </c>
    </row>
    <row r="1168" ht="22.5" hidden="1" customHeight="1">
      <c r="A1168" s="20">
        <v>1278.0</v>
      </c>
      <c r="B1168" s="18">
        <v>30.0</v>
      </c>
      <c r="C1168" s="25">
        <v>19.0</v>
      </c>
      <c r="D1168" s="20">
        <v>1.0</v>
      </c>
      <c r="E1168" s="20"/>
      <c r="F1168" s="22" t="s">
        <v>39</v>
      </c>
    </row>
    <row r="1169" ht="22.5" hidden="1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hidden="1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hidden="1" customHeight="1">
      <c r="A1171" s="20">
        <v>1281.0</v>
      </c>
      <c r="B1171" s="20">
        <v>43.0</v>
      </c>
      <c r="C1171" s="20">
        <v>4.0</v>
      </c>
      <c r="D1171" s="20">
        <v>1.0</v>
      </c>
      <c r="E1171" s="20"/>
      <c r="F1171" s="22" t="s">
        <v>39</v>
      </c>
    </row>
    <row r="1172" ht="22.5" hidden="1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hidden="1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hidden="1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hidden="1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hidden="1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hidden="1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hidden="1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469</v>
      </c>
      <c r="F1178" s="22" t="s">
        <v>39</v>
      </c>
    </row>
    <row r="1179" ht="22.5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470</v>
      </c>
      <c r="F1179" s="22" t="s">
        <v>39</v>
      </c>
    </row>
    <row r="1180" ht="22.5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470</v>
      </c>
      <c r="F1180" s="22" t="s">
        <v>39</v>
      </c>
    </row>
    <row r="1181" ht="22.5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470</v>
      </c>
      <c r="F1181" s="22" t="s">
        <v>39</v>
      </c>
    </row>
    <row r="1182" ht="22.5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470</v>
      </c>
      <c r="F1182" s="22" t="s">
        <v>39</v>
      </c>
    </row>
    <row r="1183" ht="22.5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470</v>
      </c>
      <c r="F1183" s="22" t="s">
        <v>39</v>
      </c>
    </row>
    <row r="1184" ht="22.5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470</v>
      </c>
      <c r="F1184" s="22" t="s">
        <v>39</v>
      </c>
    </row>
    <row r="1185" ht="22.5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470</v>
      </c>
      <c r="F1185" s="22" t="s">
        <v>39</v>
      </c>
    </row>
    <row r="1186" ht="22.5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470</v>
      </c>
      <c r="F1186" s="22" t="s">
        <v>39</v>
      </c>
    </row>
    <row r="1187" ht="22.5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470</v>
      </c>
      <c r="F1187" s="22" t="s">
        <v>39</v>
      </c>
    </row>
    <row r="1188" ht="22.5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470</v>
      </c>
      <c r="F1188" s="22" t="s">
        <v>39</v>
      </c>
    </row>
    <row r="1189" ht="22.5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470</v>
      </c>
      <c r="F1189" s="22" t="s">
        <v>39</v>
      </c>
    </row>
    <row r="1190" ht="22.5" hidden="1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39</v>
      </c>
    </row>
    <row r="1191" ht="22.5" hidden="1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39</v>
      </c>
    </row>
    <row r="1192" ht="22.5" hidden="1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39</v>
      </c>
    </row>
    <row r="1193" ht="22.5" hidden="1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39</v>
      </c>
    </row>
    <row r="1194" ht="22.5" hidden="1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39</v>
      </c>
    </row>
    <row r="1195" ht="22.5" hidden="1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39</v>
      </c>
    </row>
    <row r="1196" ht="22.5" hidden="1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39</v>
      </c>
    </row>
    <row r="1197" ht="22.5" hidden="1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39</v>
      </c>
    </row>
    <row r="1198" ht="22.5" hidden="1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39</v>
      </c>
    </row>
    <row r="1199" ht="22.5" hidden="1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39</v>
      </c>
    </row>
    <row r="1200" ht="22.5" hidden="1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39</v>
      </c>
    </row>
    <row r="1201" ht="22.5" hidden="1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39</v>
      </c>
    </row>
    <row r="1202" ht="22.5" hidden="1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39</v>
      </c>
    </row>
    <row r="1203" ht="22.5" hidden="1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39</v>
      </c>
    </row>
    <row r="1204" ht="22.5" hidden="1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39</v>
      </c>
    </row>
    <row r="1205" ht="22.5" hidden="1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39</v>
      </c>
    </row>
    <row r="1206" ht="22.5" hidden="1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39</v>
      </c>
    </row>
    <row r="1207" ht="22.5" hidden="1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39</v>
      </c>
    </row>
    <row r="1208" ht="22.5" hidden="1" customHeight="1">
      <c r="A1208" s="20">
        <v>1320.0</v>
      </c>
      <c r="B1208" s="20">
        <v>119.0</v>
      </c>
      <c r="C1208" s="25">
        <v>1.0</v>
      </c>
      <c r="D1208" s="20">
        <v>1.0</v>
      </c>
      <c r="E1208" s="20"/>
      <c r="F1208" s="22" t="s">
        <v>39</v>
      </c>
    </row>
    <row r="1209" ht="22.5" hidden="1" customHeight="1">
      <c r="A1209" s="20">
        <v>1321.0</v>
      </c>
      <c r="B1209" s="20">
        <v>119.0</v>
      </c>
      <c r="C1209" s="25">
        <v>8.0</v>
      </c>
      <c r="D1209" s="20">
        <v>1.0</v>
      </c>
      <c r="E1209" s="20"/>
      <c r="F1209" s="22" t="s">
        <v>39</v>
      </c>
    </row>
    <row r="1210" ht="22.5" hidden="1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39</v>
      </c>
    </row>
    <row r="1211">
      <c r="B1211" s="6"/>
      <c r="D1211" s="6"/>
      <c r="F1211" s="21"/>
      <c r="I1211" s="26"/>
    </row>
    <row r="1212">
      <c r="B1212" s="6"/>
      <c r="D1212" s="6"/>
      <c r="F1212" s="21"/>
      <c r="I1212" s="27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478</v>
      </c>
      <c r="B1" s="15" t="s">
        <v>2</v>
      </c>
      <c r="C1" s="15" t="s">
        <v>341</v>
      </c>
      <c r="D1" s="15" t="s">
        <v>479</v>
      </c>
      <c r="E1" s="15" t="s">
        <v>480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481</v>
      </c>
      <c r="F2" s="16" t="s">
        <v>347</v>
      </c>
    </row>
    <row r="3" ht="22.5" customHeight="1">
      <c r="A3" s="18">
        <v>2.0</v>
      </c>
      <c r="B3" s="18">
        <v>2.0</v>
      </c>
      <c r="C3" s="18">
        <v>1.0</v>
      </c>
      <c r="D3" s="18" t="s">
        <v>481</v>
      </c>
      <c r="F3" s="16" t="s">
        <v>347</v>
      </c>
    </row>
    <row r="4" ht="22.5" customHeight="1">
      <c r="A4" s="18">
        <v>3.0</v>
      </c>
      <c r="B4" s="18">
        <v>3.0</v>
      </c>
      <c r="C4" s="18">
        <v>1.0</v>
      </c>
      <c r="D4" s="18" t="s">
        <v>481</v>
      </c>
      <c r="F4" s="16" t="s">
        <v>347</v>
      </c>
    </row>
    <row r="5" ht="22.5" customHeight="1">
      <c r="A5" s="18">
        <v>4.0</v>
      </c>
      <c r="B5" s="18">
        <v>4.0</v>
      </c>
      <c r="C5" s="18">
        <v>1.0</v>
      </c>
      <c r="D5" s="18" t="s">
        <v>481</v>
      </c>
      <c r="F5" s="16" t="s">
        <v>347</v>
      </c>
    </row>
    <row r="6" ht="22.5" customHeight="1">
      <c r="A6" s="18">
        <v>5.0</v>
      </c>
      <c r="B6" s="18">
        <v>5.0</v>
      </c>
      <c r="C6" s="18">
        <v>1.0</v>
      </c>
      <c r="D6" s="18" t="s">
        <v>481</v>
      </c>
      <c r="F6" s="16" t="s">
        <v>347</v>
      </c>
    </row>
    <row r="7" ht="22.5" customHeight="1">
      <c r="A7" s="18">
        <v>6.0</v>
      </c>
      <c r="B7" s="18">
        <v>6.0</v>
      </c>
      <c r="C7" s="18">
        <v>1.0</v>
      </c>
      <c r="D7" s="18" t="s">
        <v>481</v>
      </c>
      <c r="F7" s="16" t="s">
        <v>347</v>
      </c>
    </row>
    <row r="8" ht="22.5" customHeight="1">
      <c r="A8" s="18">
        <v>7.0</v>
      </c>
      <c r="B8" s="18">
        <v>7.0</v>
      </c>
      <c r="C8" s="18">
        <v>1.0</v>
      </c>
      <c r="D8" s="18" t="s">
        <v>481</v>
      </c>
      <c r="F8" s="16" t="s">
        <v>347</v>
      </c>
    </row>
    <row r="9" ht="22.5" customHeight="1">
      <c r="A9" s="18">
        <v>8.0</v>
      </c>
      <c r="B9" s="18">
        <v>8.0</v>
      </c>
      <c r="C9" s="18">
        <v>1.0</v>
      </c>
      <c r="D9" s="18" t="s">
        <v>481</v>
      </c>
      <c r="F9" s="16" t="s">
        <v>347</v>
      </c>
    </row>
    <row r="10" ht="22.5" customHeight="1">
      <c r="A10" s="18">
        <v>9.0</v>
      </c>
      <c r="B10" s="18">
        <v>9.0</v>
      </c>
      <c r="C10" s="18">
        <v>1.0</v>
      </c>
      <c r="D10" s="18" t="s">
        <v>481</v>
      </c>
      <c r="F10" s="16" t="s">
        <v>347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481</v>
      </c>
      <c r="F11" s="16" t="s">
        <v>347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481</v>
      </c>
      <c r="F12" s="16" t="s">
        <v>347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481</v>
      </c>
      <c r="F13" s="16" t="s">
        <v>347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481</v>
      </c>
      <c r="F14" s="16" t="s">
        <v>347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481</v>
      </c>
      <c r="F15" s="16" t="s">
        <v>347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481</v>
      </c>
      <c r="F16" s="16" t="s">
        <v>347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481</v>
      </c>
      <c r="F17" s="16" t="s">
        <v>347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481</v>
      </c>
      <c r="F18" s="16" t="s">
        <v>347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481</v>
      </c>
      <c r="F19" s="16" t="s">
        <v>347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481</v>
      </c>
      <c r="F20" s="16" t="s">
        <v>347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481</v>
      </c>
      <c r="F21" s="16" t="s">
        <v>347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481</v>
      </c>
      <c r="F22" s="16" t="s">
        <v>347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481</v>
      </c>
      <c r="F23" s="16" t="s">
        <v>347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481</v>
      </c>
      <c r="F24" s="16" t="s">
        <v>347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481</v>
      </c>
      <c r="F25" s="16" t="s">
        <v>347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481</v>
      </c>
      <c r="F26" s="16" t="s">
        <v>347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481</v>
      </c>
      <c r="F27" s="16" t="s">
        <v>347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481</v>
      </c>
      <c r="F28" s="16" t="s">
        <v>347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481</v>
      </c>
      <c r="F29" s="16" t="s">
        <v>347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481</v>
      </c>
      <c r="F30" s="16" t="s">
        <v>347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481</v>
      </c>
      <c r="F31" s="16" t="s">
        <v>347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481</v>
      </c>
      <c r="F32" s="16" t="s">
        <v>347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481</v>
      </c>
      <c r="F33" s="16" t="s">
        <v>347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481</v>
      </c>
      <c r="F34" s="16" t="s">
        <v>347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481</v>
      </c>
      <c r="F35" s="16" t="s">
        <v>347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481</v>
      </c>
      <c r="F36" s="16" t="s">
        <v>347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481</v>
      </c>
      <c r="F37" s="16" t="s">
        <v>347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481</v>
      </c>
      <c r="F38" s="16" t="s">
        <v>347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481</v>
      </c>
      <c r="F39" s="16" t="s">
        <v>347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481</v>
      </c>
      <c r="F40" s="16" t="s">
        <v>347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481</v>
      </c>
      <c r="F41" s="16" t="s">
        <v>347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481</v>
      </c>
      <c r="F42" s="16" t="s">
        <v>347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481</v>
      </c>
      <c r="F43" s="16" t="s">
        <v>347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481</v>
      </c>
      <c r="F44" s="16" t="s">
        <v>347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481</v>
      </c>
      <c r="F45" s="16" t="s">
        <v>347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481</v>
      </c>
      <c r="F46" s="16" t="s">
        <v>347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481</v>
      </c>
      <c r="F47" s="16" t="s">
        <v>347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481</v>
      </c>
      <c r="F48" s="16" t="s">
        <v>347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481</v>
      </c>
      <c r="F49" s="16" t="s">
        <v>347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482</v>
      </c>
      <c r="E50" s="18" t="s">
        <v>483</v>
      </c>
      <c r="F50" s="16" t="s">
        <v>347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481</v>
      </c>
      <c r="F51" s="16" t="s">
        <v>347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481</v>
      </c>
      <c r="F52" s="16" t="s">
        <v>347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481</v>
      </c>
      <c r="F53" s="16" t="s">
        <v>347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481</v>
      </c>
      <c r="F54" s="16" t="s">
        <v>347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482</v>
      </c>
      <c r="E55" s="18" t="s">
        <v>484</v>
      </c>
      <c r="F55" s="16" t="s">
        <v>347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481</v>
      </c>
      <c r="F56" s="16" t="s">
        <v>347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481</v>
      </c>
      <c r="F57" s="16" t="s">
        <v>347</v>
      </c>
    </row>
    <row r="58" ht="22.5" customHeight="1">
      <c r="A58" s="18">
        <v>57.0</v>
      </c>
      <c r="B58" s="18">
        <v>1.0</v>
      </c>
      <c r="C58" s="18">
        <v>2.0</v>
      </c>
      <c r="D58" s="18" t="s">
        <v>481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481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481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481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481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481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481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481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481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481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481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481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481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481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481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481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481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481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481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481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481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481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481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481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481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481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481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481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481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481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481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481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481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481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481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481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481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481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481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481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481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481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481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481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481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481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481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481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481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481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481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481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482</v>
      </c>
      <c r="E110" s="18" t="s">
        <v>485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481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481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481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481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481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481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481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481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481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481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481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481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481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481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481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481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481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481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481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481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481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481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481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481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481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481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481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481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481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481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481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481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481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481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481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481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481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481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481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481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481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481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481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481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481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481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481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481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481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481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481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481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481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482</v>
      </c>
      <c r="E164" s="18" t="s">
        <v>486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481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481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481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481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481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481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481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481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481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481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481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481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481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481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481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481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481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481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481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481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481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481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481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481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481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481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481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481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481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481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481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481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481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481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481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481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481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481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481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482</v>
      </c>
      <c r="E204" s="18" t="s">
        <v>487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481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481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481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481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481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481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481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481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481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481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481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481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481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481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481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481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481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481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481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481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481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481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481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481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481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481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481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481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481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481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481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481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481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481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481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481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481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481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481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481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481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481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481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481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481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481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481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481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481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481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481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481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481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481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481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481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481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481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481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481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481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481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481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481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481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481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481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481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481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481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481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481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481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481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481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481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481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481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481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481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481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481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482</v>
      </c>
      <c r="E287" s="18" t="s">
        <v>488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481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481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481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481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481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481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481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481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481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481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481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481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481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481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481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481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481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481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481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481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481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481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481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481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481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481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481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481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481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481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481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481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481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481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481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481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481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481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481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481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481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481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481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481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481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481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481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481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481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481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481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481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481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481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481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481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481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481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481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481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481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481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481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481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481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481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482</v>
      </c>
      <c r="E354" s="18" t="s">
        <v>486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481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481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481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481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481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481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481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481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481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481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481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481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481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481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481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481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481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481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481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481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481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481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481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481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481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481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481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481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481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481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481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481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481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481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481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481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481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481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481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481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481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481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481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481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481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481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481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481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481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481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481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481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481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481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481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481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481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481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481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481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481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481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481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481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481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481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481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481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481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481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481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481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481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481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481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481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481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481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481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481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481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481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481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481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481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481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481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481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481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481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481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481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481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481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481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481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481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481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481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481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481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481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481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481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481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481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481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481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481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481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481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481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481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481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481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481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481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481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481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481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482</v>
      </c>
      <c r="E475" s="18" t="s">
        <v>489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481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482</v>
      </c>
      <c r="E477" s="18" t="s">
        <v>489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482</v>
      </c>
      <c r="E478" s="18" t="s">
        <v>490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481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481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481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481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481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481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481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481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481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481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481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482</v>
      </c>
      <c r="E490" s="18" t="s">
        <v>491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481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481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481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481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481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481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481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481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481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481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481</v>
      </c>
      <c r="F501" s="16" t="s">
        <v>347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481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481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481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481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481</v>
      </c>
      <c r="F506" s="16" t="s">
        <v>39</v>
      </c>
    </row>
    <row r="507" ht="22.5" customHeight="1">
      <c r="A507" s="18">
        <v>506.0</v>
      </c>
      <c r="B507" s="24">
        <v>1.0</v>
      </c>
      <c r="C507" s="18">
        <v>7.0</v>
      </c>
      <c r="D507" s="18" t="s">
        <v>481</v>
      </c>
      <c r="F507" s="16" t="s">
        <v>39</v>
      </c>
    </row>
    <row r="508" ht="22.5" customHeight="1">
      <c r="A508" s="18">
        <v>507.0</v>
      </c>
      <c r="B508" s="24">
        <v>2.0</v>
      </c>
      <c r="C508" s="18">
        <v>7.0</v>
      </c>
      <c r="D508" s="18" t="s">
        <v>481</v>
      </c>
      <c r="F508" s="16" t="s">
        <v>39</v>
      </c>
    </row>
    <row r="509" ht="22.5" customHeight="1">
      <c r="A509" s="18">
        <v>508.0</v>
      </c>
      <c r="B509" s="24">
        <v>3.0</v>
      </c>
      <c r="C509" s="18">
        <v>7.0</v>
      </c>
      <c r="D509" s="18" t="s">
        <v>481</v>
      </c>
      <c r="F509" s="16" t="s">
        <v>39</v>
      </c>
    </row>
    <row r="510" ht="22.5" customHeight="1">
      <c r="A510" s="18">
        <v>509.0</v>
      </c>
      <c r="B510" s="24">
        <v>4.0</v>
      </c>
      <c r="C510" s="18">
        <v>7.0</v>
      </c>
      <c r="D510" s="18" t="s">
        <v>481</v>
      </c>
      <c r="F510" s="16" t="s">
        <v>39</v>
      </c>
    </row>
    <row r="511" ht="22.5" customHeight="1">
      <c r="A511" s="18">
        <v>510.0</v>
      </c>
      <c r="B511" s="24">
        <v>5.0</v>
      </c>
      <c r="C511" s="18">
        <v>7.0</v>
      </c>
      <c r="D511" s="18" t="s">
        <v>481</v>
      </c>
      <c r="F511" s="16" t="s">
        <v>39</v>
      </c>
    </row>
    <row r="512" ht="22.5" customHeight="1">
      <c r="A512" s="18">
        <v>511.0</v>
      </c>
      <c r="B512" s="24">
        <v>6.0</v>
      </c>
      <c r="C512" s="18">
        <v>7.0</v>
      </c>
      <c r="D512" s="18" t="s">
        <v>481</v>
      </c>
      <c r="F512" s="16" t="s">
        <v>39</v>
      </c>
    </row>
    <row r="513" ht="22.5" customHeight="1">
      <c r="A513" s="18">
        <v>512.0</v>
      </c>
      <c r="B513" s="24">
        <v>7.0</v>
      </c>
      <c r="C513" s="18">
        <v>7.0</v>
      </c>
      <c r="D513" s="18" t="s">
        <v>481</v>
      </c>
      <c r="F513" s="16" t="s">
        <v>39</v>
      </c>
    </row>
    <row r="514" ht="22.5" customHeight="1">
      <c r="A514" s="18">
        <v>513.0</v>
      </c>
      <c r="B514" s="24">
        <v>8.0</v>
      </c>
      <c r="C514" s="18">
        <v>7.0</v>
      </c>
      <c r="D514" s="18" t="s">
        <v>481</v>
      </c>
      <c r="F514" s="16" t="s">
        <v>39</v>
      </c>
    </row>
    <row r="515" ht="22.5" customHeight="1">
      <c r="A515" s="18">
        <v>514.0</v>
      </c>
      <c r="B515" s="24">
        <v>9.0</v>
      </c>
      <c r="C515" s="18">
        <v>7.0</v>
      </c>
      <c r="D515" s="18" t="s">
        <v>481</v>
      </c>
      <c r="F515" s="16" t="s">
        <v>39</v>
      </c>
    </row>
    <row r="516" ht="22.5" customHeight="1">
      <c r="A516" s="18">
        <v>515.0</v>
      </c>
      <c r="B516" s="24">
        <v>10.0</v>
      </c>
      <c r="C516" s="18">
        <v>7.0</v>
      </c>
      <c r="D516" s="18" t="s">
        <v>481</v>
      </c>
      <c r="F516" s="16" t="s">
        <v>39</v>
      </c>
    </row>
    <row r="517" ht="22.5" customHeight="1">
      <c r="A517" s="18">
        <v>516.0</v>
      </c>
      <c r="B517" s="24">
        <v>11.0</v>
      </c>
      <c r="C517" s="18">
        <v>7.0</v>
      </c>
      <c r="D517" s="18" t="s">
        <v>481</v>
      </c>
      <c r="F517" s="16" t="s">
        <v>39</v>
      </c>
    </row>
    <row r="518" ht="22.5" customHeight="1">
      <c r="A518" s="18">
        <v>517.0</v>
      </c>
      <c r="B518" s="24">
        <v>12.0</v>
      </c>
      <c r="C518" s="18">
        <v>7.0</v>
      </c>
      <c r="D518" s="18" t="s">
        <v>481</v>
      </c>
      <c r="F518" s="16" t="s">
        <v>39</v>
      </c>
    </row>
    <row r="519" ht="22.5" customHeight="1">
      <c r="A519" s="18">
        <v>518.0</v>
      </c>
      <c r="B519" s="24">
        <v>13.0</v>
      </c>
      <c r="C519" s="18">
        <v>7.0</v>
      </c>
      <c r="D519" s="18" t="s">
        <v>481</v>
      </c>
      <c r="F519" s="16" t="s">
        <v>39</v>
      </c>
    </row>
    <row r="520" ht="22.5" customHeight="1">
      <c r="A520" s="18">
        <v>519.0</v>
      </c>
      <c r="B520" s="24">
        <v>14.0</v>
      </c>
      <c r="C520" s="18">
        <v>7.0</v>
      </c>
      <c r="D520" s="18" t="s">
        <v>481</v>
      </c>
      <c r="F520" s="16" t="s">
        <v>39</v>
      </c>
    </row>
    <row r="521" ht="22.5" customHeight="1">
      <c r="A521" s="18">
        <v>520.0</v>
      </c>
      <c r="B521" s="24">
        <v>15.0</v>
      </c>
      <c r="C521" s="18">
        <v>7.0</v>
      </c>
      <c r="D521" s="18" t="s">
        <v>481</v>
      </c>
      <c r="F521" s="16" t="s">
        <v>39</v>
      </c>
    </row>
    <row r="522" ht="22.5" customHeight="1">
      <c r="A522" s="18">
        <v>521.0</v>
      </c>
      <c r="B522" s="24">
        <v>16.0</v>
      </c>
      <c r="C522" s="18">
        <v>7.0</v>
      </c>
      <c r="D522" s="18" t="s">
        <v>481</v>
      </c>
      <c r="F522" s="16" t="s">
        <v>39</v>
      </c>
    </row>
    <row r="523" ht="22.5" customHeight="1">
      <c r="A523" s="18">
        <v>522.0</v>
      </c>
      <c r="B523" s="24">
        <v>17.0</v>
      </c>
      <c r="C523" s="18">
        <v>7.0</v>
      </c>
      <c r="D523" s="18" t="s">
        <v>481</v>
      </c>
      <c r="F523" s="16" t="s">
        <v>39</v>
      </c>
    </row>
    <row r="524" ht="22.5" customHeight="1">
      <c r="A524" s="18">
        <v>523.0</v>
      </c>
      <c r="B524" s="24">
        <v>18.0</v>
      </c>
      <c r="C524" s="18">
        <v>7.0</v>
      </c>
      <c r="D524" s="18" t="s">
        <v>481</v>
      </c>
      <c r="F524" s="16" t="s">
        <v>39</v>
      </c>
    </row>
    <row r="525" ht="22.5" customHeight="1">
      <c r="A525" s="18">
        <v>524.0</v>
      </c>
      <c r="B525" s="24">
        <v>19.0</v>
      </c>
      <c r="C525" s="18">
        <v>7.0</v>
      </c>
      <c r="D525" s="18" t="s">
        <v>481</v>
      </c>
      <c r="F525" s="16" t="s">
        <v>39</v>
      </c>
    </row>
    <row r="526" ht="22.5" customHeight="1">
      <c r="A526" s="18">
        <v>525.0</v>
      </c>
      <c r="B526" s="24">
        <v>20.0</v>
      </c>
      <c r="C526" s="18">
        <v>7.0</v>
      </c>
      <c r="D526" s="18" t="s">
        <v>481</v>
      </c>
      <c r="F526" s="16" t="s">
        <v>39</v>
      </c>
    </row>
    <row r="527" ht="22.5" customHeight="1">
      <c r="A527" s="18">
        <v>526.0</v>
      </c>
      <c r="B527" s="24">
        <v>21.0</v>
      </c>
      <c r="C527" s="18">
        <v>7.0</v>
      </c>
      <c r="D527" s="18" t="s">
        <v>481</v>
      </c>
      <c r="F527" s="16" t="s">
        <v>39</v>
      </c>
    </row>
    <row r="528" ht="22.5" customHeight="1">
      <c r="A528" s="18">
        <v>527.0</v>
      </c>
      <c r="B528" s="24">
        <v>22.0</v>
      </c>
      <c r="C528" s="18">
        <v>7.0</v>
      </c>
      <c r="D528" s="18" t="s">
        <v>481</v>
      </c>
      <c r="F528" s="16" t="s">
        <v>39</v>
      </c>
    </row>
    <row r="529" ht="22.5" customHeight="1">
      <c r="A529" s="18">
        <v>528.0</v>
      </c>
      <c r="B529" s="24">
        <v>23.0</v>
      </c>
      <c r="C529" s="18">
        <v>7.0</v>
      </c>
      <c r="D529" s="18" t="s">
        <v>481</v>
      </c>
      <c r="F529" s="16" t="s">
        <v>39</v>
      </c>
    </row>
    <row r="530" ht="22.5" customHeight="1">
      <c r="A530" s="18">
        <v>529.0</v>
      </c>
      <c r="B530" s="24">
        <v>24.0</v>
      </c>
      <c r="C530" s="18">
        <v>7.0</v>
      </c>
      <c r="D530" s="18" t="s">
        <v>481</v>
      </c>
      <c r="F530" s="16" t="s">
        <v>39</v>
      </c>
    </row>
    <row r="531" ht="22.5" customHeight="1">
      <c r="A531" s="18">
        <v>530.0</v>
      </c>
      <c r="B531" s="24">
        <v>25.0</v>
      </c>
      <c r="C531" s="18">
        <v>7.0</v>
      </c>
      <c r="D531" s="18" t="s">
        <v>481</v>
      </c>
      <c r="F531" s="16" t="s">
        <v>39</v>
      </c>
    </row>
    <row r="532" ht="22.5" customHeight="1">
      <c r="A532" s="18">
        <v>531.0</v>
      </c>
      <c r="B532" s="24">
        <v>26.0</v>
      </c>
      <c r="C532" s="18">
        <v>7.0</v>
      </c>
      <c r="D532" s="18" t="s">
        <v>481</v>
      </c>
      <c r="F532" s="16" t="s">
        <v>39</v>
      </c>
    </row>
    <row r="533" ht="22.5" customHeight="1">
      <c r="A533" s="18">
        <v>532.0</v>
      </c>
      <c r="B533" s="24">
        <v>27.0</v>
      </c>
      <c r="C533" s="18">
        <v>7.0</v>
      </c>
      <c r="D533" s="18" t="s">
        <v>481</v>
      </c>
      <c r="F533" s="16" t="s">
        <v>39</v>
      </c>
    </row>
    <row r="534" ht="22.5" customHeight="1">
      <c r="A534" s="18">
        <v>533.0</v>
      </c>
      <c r="B534" s="24">
        <v>28.0</v>
      </c>
      <c r="C534" s="18">
        <v>7.0</v>
      </c>
      <c r="D534" s="18" t="s">
        <v>481</v>
      </c>
      <c r="F534" s="16" t="s">
        <v>39</v>
      </c>
    </row>
    <row r="535" ht="22.5" customHeight="1">
      <c r="A535" s="18">
        <v>534.0</v>
      </c>
      <c r="B535" s="24">
        <v>29.0</v>
      </c>
      <c r="C535" s="18">
        <v>7.0</v>
      </c>
      <c r="D535" s="18" t="s">
        <v>481</v>
      </c>
      <c r="F535" s="16" t="s">
        <v>39</v>
      </c>
    </row>
    <row r="536" ht="22.5" customHeight="1">
      <c r="A536" s="18">
        <v>535.0</v>
      </c>
      <c r="B536" s="24">
        <v>30.0</v>
      </c>
      <c r="C536" s="18">
        <v>7.0</v>
      </c>
      <c r="D536" s="18" t="s">
        <v>481</v>
      </c>
      <c r="F536" s="16" t="s">
        <v>39</v>
      </c>
    </row>
    <row r="537" ht="22.5" customHeight="1">
      <c r="A537" s="18">
        <v>536.0</v>
      </c>
      <c r="B537" s="24">
        <v>31.0</v>
      </c>
      <c r="C537" s="18">
        <v>7.0</v>
      </c>
      <c r="D537" s="18" t="s">
        <v>481</v>
      </c>
      <c r="F537" s="16" t="s">
        <v>39</v>
      </c>
    </row>
    <row r="538" ht="22.5" customHeight="1">
      <c r="A538" s="18">
        <v>537.0</v>
      </c>
      <c r="B538" s="24">
        <v>32.0</v>
      </c>
      <c r="C538" s="18">
        <v>7.0</v>
      </c>
      <c r="D538" s="18" t="s">
        <v>481</v>
      </c>
      <c r="F538" s="16" t="s">
        <v>39</v>
      </c>
    </row>
    <row r="539" ht="22.5" customHeight="1">
      <c r="A539" s="18">
        <v>538.0</v>
      </c>
      <c r="B539" s="28">
        <v>33.0</v>
      </c>
      <c r="C539" s="18">
        <v>7.0</v>
      </c>
      <c r="D539" s="18" t="s">
        <v>481</v>
      </c>
      <c r="F539" s="16" t="s">
        <v>39</v>
      </c>
    </row>
    <row r="540" ht="22.5" customHeight="1">
      <c r="A540" s="18">
        <v>539.0</v>
      </c>
      <c r="B540" s="28">
        <v>63.0</v>
      </c>
      <c r="C540" s="18">
        <v>7.0</v>
      </c>
      <c r="D540" s="18" t="s">
        <v>481</v>
      </c>
      <c r="F540" s="16" t="s">
        <v>39</v>
      </c>
    </row>
    <row r="541" ht="22.5" customHeight="1">
      <c r="A541" s="18">
        <v>540.0</v>
      </c>
      <c r="B541" s="28">
        <v>64.0</v>
      </c>
      <c r="C541" s="18">
        <v>7.0</v>
      </c>
      <c r="D541" s="18" t="s">
        <v>481</v>
      </c>
      <c r="F541" s="16" t="s">
        <v>39</v>
      </c>
    </row>
    <row r="542" ht="22.5" customHeight="1">
      <c r="A542" s="18">
        <v>541.0</v>
      </c>
      <c r="B542" s="28">
        <v>66.0</v>
      </c>
      <c r="C542" s="18">
        <v>7.0</v>
      </c>
      <c r="D542" s="18" t="s">
        <v>481</v>
      </c>
      <c r="F542" s="16" t="s">
        <v>39</v>
      </c>
    </row>
    <row r="543" ht="22.5" customHeight="1">
      <c r="A543" s="18">
        <v>542.0</v>
      </c>
      <c r="B543" s="28">
        <v>67.0</v>
      </c>
      <c r="C543" s="18">
        <v>7.0</v>
      </c>
      <c r="D543" s="18" t="s">
        <v>481</v>
      </c>
      <c r="F543" s="16" t="s">
        <v>39</v>
      </c>
    </row>
    <row r="544" ht="22.5" customHeight="1">
      <c r="A544" s="18">
        <v>543.0</v>
      </c>
      <c r="B544" s="28">
        <v>111.0</v>
      </c>
      <c r="C544" s="18">
        <v>7.0</v>
      </c>
      <c r="D544" s="18" t="s">
        <v>481</v>
      </c>
      <c r="F544" s="16" t="s">
        <v>39</v>
      </c>
    </row>
    <row r="545" ht="22.5" customHeight="1">
      <c r="A545" s="18">
        <v>544.0</v>
      </c>
      <c r="B545" s="28">
        <v>82.0</v>
      </c>
      <c r="C545" s="18">
        <v>7.0</v>
      </c>
      <c r="D545" s="18" t="s">
        <v>481</v>
      </c>
      <c r="F545" s="16" t="s">
        <v>39</v>
      </c>
    </row>
    <row r="546" ht="22.5" customHeight="1">
      <c r="A546" s="18">
        <v>545.0</v>
      </c>
      <c r="B546" s="28">
        <v>76.0</v>
      </c>
      <c r="C546" s="18">
        <v>7.0</v>
      </c>
      <c r="D546" s="18" t="s">
        <v>481</v>
      </c>
      <c r="F546" s="16" t="s">
        <v>39</v>
      </c>
    </row>
    <row r="547" ht="22.5" customHeight="1">
      <c r="A547" s="18">
        <v>546.0</v>
      </c>
      <c r="B547" s="28">
        <v>78.0</v>
      </c>
      <c r="C547" s="18">
        <v>7.0</v>
      </c>
      <c r="D547" s="18" t="s">
        <v>481</v>
      </c>
      <c r="F547" s="16" t="s">
        <v>39</v>
      </c>
    </row>
    <row r="548" ht="22.5" customHeight="1">
      <c r="A548" s="18">
        <v>547.0</v>
      </c>
      <c r="B548" s="28">
        <v>93.0</v>
      </c>
      <c r="C548" s="18">
        <v>7.0</v>
      </c>
      <c r="D548" s="18" t="s">
        <v>481</v>
      </c>
      <c r="F548" s="16" t="s">
        <v>39</v>
      </c>
    </row>
    <row r="549" ht="22.5" customHeight="1">
      <c r="A549" s="18">
        <v>548.0</v>
      </c>
      <c r="B549" s="28">
        <v>94.0</v>
      </c>
      <c r="C549" s="18">
        <v>7.0</v>
      </c>
      <c r="D549" s="18" t="s">
        <v>481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481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481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481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481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481</v>
      </c>
      <c r="F554" s="16" t="s">
        <v>39</v>
      </c>
    </row>
    <row r="555" ht="22.5" customHeight="1">
      <c r="A555" s="18">
        <v>554.0</v>
      </c>
      <c r="B555" s="24">
        <v>1.0</v>
      </c>
      <c r="C555" s="18">
        <v>8.0</v>
      </c>
      <c r="D555" s="18" t="s">
        <v>481</v>
      </c>
      <c r="F555" s="16" t="s">
        <v>39</v>
      </c>
    </row>
    <row r="556" ht="22.5" customHeight="1">
      <c r="A556" s="18">
        <v>555.0</v>
      </c>
      <c r="B556" s="24">
        <v>2.0</v>
      </c>
      <c r="C556" s="18">
        <v>8.0</v>
      </c>
      <c r="D556" s="18" t="s">
        <v>481</v>
      </c>
      <c r="F556" s="16" t="s">
        <v>39</v>
      </c>
    </row>
    <row r="557" ht="22.5" customHeight="1">
      <c r="A557" s="18">
        <v>556.0</v>
      </c>
      <c r="B557" s="24">
        <v>3.0</v>
      </c>
      <c r="C557" s="18">
        <v>8.0</v>
      </c>
      <c r="D557" s="18" t="s">
        <v>481</v>
      </c>
      <c r="F557" s="16" t="s">
        <v>39</v>
      </c>
    </row>
    <row r="558" ht="22.5" customHeight="1">
      <c r="A558" s="18">
        <v>557.0</v>
      </c>
      <c r="B558" s="24">
        <v>4.0</v>
      </c>
      <c r="C558" s="18">
        <v>8.0</v>
      </c>
      <c r="D558" s="18" t="s">
        <v>481</v>
      </c>
      <c r="F558" s="16" t="s">
        <v>39</v>
      </c>
    </row>
    <row r="559" ht="22.5" customHeight="1">
      <c r="A559" s="18">
        <v>558.0</v>
      </c>
      <c r="B559" s="24">
        <v>5.0</v>
      </c>
      <c r="C559" s="18">
        <v>8.0</v>
      </c>
      <c r="D559" s="18" t="s">
        <v>481</v>
      </c>
      <c r="F559" s="16" t="s">
        <v>39</v>
      </c>
    </row>
    <row r="560" ht="22.5" customHeight="1">
      <c r="A560" s="18">
        <v>559.0</v>
      </c>
      <c r="B560" s="24">
        <v>6.0</v>
      </c>
      <c r="C560" s="18">
        <v>8.0</v>
      </c>
      <c r="D560" s="18" t="s">
        <v>481</v>
      </c>
      <c r="F560" s="16" t="s">
        <v>39</v>
      </c>
    </row>
    <row r="561" ht="22.5" customHeight="1">
      <c r="A561" s="18">
        <v>560.0</v>
      </c>
      <c r="B561" s="24">
        <v>7.0</v>
      </c>
      <c r="C561" s="18">
        <v>8.0</v>
      </c>
      <c r="D561" s="18" t="s">
        <v>481</v>
      </c>
      <c r="F561" s="16" t="s">
        <v>39</v>
      </c>
    </row>
    <row r="562" ht="22.5" customHeight="1">
      <c r="A562" s="18">
        <v>561.0</v>
      </c>
      <c r="B562" s="24">
        <v>8.0</v>
      </c>
      <c r="C562" s="18">
        <v>8.0</v>
      </c>
      <c r="D562" s="18" t="s">
        <v>481</v>
      </c>
      <c r="F562" s="16" t="s">
        <v>39</v>
      </c>
    </row>
    <row r="563" ht="22.5" customHeight="1">
      <c r="A563" s="18">
        <v>562.0</v>
      </c>
      <c r="B563" s="24">
        <v>9.0</v>
      </c>
      <c r="C563" s="18">
        <v>8.0</v>
      </c>
      <c r="D563" s="18" t="s">
        <v>481</v>
      </c>
      <c r="F563" s="16" t="s">
        <v>39</v>
      </c>
    </row>
    <row r="564" ht="22.5" customHeight="1">
      <c r="A564" s="18">
        <v>563.0</v>
      </c>
      <c r="B564" s="24">
        <v>10.0</v>
      </c>
      <c r="C564" s="18">
        <v>8.0</v>
      </c>
      <c r="D564" s="18" t="s">
        <v>481</v>
      </c>
      <c r="F564" s="16" t="s">
        <v>39</v>
      </c>
    </row>
    <row r="565" ht="22.5" customHeight="1">
      <c r="A565" s="18">
        <v>564.0</v>
      </c>
      <c r="B565" s="24">
        <v>11.0</v>
      </c>
      <c r="C565" s="18">
        <v>8.0</v>
      </c>
      <c r="D565" s="18" t="s">
        <v>481</v>
      </c>
      <c r="F565" s="16" t="s">
        <v>39</v>
      </c>
    </row>
    <row r="566" ht="22.5" customHeight="1">
      <c r="A566" s="18">
        <v>565.0</v>
      </c>
      <c r="B566" s="24">
        <v>12.0</v>
      </c>
      <c r="C566" s="18">
        <v>8.0</v>
      </c>
      <c r="D566" s="18" t="s">
        <v>481</v>
      </c>
      <c r="F566" s="16" t="s">
        <v>39</v>
      </c>
    </row>
    <row r="567" ht="22.5" customHeight="1">
      <c r="A567" s="18">
        <v>566.0</v>
      </c>
      <c r="B567" s="24">
        <v>13.0</v>
      </c>
      <c r="C567" s="18">
        <v>8.0</v>
      </c>
      <c r="D567" s="18" t="s">
        <v>481</v>
      </c>
      <c r="F567" s="16" t="s">
        <v>39</v>
      </c>
    </row>
    <row r="568" ht="22.5" customHeight="1">
      <c r="A568" s="18">
        <v>567.0</v>
      </c>
      <c r="B568" s="24">
        <v>14.0</v>
      </c>
      <c r="C568" s="18">
        <v>8.0</v>
      </c>
      <c r="D568" s="18" t="s">
        <v>481</v>
      </c>
      <c r="F568" s="16" t="s">
        <v>39</v>
      </c>
    </row>
    <row r="569" ht="22.5" customHeight="1">
      <c r="A569" s="18">
        <v>568.0</v>
      </c>
      <c r="B569" s="24">
        <v>15.0</v>
      </c>
      <c r="C569" s="18">
        <v>8.0</v>
      </c>
      <c r="D569" s="18" t="s">
        <v>481</v>
      </c>
      <c r="F569" s="16" t="s">
        <v>39</v>
      </c>
    </row>
    <row r="570" ht="22.5" customHeight="1">
      <c r="A570" s="18">
        <v>569.0</v>
      </c>
      <c r="B570" s="24">
        <v>16.0</v>
      </c>
      <c r="C570" s="18">
        <v>8.0</v>
      </c>
      <c r="D570" s="18" t="s">
        <v>481</v>
      </c>
      <c r="F570" s="16" t="s">
        <v>39</v>
      </c>
    </row>
    <row r="571" ht="22.5" customHeight="1">
      <c r="A571" s="18">
        <v>570.0</v>
      </c>
      <c r="B571" s="24">
        <v>17.0</v>
      </c>
      <c r="C571" s="18">
        <v>8.0</v>
      </c>
      <c r="D571" s="18" t="s">
        <v>481</v>
      </c>
      <c r="F571" s="16" t="s">
        <v>39</v>
      </c>
    </row>
    <row r="572" ht="22.5" customHeight="1">
      <c r="A572" s="18">
        <v>571.0</v>
      </c>
      <c r="B572" s="24">
        <v>18.0</v>
      </c>
      <c r="C572" s="18">
        <v>8.0</v>
      </c>
      <c r="D572" s="18" t="s">
        <v>481</v>
      </c>
      <c r="F572" s="16" t="s">
        <v>39</v>
      </c>
    </row>
    <row r="573" ht="22.5" customHeight="1">
      <c r="A573" s="18">
        <v>572.0</v>
      </c>
      <c r="B573" s="24">
        <v>19.0</v>
      </c>
      <c r="C573" s="18">
        <v>8.0</v>
      </c>
      <c r="D573" s="18" t="s">
        <v>481</v>
      </c>
      <c r="F573" s="16" t="s">
        <v>39</v>
      </c>
    </row>
    <row r="574" ht="22.5" customHeight="1">
      <c r="A574" s="18">
        <v>573.0</v>
      </c>
      <c r="B574" s="24">
        <v>20.0</v>
      </c>
      <c r="C574" s="18">
        <v>8.0</v>
      </c>
      <c r="D574" s="18" t="s">
        <v>481</v>
      </c>
      <c r="F574" s="16" t="s">
        <v>39</v>
      </c>
    </row>
    <row r="575" ht="22.5" customHeight="1">
      <c r="A575" s="18">
        <v>574.0</v>
      </c>
      <c r="B575" s="24">
        <v>21.0</v>
      </c>
      <c r="C575" s="18">
        <v>8.0</v>
      </c>
      <c r="D575" s="18" t="s">
        <v>481</v>
      </c>
      <c r="F575" s="16" t="s">
        <v>39</v>
      </c>
    </row>
    <row r="576" ht="22.5" customHeight="1">
      <c r="A576" s="18">
        <v>575.0</v>
      </c>
      <c r="B576" s="24">
        <v>22.0</v>
      </c>
      <c r="C576" s="18">
        <v>8.0</v>
      </c>
      <c r="D576" s="18" t="s">
        <v>481</v>
      </c>
      <c r="F576" s="16" t="s">
        <v>39</v>
      </c>
    </row>
    <row r="577" ht="22.5" customHeight="1">
      <c r="A577" s="18">
        <v>576.0</v>
      </c>
      <c r="B577" s="24">
        <v>23.0</v>
      </c>
      <c r="C577" s="18">
        <v>8.0</v>
      </c>
      <c r="D577" s="18" t="s">
        <v>481</v>
      </c>
      <c r="F577" s="16" t="s">
        <v>39</v>
      </c>
    </row>
    <row r="578" ht="22.5" customHeight="1">
      <c r="A578" s="18">
        <v>577.0</v>
      </c>
      <c r="B578" s="24">
        <v>24.0</v>
      </c>
      <c r="C578" s="18">
        <v>8.0</v>
      </c>
      <c r="D578" s="18" t="s">
        <v>481</v>
      </c>
      <c r="F578" s="16" t="s">
        <v>39</v>
      </c>
    </row>
    <row r="579" ht="22.5" customHeight="1">
      <c r="A579" s="18">
        <v>578.0</v>
      </c>
      <c r="B579" s="24">
        <v>25.0</v>
      </c>
      <c r="C579" s="18">
        <v>8.0</v>
      </c>
      <c r="D579" s="18" t="s">
        <v>481</v>
      </c>
      <c r="F579" s="16" t="s">
        <v>39</v>
      </c>
    </row>
    <row r="580" ht="22.5" customHeight="1">
      <c r="A580" s="18">
        <v>579.0</v>
      </c>
      <c r="B580" s="24">
        <v>26.0</v>
      </c>
      <c r="C580" s="18">
        <v>8.0</v>
      </c>
      <c r="D580" s="18" t="s">
        <v>481</v>
      </c>
      <c r="F580" s="16" t="s">
        <v>39</v>
      </c>
    </row>
    <row r="581" ht="22.5" customHeight="1">
      <c r="A581" s="18">
        <v>580.0</v>
      </c>
      <c r="B581" s="24">
        <v>27.0</v>
      </c>
      <c r="C581" s="18">
        <v>8.0</v>
      </c>
      <c r="D581" s="18" t="s">
        <v>481</v>
      </c>
      <c r="F581" s="16" t="s">
        <v>39</v>
      </c>
    </row>
    <row r="582" ht="22.5" customHeight="1">
      <c r="A582" s="18">
        <v>581.0</v>
      </c>
      <c r="B582" s="24">
        <v>28.0</v>
      </c>
      <c r="C582" s="18">
        <v>8.0</v>
      </c>
      <c r="D582" s="18" t="s">
        <v>481</v>
      </c>
      <c r="F582" s="16" t="s">
        <v>39</v>
      </c>
    </row>
    <row r="583" ht="22.5" customHeight="1">
      <c r="A583" s="18">
        <v>582.0</v>
      </c>
      <c r="B583" s="24">
        <v>29.0</v>
      </c>
      <c r="C583" s="18">
        <v>8.0</v>
      </c>
      <c r="D583" s="18" t="s">
        <v>481</v>
      </c>
      <c r="F583" s="16" t="s">
        <v>39</v>
      </c>
    </row>
    <row r="584" ht="22.5" customHeight="1">
      <c r="A584" s="18">
        <v>583.0</v>
      </c>
      <c r="B584" s="24">
        <v>30.0</v>
      </c>
      <c r="C584" s="18">
        <v>8.0</v>
      </c>
      <c r="D584" s="18" t="s">
        <v>481</v>
      </c>
      <c r="F584" s="16" t="s">
        <v>39</v>
      </c>
    </row>
    <row r="585" ht="22.5" customHeight="1">
      <c r="A585" s="18">
        <v>584.0</v>
      </c>
      <c r="B585" s="24">
        <v>31.0</v>
      </c>
      <c r="C585" s="18">
        <v>8.0</v>
      </c>
      <c r="D585" s="18" t="s">
        <v>481</v>
      </c>
      <c r="F585" s="16" t="s">
        <v>39</v>
      </c>
    </row>
    <row r="586" ht="22.5" customHeight="1">
      <c r="A586" s="18">
        <v>585.0</v>
      </c>
      <c r="B586" s="24">
        <v>32.0</v>
      </c>
      <c r="C586" s="18">
        <v>8.0</v>
      </c>
      <c r="D586" s="18" t="s">
        <v>481</v>
      </c>
      <c r="F586" s="16" t="s">
        <v>39</v>
      </c>
    </row>
    <row r="587" ht="22.5" customHeight="1">
      <c r="A587" s="18">
        <v>586.0</v>
      </c>
      <c r="B587" s="24">
        <v>33.0</v>
      </c>
      <c r="C587" s="18">
        <v>8.0</v>
      </c>
      <c r="D587" s="18" t="s">
        <v>481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481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481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481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481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481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481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481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481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481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481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481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481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481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481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481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481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481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481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481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481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481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481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481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481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481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481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482</v>
      </c>
      <c r="E614" s="18" t="s">
        <v>489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482</v>
      </c>
      <c r="E615" s="18" t="s">
        <v>489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481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481</v>
      </c>
      <c r="F617" s="16" t="s">
        <v>39</v>
      </c>
    </row>
    <row r="618" ht="22.5" customHeight="1">
      <c r="A618" s="18">
        <v>618.0</v>
      </c>
      <c r="B618" s="24">
        <v>1.0</v>
      </c>
      <c r="C618" s="18">
        <v>10.0</v>
      </c>
      <c r="D618" s="18" t="s">
        <v>481</v>
      </c>
      <c r="F618" s="16" t="s">
        <v>39</v>
      </c>
    </row>
    <row r="619" ht="22.5" customHeight="1">
      <c r="A619" s="18">
        <v>619.0</v>
      </c>
      <c r="B619" s="24">
        <v>2.0</v>
      </c>
      <c r="C619" s="18">
        <v>10.0</v>
      </c>
      <c r="D619" s="18" t="s">
        <v>481</v>
      </c>
      <c r="F619" s="16" t="s">
        <v>39</v>
      </c>
    </row>
    <row r="620" ht="22.5" customHeight="1">
      <c r="A620" s="18">
        <v>620.0</v>
      </c>
      <c r="B620" s="24">
        <v>3.0</v>
      </c>
      <c r="C620" s="18">
        <v>10.0</v>
      </c>
      <c r="D620" s="18" t="s">
        <v>481</v>
      </c>
      <c r="F620" s="16" t="s">
        <v>39</v>
      </c>
    </row>
    <row r="621" ht="22.5" customHeight="1">
      <c r="A621" s="18">
        <v>621.0</v>
      </c>
      <c r="B621" s="24">
        <v>4.0</v>
      </c>
      <c r="C621" s="18">
        <v>10.0</v>
      </c>
      <c r="D621" s="18" t="s">
        <v>481</v>
      </c>
      <c r="F621" s="16" t="s">
        <v>39</v>
      </c>
    </row>
    <row r="622" ht="22.5" customHeight="1">
      <c r="A622" s="18">
        <v>622.0</v>
      </c>
      <c r="B622" s="24">
        <v>5.0</v>
      </c>
      <c r="C622" s="18">
        <v>10.0</v>
      </c>
      <c r="D622" s="18" t="s">
        <v>481</v>
      </c>
      <c r="F622" s="16" t="s">
        <v>39</v>
      </c>
    </row>
    <row r="623" ht="22.5" customHeight="1">
      <c r="A623" s="18">
        <v>623.0</v>
      </c>
      <c r="B623" s="24">
        <v>6.0</v>
      </c>
      <c r="C623" s="18">
        <v>10.0</v>
      </c>
      <c r="D623" s="18" t="s">
        <v>481</v>
      </c>
      <c r="F623" s="16" t="s">
        <v>39</v>
      </c>
    </row>
    <row r="624" ht="22.5" customHeight="1">
      <c r="A624" s="18">
        <v>624.0</v>
      </c>
      <c r="B624" s="24">
        <v>7.0</v>
      </c>
      <c r="C624" s="18">
        <v>10.0</v>
      </c>
      <c r="D624" s="18" t="s">
        <v>481</v>
      </c>
      <c r="F624" s="16" t="s">
        <v>39</v>
      </c>
    </row>
    <row r="625" ht="22.5" customHeight="1">
      <c r="A625" s="18">
        <v>625.0</v>
      </c>
      <c r="B625" s="24">
        <v>8.0</v>
      </c>
      <c r="C625" s="18">
        <v>10.0</v>
      </c>
      <c r="D625" s="18" t="s">
        <v>481</v>
      </c>
      <c r="F625" s="16" t="s">
        <v>39</v>
      </c>
    </row>
    <row r="626" ht="22.5" customHeight="1">
      <c r="A626" s="18">
        <v>626.0</v>
      </c>
      <c r="B626" s="24">
        <v>9.0</v>
      </c>
      <c r="C626" s="18">
        <v>10.0</v>
      </c>
      <c r="D626" s="18" t="s">
        <v>481</v>
      </c>
      <c r="F626" s="16" t="s">
        <v>39</v>
      </c>
    </row>
    <row r="627" ht="22.5" customHeight="1">
      <c r="A627" s="18">
        <v>627.0</v>
      </c>
      <c r="B627" s="24">
        <v>10.0</v>
      </c>
      <c r="C627" s="18">
        <v>10.0</v>
      </c>
      <c r="D627" s="18" t="s">
        <v>481</v>
      </c>
      <c r="F627" s="16" t="s">
        <v>39</v>
      </c>
    </row>
    <row r="628" ht="22.5" customHeight="1">
      <c r="A628" s="18">
        <v>628.0</v>
      </c>
      <c r="B628" s="24">
        <v>11.0</v>
      </c>
      <c r="C628" s="18">
        <v>10.0</v>
      </c>
      <c r="D628" s="18" t="s">
        <v>481</v>
      </c>
      <c r="F628" s="16" t="s">
        <v>39</v>
      </c>
    </row>
    <row r="629" ht="22.5" customHeight="1">
      <c r="A629" s="18">
        <v>629.0</v>
      </c>
      <c r="B629" s="24">
        <v>12.0</v>
      </c>
      <c r="C629" s="18">
        <v>10.0</v>
      </c>
      <c r="D629" s="18" t="s">
        <v>481</v>
      </c>
      <c r="F629" s="16" t="s">
        <v>39</v>
      </c>
    </row>
    <row r="630" ht="22.5" customHeight="1">
      <c r="A630" s="18">
        <v>630.0</v>
      </c>
      <c r="B630" s="24">
        <v>13.0</v>
      </c>
      <c r="C630" s="18">
        <v>10.0</v>
      </c>
      <c r="D630" s="18" t="s">
        <v>481</v>
      </c>
      <c r="F630" s="16" t="s">
        <v>39</v>
      </c>
    </row>
    <row r="631" ht="22.5" customHeight="1">
      <c r="A631" s="18">
        <v>631.0</v>
      </c>
      <c r="B631" s="24">
        <v>14.0</v>
      </c>
      <c r="C631" s="18">
        <v>10.0</v>
      </c>
      <c r="D631" s="18" t="s">
        <v>481</v>
      </c>
      <c r="F631" s="16" t="s">
        <v>39</v>
      </c>
    </row>
    <row r="632" ht="22.5" customHeight="1">
      <c r="A632" s="18">
        <v>632.0</v>
      </c>
      <c r="B632" s="24">
        <v>15.0</v>
      </c>
      <c r="C632" s="18">
        <v>10.0</v>
      </c>
      <c r="D632" s="18" t="s">
        <v>481</v>
      </c>
      <c r="F632" s="16" t="s">
        <v>39</v>
      </c>
    </row>
    <row r="633" ht="22.5" customHeight="1">
      <c r="A633" s="18">
        <v>633.0</v>
      </c>
      <c r="B633" s="24">
        <v>16.0</v>
      </c>
      <c r="C633" s="18">
        <v>10.0</v>
      </c>
      <c r="D633" s="18" t="s">
        <v>481</v>
      </c>
      <c r="F633" s="16" t="s">
        <v>39</v>
      </c>
    </row>
    <row r="634" ht="22.5" customHeight="1">
      <c r="A634" s="18">
        <v>634.0</v>
      </c>
      <c r="B634" s="24">
        <v>17.0</v>
      </c>
      <c r="C634" s="18">
        <v>10.0</v>
      </c>
      <c r="D634" s="18" t="s">
        <v>481</v>
      </c>
      <c r="F634" s="16" t="s">
        <v>39</v>
      </c>
    </row>
    <row r="635" ht="22.5" customHeight="1">
      <c r="A635" s="18">
        <v>635.0</v>
      </c>
      <c r="B635" s="24">
        <v>18.0</v>
      </c>
      <c r="C635" s="18">
        <v>10.0</v>
      </c>
      <c r="D635" s="18" t="s">
        <v>481</v>
      </c>
      <c r="F635" s="16" t="s">
        <v>39</v>
      </c>
    </row>
    <row r="636" ht="22.5" customHeight="1">
      <c r="A636" s="18">
        <v>636.0</v>
      </c>
      <c r="B636" s="24">
        <v>19.0</v>
      </c>
      <c r="C636" s="18">
        <v>10.0</v>
      </c>
      <c r="D636" s="18" t="s">
        <v>481</v>
      </c>
      <c r="F636" s="16" t="s">
        <v>39</v>
      </c>
    </row>
    <row r="637" ht="22.5" customHeight="1">
      <c r="A637" s="18">
        <v>637.0</v>
      </c>
      <c r="B637" s="24">
        <v>20.0</v>
      </c>
      <c r="C637" s="18">
        <v>10.0</v>
      </c>
      <c r="D637" s="18" t="s">
        <v>481</v>
      </c>
      <c r="F637" s="16" t="s">
        <v>39</v>
      </c>
    </row>
    <row r="638" ht="22.5" customHeight="1">
      <c r="A638" s="18">
        <v>638.0</v>
      </c>
      <c r="B638" s="24">
        <v>21.0</v>
      </c>
      <c r="C638" s="18">
        <v>10.0</v>
      </c>
      <c r="D638" s="18" t="s">
        <v>481</v>
      </c>
      <c r="F638" s="16" t="s">
        <v>39</v>
      </c>
    </row>
    <row r="639" ht="22.5" customHeight="1">
      <c r="A639" s="18">
        <v>639.0</v>
      </c>
      <c r="B639" s="24">
        <v>22.0</v>
      </c>
      <c r="C639" s="18">
        <v>10.0</v>
      </c>
      <c r="D639" s="18" t="s">
        <v>481</v>
      </c>
      <c r="F639" s="16" t="s">
        <v>39</v>
      </c>
    </row>
    <row r="640" ht="22.5" customHeight="1">
      <c r="A640" s="18">
        <v>640.0</v>
      </c>
      <c r="B640" s="24">
        <v>23.0</v>
      </c>
      <c r="C640" s="18">
        <v>10.0</v>
      </c>
      <c r="D640" s="18" t="s">
        <v>481</v>
      </c>
      <c r="F640" s="16" t="s">
        <v>39</v>
      </c>
    </row>
    <row r="641" ht="22.5" customHeight="1">
      <c r="A641" s="18">
        <v>641.0</v>
      </c>
      <c r="B641" s="24">
        <v>24.0</v>
      </c>
      <c r="C641" s="18">
        <v>10.0</v>
      </c>
      <c r="D641" s="18" t="s">
        <v>481</v>
      </c>
      <c r="F641" s="16" t="s">
        <v>39</v>
      </c>
    </row>
    <row r="642" ht="22.5" customHeight="1">
      <c r="A642" s="18">
        <v>642.0</v>
      </c>
      <c r="B642" s="24">
        <v>25.0</v>
      </c>
      <c r="C642" s="18">
        <v>10.0</v>
      </c>
      <c r="D642" s="18" t="s">
        <v>481</v>
      </c>
      <c r="F642" s="16" t="s">
        <v>39</v>
      </c>
    </row>
    <row r="643" ht="22.5" customHeight="1">
      <c r="A643" s="18">
        <v>643.0</v>
      </c>
      <c r="B643" s="24">
        <v>26.0</v>
      </c>
      <c r="C643" s="18">
        <v>10.0</v>
      </c>
      <c r="D643" s="18" t="s">
        <v>481</v>
      </c>
      <c r="F643" s="16" t="s">
        <v>39</v>
      </c>
    </row>
    <row r="644" ht="22.5" customHeight="1">
      <c r="A644" s="18">
        <v>644.0</v>
      </c>
      <c r="B644" s="24">
        <v>27.0</v>
      </c>
      <c r="C644" s="18">
        <v>10.0</v>
      </c>
      <c r="D644" s="18" t="s">
        <v>481</v>
      </c>
      <c r="F644" s="16" t="s">
        <v>39</v>
      </c>
    </row>
    <row r="645" ht="22.5" customHeight="1">
      <c r="A645" s="18">
        <v>645.0</v>
      </c>
      <c r="B645" s="24">
        <v>28.0</v>
      </c>
      <c r="C645" s="18">
        <v>10.0</v>
      </c>
      <c r="D645" s="18" t="s">
        <v>481</v>
      </c>
      <c r="F645" s="16" t="s">
        <v>39</v>
      </c>
    </row>
    <row r="646" ht="22.5" customHeight="1">
      <c r="A646" s="18">
        <v>646.0</v>
      </c>
      <c r="B646" s="24">
        <v>29.0</v>
      </c>
      <c r="C646" s="18">
        <v>10.0</v>
      </c>
      <c r="D646" s="18" t="s">
        <v>481</v>
      </c>
      <c r="F646" s="16" t="s">
        <v>39</v>
      </c>
    </row>
    <row r="647" ht="22.5" customHeight="1">
      <c r="A647" s="18">
        <v>647.0</v>
      </c>
      <c r="B647" s="24">
        <v>30.0</v>
      </c>
      <c r="C647" s="18">
        <v>10.0</v>
      </c>
      <c r="D647" s="18" t="s">
        <v>481</v>
      </c>
      <c r="F647" s="16" t="s">
        <v>39</v>
      </c>
    </row>
    <row r="648" ht="22.5" customHeight="1">
      <c r="A648" s="18">
        <v>648.0</v>
      </c>
      <c r="B648" s="24">
        <v>31.0</v>
      </c>
      <c r="C648" s="18">
        <v>10.0</v>
      </c>
      <c r="D648" s="18" t="s">
        <v>481</v>
      </c>
      <c r="F648" s="16" t="s">
        <v>39</v>
      </c>
    </row>
    <row r="649" ht="22.5" customHeight="1">
      <c r="A649" s="18">
        <v>649.0</v>
      </c>
      <c r="B649" s="24">
        <v>32.0</v>
      </c>
      <c r="C649" s="18">
        <v>10.0</v>
      </c>
      <c r="D649" s="18" t="s">
        <v>481</v>
      </c>
      <c r="F649" s="16" t="s">
        <v>39</v>
      </c>
    </row>
    <row r="650" ht="22.5" customHeight="1">
      <c r="A650" s="18">
        <v>650.0</v>
      </c>
      <c r="B650" s="24">
        <v>33.0</v>
      </c>
      <c r="C650" s="18">
        <v>10.0</v>
      </c>
      <c r="D650" s="18" t="s">
        <v>481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481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481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481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481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481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481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481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481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481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481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481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482</v>
      </c>
      <c r="E662" s="18" t="s">
        <v>492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481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481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481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481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481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481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481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481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481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481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481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481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481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481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481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482</v>
      </c>
      <c r="E678" s="18" t="s">
        <v>493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481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481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481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481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481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481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481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481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481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481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481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481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481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481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481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481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481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481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481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481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481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481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481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481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481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481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481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481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481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481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481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481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481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481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481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481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481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481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481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481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481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481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481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481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481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481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481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481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481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481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481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481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481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481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481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481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481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481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481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481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481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481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481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481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481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481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481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481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481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481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481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481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481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481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481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481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481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481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481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481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481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481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481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481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481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481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481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481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481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481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481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481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481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481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481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481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481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481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481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481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481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481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481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481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481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481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481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481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481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481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481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481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481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481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481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481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481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481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481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481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481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481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481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481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481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481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481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481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481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481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481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481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481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481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481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481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481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481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481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481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481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481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481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481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481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481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481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481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481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481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481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481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481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481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481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481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481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481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481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481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481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481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481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481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481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481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481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481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481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481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481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481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481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481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481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481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481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481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481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481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481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481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481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481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481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481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481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481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481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481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481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481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481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481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481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481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481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481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481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481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481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481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481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481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481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481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481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481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481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481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481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481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481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481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481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481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481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481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481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481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481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481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481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481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481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481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481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481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481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481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481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481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481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481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481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481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481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481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481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481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481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481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481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481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481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481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481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481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481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481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481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481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481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481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481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481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481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481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481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481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481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481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481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481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481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481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481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481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481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481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481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481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481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481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481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481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481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481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481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481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481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481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481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481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481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481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481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481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481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481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481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482</v>
      </c>
      <c r="E970" s="18" t="s">
        <v>494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481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481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481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481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481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481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481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481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481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481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481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481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481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481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481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481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481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481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481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481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481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481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481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481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481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482</v>
      </c>
      <c r="E996" s="18" t="s">
        <v>495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481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481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481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481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481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481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481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481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481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481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481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481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481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481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481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481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481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481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481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481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481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481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481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481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481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481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481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481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481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481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481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481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481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481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481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481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481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481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481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481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481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481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481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481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481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481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481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481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481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481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481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481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481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481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481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481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481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481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481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481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481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481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481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481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481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481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481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481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481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481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481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481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481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481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481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481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481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481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481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481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481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481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481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481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481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481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481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481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481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481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481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481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481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481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481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481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481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481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481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481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481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481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481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481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481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481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481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481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481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481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481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481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481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481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481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481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481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481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481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481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481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481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481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481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481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481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481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481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481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481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481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481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481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481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481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481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481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481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481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481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481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481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481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481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481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481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481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481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481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481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481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481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481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481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481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481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481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481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481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481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481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481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481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481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481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481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481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481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481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481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481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481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481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481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481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481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481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481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481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481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481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481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481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481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481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481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481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481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481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481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481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481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481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481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481</v>
      </c>
      <c r="F1191" s="16" t="s">
        <v>347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481</v>
      </c>
      <c r="F1192" s="16" t="s">
        <v>347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481</v>
      </c>
      <c r="F1193" s="16" t="s">
        <v>347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481</v>
      </c>
      <c r="F1194" s="16" t="s">
        <v>347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481</v>
      </c>
      <c r="F1195" s="16" t="s">
        <v>347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481</v>
      </c>
      <c r="F1196" s="16" t="s">
        <v>347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481</v>
      </c>
      <c r="F1197" s="16" t="s">
        <v>347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481</v>
      </c>
      <c r="F1198" s="16" t="s">
        <v>347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481</v>
      </c>
      <c r="F1199" s="16" t="s">
        <v>347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481</v>
      </c>
      <c r="F1200" s="16" t="s">
        <v>347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481</v>
      </c>
      <c r="F1201" s="16" t="s">
        <v>347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481</v>
      </c>
      <c r="F1202" s="16" t="s">
        <v>347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481</v>
      </c>
      <c r="F1203" s="16" t="s">
        <v>347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481</v>
      </c>
      <c r="F1204" s="16" t="s">
        <v>347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481</v>
      </c>
      <c r="F1205" s="16" t="s">
        <v>347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481</v>
      </c>
      <c r="F1206" s="16" t="s">
        <v>347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481</v>
      </c>
      <c r="F1207" s="16" t="s">
        <v>347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481</v>
      </c>
      <c r="F1208" s="16" t="s">
        <v>347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481</v>
      </c>
      <c r="F1209" s="16" t="s">
        <v>347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481</v>
      </c>
      <c r="F1210" s="16" t="s">
        <v>347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481</v>
      </c>
      <c r="F1211" s="16" t="s">
        <v>347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481</v>
      </c>
      <c r="F1212" s="16" t="s">
        <v>347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481</v>
      </c>
      <c r="F1213" s="16" t="s">
        <v>347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481</v>
      </c>
      <c r="F1214" s="16" t="s">
        <v>347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481</v>
      </c>
      <c r="F1215" s="16" t="s">
        <v>347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481</v>
      </c>
      <c r="F1216" s="16" t="s">
        <v>347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481</v>
      </c>
      <c r="F1217" s="16" t="s">
        <v>347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481</v>
      </c>
      <c r="F1218" s="16" t="s">
        <v>347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481</v>
      </c>
      <c r="F1219" s="16" t="s">
        <v>347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481</v>
      </c>
      <c r="F1220" s="16" t="s">
        <v>347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481</v>
      </c>
      <c r="F1221" s="16" t="s">
        <v>347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481</v>
      </c>
      <c r="F1222" s="16" t="s">
        <v>347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481</v>
      </c>
      <c r="F1223" s="16" t="s">
        <v>347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481</v>
      </c>
      <c r="F1224" s="16" t="s">
        <v>347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481</v>
      </c>
      <c r="F1225" s="16" t="s">
        <v>347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481</v>
      </c>
      <c r="F1226" s="16" t="s">
        <v>347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481</v>
      </c>
      <c r="F1227" s="16" t="s">
        <v>347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481</v>
      </c>
      <c r="F1228" s="16" t="s">
        <v>347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481</v>
      </c>
      <c r="F1229" s="16" t="s">
        <v>347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481</v>
      </c>
      <c r="F1230" s="16" t="s">
        <v>347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481</v>
      </c>
      <c r="F1231" s="16" t="s">
        <v>347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481</v>
      </c>
      <c r="F1232" s="16" t="s">
        <v>347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481</v>
      </c>
      <c r="F1233" s="16" t="s">
        <v>347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481</v>
      </c>
      <c r="F1234" s="16" t="s">
        <v>347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481</v>
      </c>
      <c r="F1235" s="16" t="s">
        <v>347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481</v>
      </c>
      <c r="F1236" s="16" t="s">
        <v>347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481</v>
      </c>
      <c r="F1237" s="16" t="s">
        <v>347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481</v>
      </c>
      <c r="F1238" s="16" t="s">
        <v>347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481</v>
      </c>
      <c r="F1239" s="16" t="s">
        <v>347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481</v>
      </c>
      <c r="F1240" s="16" t="s">
        <v>347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481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481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481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481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481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481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481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481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481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481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481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481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481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481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481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481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481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481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481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481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481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481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481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481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481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481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481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481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481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481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481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481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481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481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481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481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481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481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481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481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481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481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481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481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481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481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481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481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481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481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481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481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481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481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481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481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481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481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481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481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481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481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481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481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481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481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481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481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481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481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481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481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482</v>
      </c>
      <c r="E1313" s="18" t="s">
        <v>496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481</v>
      </c>
      <c r="F1314" s="16" t="s">
        <v>347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481</v>
      </c>
      <c r="F1315" s="16" t="s">
        <v>347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481</v>
      </c>
      <c r="F1316" s="16" t="s">
        <v>347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481</v>
      </c>
      <c r="F1317" s="16" t="s">
        <v>347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481</v>
      </c>
      <c r="F1318" s="16" t="s">
        <v>347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481</v>
      </c>
      <c r="F1319" s="16" t="s">
        <v>347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481</v>
      </c>
      <c r="F1320" s="16" t="s">
        <v>347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481</v>
      </c>
      <c r="F1321" s="16" t="s">
        <v>347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481</v>
      </c>
      <c r="F1322" s="16" t="s">
        <v>347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481</v>
      </c>
      <c r="F1323" s="16" t="s">
        <v>347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481</v>
      </c>
      <c r="F1324" s="16" t="s">
        <v>347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481</v>
      </c>
      <c r="F1325" s="16" t="s">
        <v>347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481</v>
      </c>
      <c r="F1326" s="16" t="s">
        <v>347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481</v>
      </c>
      <c r="F1327" s="16" t="s">
        <v>347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481</v>
      </c>
      <c r="F1328" s="16" t="s">
        <v>347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481</v>
      </c>
      <c r="F1329" s="16" t="s">
        <v>347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481</v>
      </c>
      <c r="F1330" s="16" t="s">
        <v>347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481</v>
      </c>
      <c r="F1331" s="16" t="s">
        <v>347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481</v>
      </c>
      <c r="F1332" s="16" t="s">
        <v>347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481</v>
      </c>
      <c r="F1333" s="16" t="s">
        <v>347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481</v>
      </c>
      <c r="F1334" s="16" t="s">
        <v>347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481</v>
      </c>
      <c r="F1335" s="16" t="s">
        <v>347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481</v>
      </c>
      <c r="F1336" s="16" t="s">
        <v>347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481</v>
      </c>
      <c r="F1337" s="16" t="s">
        <v>347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481</v>
      </c>
      <c r="F1338" s="16" t="s">
        <v>347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481</v>
      </c>
      <c r="F1339" s="16" t="s">
        <v>347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481</v>
      </c>
      <c r="F1340" s="16" t="s">
        <v>347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481</v>
      </c>
      <c r="F1341" s="16" t="s">
        <v>347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481</v>
      </c>
      <c r="F1342" s="16" t="s">
        <v>347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481</v>
      </c>
      <c r="F1343" s="16" t="s">
        <v>347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481</v>
      </c>
      <c r="F1344" s="16" t="s">
        <v>347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481</v>
      </c>
      <c r="F1345" s="16" t="s">
        <v>347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481</v>
      </c>
      <c r="F1346" s="16" t="s">
        <v>347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481</v>
      </c>
      <c r="F1347" s="16" t="s">
        <v>347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481</v>
      </c>
      <c r="F1348" s="16" t="s">
        <v>347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481</v>
      </c>
      <c r="F1349" s="16" t="s">
        <v>347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481</v>
      </c>
      <c r="F1350" s="16" t="s">
        <v>347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481</v>
      </c>
      <c r="F1351" s="16" t="s">
        <v>347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481</v>
      </c>
      <c r="F1352" s="16" t="s">
        <v>347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481</v>
      </c>
      <c r="F1353" s="16" t="s">
        <v>347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481</v>
      </c>
      <c r="F1354" s="16" t="s">
        <v>347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481</v>
      </c>
      <c r="F1355" s="16" t="s">
        <v>347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481</v>
      </c>
      <c r="F1356" s="16" t="s">
        <v>347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481</v>
      </c>
      <c r="F1357" s="16" t="s">
        <v>347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481</v>
      </c>
      <c r="F1358" s="16" t="s">
        <v>347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481</v>
      </c>
      <c r="F1359" s="16" t="s">
        <v>347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481</v>
      </c>
      <c r="F1360" s="16" t="s">
        <v>347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481</v>
      </c>
      <c r="F1361" s="16" t="s">
        <v>347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481</v>
      </c>
      <c r="F1362" s="16" t="s">
        <v>347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481</v>
      </c>
      <c r="F1363" s="16" t="s">
        <v>347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481</v>
      </c>
      <c r="F1364" s="16" t="s">
        <v>347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481</v>
      </c>
      <c r="F1365" s="16" t="s">
        <v>347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481</v>
      </c>
      <c r="F1366" s="16" t="s">
        <v>347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481</v>
      </c>
      <c r="F1367" s="16" t="s">
        <v>347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481</v>
      </c>
      <c r="F1368" s="16" t="s">
        <v>347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481</v>
      </c>
      <c r="F1369" s="16" t="s">
        <v>347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481</v>
      </c>
      <c r="F1370" s="16" t="s">
        <v>347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481</v>
      </c>
      <c r="F1371" s="16" t="s">
        <v>347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481</v>
      </c>
      <c r="F1372" s="16" t="s">
        <v>347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481</v>
      </c>
      <c r="F1373" s="16" t="s">
        <v>347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481</v>
      </c>
      <c r="F1374" s="16" t="s">
        <v>347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481</v>
      </c>
      <c r="F1375" s="16" t="s">
        <v>347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481</v>
      </c>
      <c r="F1376" s="16" t="s">
        <v>347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481</v>
      </c>
      <c r="F1377" s="16" t="s">
        <v>347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481</v>
      </c>
      <c r="F1378" s="16" t="s">
        <v>347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481</v>
      </c>
      <c r="F1379" s="16" t="s">
        <v>347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481</v>
      </c>
      <c r="F1380" s="16" t="s">
        <v>347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481</v>
      </c>
      <c r="F1381" s="16" t="s">
        <v>347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481</v>
      </c>
      <c r="F1382" s="16" t="s">
        <v>347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481</v>
      </c>
      <c r="F1383" s="16" t="s">
        <v>347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481</v>
      </c>
      <c r="F1384" s="16" t="s">
        <v>347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481</v>
      </c>
      <c r="F1385" s="16" t="s">
        <v>347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481</v>
      </c>
      <c r="F1386" s="16" t="s">
        <v>347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481</v>
      </c>
      <c r="F1387" s="16" t="s">
        <v>347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481</v>
      </c>
      <c r="F1388" s="16" t="s">
        <v>347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481</v>
      </c>
      <c r="F1389" s="16" t="s">
        <v>347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481</v>
      </c>
      <c r="F1390" s="16" t="s">
        <v>347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481</v>
      </c>
      <c r="F1391" s="16" t="s">
        <v>347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481</v>
      </c>
      <c r="F1392" s="16" t="s">
        <v>347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481</v>
      </c>
      <c r="F1393" s="16" t="s">
        <v>347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481</v>
      </c>
      <c r="F1394" s="16" t="s">
        <v>347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481</v>
      </c>
      <c r="F1395" s="16" t="s">
        <v>347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481</v>
      </c>
      <c r="F1396" s="16" t="s">
        <v>347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481</v>
      </c>
      <c r="F1397" s="16" t="s">
        <v>347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481</v>
      </c>
      <c r="F1398" s="16" t="s">
        <v>347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481</v>
      </c>
      <c r="F1399" s="16" t="s">
        <v>347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481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481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481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481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481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481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481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481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481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481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481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481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481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481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481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481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481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481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481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481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481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481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481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481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481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481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481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481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481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481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481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482</v>
      </c>
      <c r="E1431" s="18" t="s">
        <v>497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481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481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481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481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481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481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481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482</v>
      </c>
      <c r="E1439" s="18" t="s">
        <v>489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481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481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481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481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481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481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481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481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481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481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481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481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481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481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481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481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481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481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481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481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481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481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481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481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481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481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481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481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481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481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481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481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481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481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481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481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481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481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481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481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481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481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481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481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481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481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481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481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481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481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481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481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481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481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481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481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481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481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481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481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481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481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481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481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481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481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481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481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481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481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481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481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481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481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481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481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481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481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481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481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481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482</v>
      </c>
      <c r="E1521" s="18" t="s">
        <v>489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481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481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481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481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481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481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481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481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481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481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481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481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481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481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481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481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481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481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481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481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481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481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481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481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481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481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481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481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481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481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481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481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481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481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481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481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481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481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481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481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481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481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481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481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481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481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481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481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481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481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481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481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481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481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481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481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481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481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481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481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481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481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481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481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481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481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481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481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481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481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481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481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481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481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481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481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481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481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481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481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481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481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481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481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481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481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481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481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481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481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481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481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481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481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481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481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481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481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481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481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481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481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481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481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481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481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481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481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481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481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481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481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481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481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481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481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481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481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481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481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481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481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481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481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481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481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481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481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481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481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481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481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481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481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481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481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481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481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481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481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481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481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481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481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481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481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481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481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481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481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481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481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481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481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481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481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481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481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481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481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481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481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481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481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481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481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481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481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481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481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481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481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481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481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481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481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481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481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481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481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481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481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481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481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481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481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481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481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481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481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481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481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481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481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481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481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481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481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481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481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481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481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481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481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481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481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481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481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481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481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481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481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481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481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481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481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481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481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481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481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481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481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481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481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481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481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481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481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481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481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481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481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481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481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481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481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481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481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481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481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481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481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481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481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481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481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481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481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481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481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481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481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481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481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481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481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481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481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481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481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481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481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481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481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481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481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481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481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481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481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481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481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481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481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481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481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481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481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481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481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481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481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481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481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481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481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481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481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481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481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481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481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481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481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481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481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481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481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481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481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481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481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481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481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481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481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481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481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481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481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481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481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481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481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482</v>
      </c>
      <c r="E1836" s="18" t="s">
        <v>489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482</v>
      </c>
      <c r="E1837" s="18" t="s">
        <v>489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481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481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481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481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481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481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481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481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481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481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481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481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481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481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481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481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481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482</v>
      </c>
      <c r="E1855" s="18" t="s">
        <v>498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481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481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481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481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481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481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481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481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481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481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481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481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481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481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481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481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481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481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481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481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481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481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481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481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481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481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481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481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481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481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481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481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481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481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481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481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481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481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481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481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481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481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481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481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481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481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481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481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481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481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481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481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481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481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481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481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481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481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481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481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481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481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481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481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481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481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481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481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481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481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481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481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481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481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481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481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481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481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481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481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481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481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481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481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481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481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481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481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481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481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481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481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481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481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481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481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481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481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481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481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481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481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481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481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481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481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481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481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481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481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481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481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481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481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481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481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482</v>
      </c>
      <c r="E1972" s="18" t="s">
        <v>486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481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481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481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481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481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481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481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481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481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481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481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481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481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481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481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481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481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481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481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481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481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481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481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481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481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481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481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481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481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481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481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481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481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481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481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481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481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481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481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481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481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481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481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481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481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481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481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481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481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481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481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481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481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481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481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481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481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481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481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481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481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481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481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481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481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481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481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481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481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481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481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481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481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481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481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481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481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481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481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481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481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481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481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481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481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482</v>
      </c>
      <c r="E2058" s="18" t="s">
        <v>499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481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481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481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481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481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481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481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481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481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481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481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481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481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481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481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481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481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481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481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481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481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481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481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481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481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481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481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481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481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481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481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481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481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481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481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481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481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481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481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481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481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481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481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481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481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481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481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481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481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481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481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481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481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481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481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481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481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481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481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481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481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481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481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481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481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481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481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481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481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481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481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481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481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481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481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481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481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481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481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481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481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481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481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481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481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481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481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481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481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481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481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481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482</v>
      </c>
      <c r="E2151" s="18" t="s">
        <v>500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481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482</v>
      </c>
      <c r="E2153" s="18" t="s">
        <v>500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482</v>
      </c>
      <c r="E2154" s="18" t="s">
        <v>501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481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481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481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481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481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481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481</v>
      </c>
      <c r="F2161" s="16" t="s">
        <v>347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481</v>
      </c>
      <c r="F2162" s="16" t="s">
        <v>347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481</v>
      </c>
      <c r="F2163" s="16" t="s">
        <v>347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481</v>
      </c>
      <c r="F2164" s="16" t="s">
        <v>347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481</v>
      </c>
      <c r="F2165" s="16" t="s">
        <v>347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481</v>
      </c>
      <c r="F2166" s="16" t="s">
        <v>347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481</v>
      </c>
      <c r="F2167" s="16" t="s">
        <v>347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481</v>
      </c>
      <c r="F2168" s="16" t="s">
        <v>347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481</v>
      </c>
      <c r="F2169" s="16" t="s">
        <v>347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481</v>
      </c>
      <c r="F2170" s="16" t="s">
        <v>347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481</v>
      </c>
      <c r="F2171" s="16" t="s">
        <v>347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481</v>
      </c>
      <c r="F2172" s="16" t="s">
        <v>347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481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481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481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481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481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481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481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481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481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482</v>
      </c>
      <c r="E2182" s="18" t="s">
        <v>486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481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481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481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481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481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481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481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481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481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481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481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481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481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481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481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481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481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481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481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481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481</v>
      </c>
      <c r="F2203" s="16" t="s">
        <v>347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481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481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481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481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481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481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481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481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481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481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481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481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481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481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481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481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481</v>
      </c>
      <c r="F2220" s="16" t="s">
        <v>347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481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481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481</v>
      </c>
      <c r="F2223" s="16" t="s">
        <v>347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481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481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481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481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481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481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481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481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481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481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481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481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481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481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481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481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481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481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481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481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481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481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481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481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481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481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481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481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481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481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481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481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481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481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481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481</v>
      </c>
      <c r="E2259" s="29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481</v>
      </c>
      <c r="E2260" s="29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481</v>
      </c>
      <c r="E2261" s="29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481</v>
      </c>
      <c r="E2262" s="29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481</v>
      </c>
      <c r="E2263" s="29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481</v>
      </c>
      <c r="E2264" s="29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481</v>
      </c>
      <c r="E2265" s="29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481</v>
      </c>
      <c r="E2266" s="29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481</v>
      </c>
      <c r="E2267" s="29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481</v>
      </c>
      <c r="E2268" s="29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481</v>
      </c>
      <c r="E2269" s="29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481</v>
      </c>
      <c r="E2270" s="29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481</v>
      </c>
      <c r="E2271" s="29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481</v>
      </c>
      <c r="E2272" s="29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481</v>
      </c>
      <c r="E2273" s="29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481</v>
      </c>
      <c r="E2274" s="29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481</v>
      </c>
      <c r="E2275" s="29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481</v>
      </c>
      <c r="E2276" s="29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481</v>
      </c>
      <c r="E2277" s="29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481</v>
      </c>
      <c r="E2278" s="29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481</v>
      </c>
      <c r="E2279" s="29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481</v>
      </c>
      <c r="E2280" s="29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481</v>
      </c>
      <c r="E2281" s="29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481</v>
      </c>
      <c r="E2282" s="29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481</v>
      </c>
      <c r="E2283" s="29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481</v>
      </c>
      <c r="E2284" s="29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481</v>
      </c>
      <c r="E2285" s="29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481</v>
      </c>
      <c r="E2286" s="29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481</v>
      </c>
      <c r="E2287" s="29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482</v>
      </c>
      <c r="E2288" s="20" t="s">
        <v>502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481</v>
      </c>
      <c r="E2289" s="29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481</v>
      </c>
      <c r="E2290" s="29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481</v>
      </c>
      <c r="E2291" s="29"/>
      <c r="F2291" s="16" t="s">
        <v>347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481</v>
      </c>
      <c r="E2292" s="29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481</v>
      </c>
      <c r="E2293" s="29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481</v>
      </c>
      <c r="E2294" s="29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481</v>
      </c>
      <c r="E2295" s="29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481</v>
      </c>
      <c r="E2296" s="29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481</v>
      </c>
      <c r="E2297" s="29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481</v>
      </c>
      <c r="E2298" s="29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481</v>
      </c>
      <c r="E2299" s="29"/>
      <c r="F2299" s="16" t="s">
        <v>347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481</v>
      </c>
      <c r="E2300" s="29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481</v>
      </c>
      <c r="E2301" s="29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481</v>
      </c>
      <c r="E2302" s="29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481</v>
      </c>
      <c r="E2303" s="29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481</v>
      </c>
      <c r="E2304" s="29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481</v>
      </c>
      <c r="E2305" s="29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481</v>
      </c>
      <c r="E2306" s="29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481</v>
      </c>
      <c r="E2307" s="29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481</v>
      </c>
      <c r="E2308" s="29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481</v>
      </c>
      <c r="E2309" s="29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481</v>
      </c>
      <c r="E2310" s="29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481</v>
      </c>
      <c r="E2311" s="29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481</v>
      </c>
      <c r="E2312" s="29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481</v>
      </c>
      <c r="E2313" s="29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481</v>
      </c>
      <c r="E2314" s="29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481</v>
      </c>
      <c r="E2315" s="29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481</v>
      </c>
      <c r="E2316" s="29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481</v>
      </c>
      <c r="E2317" s="29"/>
      <c r="F2317" s="16" t="s">
        <v>347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481</v>
      </c>
      <c r="E2318" s="29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481</v>
      </c>
      <c r="E2319" s="29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481</v>
      </c>
      <c r="E2320" s="29"/>
      <c r="F2320" s="16" t="s">
        <v>347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481</v>
      </c>
      <c r="E2321" s="29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482</v>
      </c>
      <c r="E2322" s="20" t="s">
        <v>503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481</v>
      </c>
      <c r="E2323" s="29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481</v>
      </c>
      <c r="E2324" s="29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481</v>
      </c>
      <c r="E2325" s="29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481</v>
      </c>
      <c r="E2326" s="29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481</v>
      </c>
      <c r="E2327" s="29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481</v>
      </c>
      <c r="E2328" s="29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481</v>
      </c>
      <c r="E2329" s="29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481</v>
      </c>
      <c r="E2330" s="29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481</v>
      </c>
      <c r="E2331" s="29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481</v>
      </c>
      <c r="E2332" s="29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481</v>
      </c>
      <c r="E2333" s="29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481</v>
      </c>
      <c r="E2334" s="29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481</v>
      </c>
      <c r="E2335" s="29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481</v>
      </c>
      <c r="E2336" s="29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481</v>
      </c>
      <c r="E2337" s="29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481</v>
      </c>
      <c r="E2338" s="29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481</v>
      </c>
      <c r="E2339" s="29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481</v>
      </c>
      <c r="E2340" s="29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481</v>
      </c>
      <c r="E2341" s="29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481</v>
      </c>
      <c r="E2342" s="29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481</v>
      </c>
      <c r="E2343" s="29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481</v>
      </c>
      <c r="E2344" s="29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481</v>
      </c>
      <c r="E2345" s="29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481</v>
      </c>
      <c r="E2346" s="29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481</v>
      </c>
      <c r="E2347" s="29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481</v>
      </c>
      <c r="E2348" s="29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481</v>
      </c>
      <c r="E2349" s="29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481</v>
      </c>
      <c r="E2350" s="29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481</v>
      </c>
      <c r="E2351" s="29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481</v>
      </c>
      <c r="E2352" s="29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481</v>
      </c>
      <c r="E2353" s="29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481</v>
      </c>
      <c r="E2354" s="29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481</v>
      </c>
      <c r="E2355" s="29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481</v>
      </c>
      <c r="E2356" s="29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481</v>
      </c>
      <c r="E2357" s="29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481</v>
      </c>
      <c r="E2358" s="29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481</v>
      </c>
      <c r="E2359" s="29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481</v>
      </c>
      <c r="E2360" s="29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481</v>
      </c>
      <c r="E2361" s="29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481</v>
      </c>
      <c r="E2362" s="29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481</v>
      </c>
      <c r="E2363" s="29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481</v>
      </c>
      <c r="E2364" s="29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481</v>
      </c>
      <c r="E2365" s="29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481</v>
      </c>
      <c r="E2366" s="29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481</v>
      </c>
      <c r="E2367" s="29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481</v>
      </c>
      <c r="E2368" s="29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481</v>
      </c>
      <c r="E2369" s="29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481</v>
      </c>
      <c r="E2370" s="29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481</v>
      </c>
      <c r="E2371" s="29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481</v>
      </c>
      <c r="E2372" s="29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481</v>
      </c>
      <c r="E2373" s="29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481</v>
      </c>
      <c r="E2374" s="29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481</v>
      </c>
      <c r="E2375" s="29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481</v>
      </c>
      <c r="E2376" s="29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481</v>
      </c>
      <c r="E2377" s="29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481</v>
      </c>
      <c r="E2378" s="29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481</v>
      </c>
      <c r="E2379" s="29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481</v>
      </c>
      <c r="E2380" s="29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481</v>
      </c>
      <c r="E2381" s="29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481</v>
      </c>
      <c r="E2382" s="29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481</v>
      </c>
      <c r="E2383" s="29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481</v>
      </c>
      <c r="E2384" s="29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481</v>
      </c>
      <c r="E2385" s="29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481</v>
      </c>
      <c r="E2386" s="29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481</v>
      </c>
      <c r="E2387" s="29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481</v>
      </c>
      <c r="E2388" s="29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481</v>
      </c>
      <c r="E2389" s="29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481</v>
      </c>
      <c r="E2390" s="29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481</v>
      </c>
      <c r="E2391" s="29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481</v>
      </c>
      <c r="E2392" s="29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481</v>
      </c>
      <c r="E2393" s="29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481</v>
      </c>
      <c r="E2394" s="29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481</v>
      </c>
      <c r="E2395" s="29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481</v>
      </c>
      <c r="E2396" s="29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481</v>
      </c>
      <c r="E2397" s="29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481</v>
      </c>
      <c r="E2398" s="29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481</v>
      </c>
      <c r="E2399" s="29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481</v>
      </c>
      <c r="E2400" s="29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481</v>
      </c>
      <c r="E2401" s="29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481</v>
      </c>
      <c r="E2402" s="29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481</v>
      </c>
      <c r="E2403" s="29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481</v>
      </c>
      <c r="E2404" s="29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481</v>
      </c>
      <c r="E2405" s="29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481</v>
      </c>
      <c r="E2406" s="29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481</v>
      </c>
      <c r="E2407" s="29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481</v>
      </c>
      <c r="E2408" s="29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481</v>
      </c>
      <c r="E2409" s="29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481</v>
      </c>
      <c r="E2410" s="29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481</v>
      </c>
      <c r="E2411" s="29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481</v>
      </c>
      <c r="E2412" s="29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481</v>
      </c>
      <c r="E2413" s="29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481</v>
      </c>
      <c r="E2414" s="29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481</v>
      </c>
      <c r="E2415" s="29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481</v>
      </c>
      <c r="E2416" s="29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481</v>
      </c>
      <c r="E2417" s="29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481</v>
      </c>
      <c r="E2418" s="29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481</v>
      </c>
      <c r="E2419" s="29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481</v>
      </c>
      <c r="E2420" s="29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481</v>
      </c>
      <c r="E2421" s="29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481</v>
      </c>
      <c r="E2422" s="29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481</v>
      </c>
      <c r="E2423" s="29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481</v>
      </c>
      <c r="E2424" s="29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481</v>
      </c>
      <c r="E2425" s="29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481</v>
      </c>
      <c r="E2426" s="29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481</v>
      </c>
      <c r="E2427" s="29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481</v>
      </c>
      <c r="E2428" s="29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481</v>
      </c>
      <c r="E2429" s="29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481</v>
      </c>
      <c r="E2430" s="29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481</v>
      </c>
      <c r="E2431" s="29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481</v>
      </c>
      <c r="E2432" s="29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481</v>
      </c>
      <c r="E2433" s="29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481</v>
      </c>
      <c r="E2434" s="29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504</v>
      </c>
      <c r="B1" s="15" t="s">
        <v>2</v>
      </c>
      <c r="C1" s="15" t="s">
        <v>415</v>
      </c>
      <c r="D1" s="15" t="s">
        <v>299</v>
      </c>
      <c r="E1" s="15" t="s">
        <v>505</v>
      </c>
      <c r="F1" s="15" t="s">
        <v>405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customHeight="1">
      <c r="A2" s="28">
        <v>1.0</v>
      </c>
      <c r="B2" s="24">
        <v>1.0</v>
      </c>
      <c r="C2" s="18">
        <v>28.0</v>
      </c>
      <c r="D2" s="24">
        <v>1.0</v>
      </c>
      <c r="E2" s="18" t="b">
        <v>1</v>
      </c>
      <c r="G2" s="19" t="s">
        <v>39</v>
      </c>
    </row>
    <row r="3" ht="22.5" customHeight="1">
      <c r="A3" s="28">
        <v>2.0</v>
      </c>
      <c r="B3" s="28">
        <v>1.0</v>
      </c>
      <c r="C3" s="18">
        <v>29.0</v>
      </c>
      <c r="D3" s="28">
        <v>1.0</v>
      </c>
      <c r="E3" s="18" t="b">
        <v>0</v>
      </c>
      <c r="G3" s="19" t="s">
        <v>39</v>
      </c>
    </row>
    <row r="4" ht="22.5" customHeight="1">
      <c r="A4" s="28">
        <v>3.0</v>
      </c>
      <c r="B4" s="24">
        <v>2.0</v>
      </c>
      <c r="C4" s="18">
        <v>28.0</v>
      </c>
      <c r="D4" s="24">
        <v>1.0</v>
      </c>
      <c r="E4" s="18" t="b">
        <v>1</v>
      </c>
      <c r="G4" s="19" t="s">
        <v>39</v>
      </c>
    </row>
    <row r="5" ht="22.5" customHeight="1">
      <c r="A5" s="28">
        <v>4.0</v>
      </c>
      <c r="B5" s="28">
        <v>2.0</v>
      </c>
      <c r="C5" s="18">
        <v>29.0</v>
      </c>
      <c r="D5" s="28">
        <v>1.0</v>
      </c>
      <c r="E5" s="18" t="b">
        <v>0</v>
      </c>
      <c r="G5" s="19" t="s">
        <v>39</v>
      </c>
    </row>
    <row r="6" ht="22.5" customHeight="1">
      <c r="A6" s="28">
        <v>5.0</v>
      </c>
      <c r="B6" s="28">
        <v>3.0</v>
      </c>
      <c r="C6" s="18">
        <v>28.0</v>
      </c>
      <c r="D6" s="28">
        <v>1.0</v>
      </c>
      <c r="E6" s="18" t="b">
        <v>1</v>
      </c>
      <c r="G6" s="19" t="s">
        <v>39</v>
      </c>
    </row>
    <row r="7" ht="22.5" customHeight="1">
      <c r="A7" s="28">
        <v>6.0</v>
      </c>
      <c r="B7" s="24">
        <v>3.0</v>
      </c>
      <c r="C7" s="18">
        <v>29.0</v>
      </c>
      <c r="D7" s="24">
        <v>1.0</v>
      </c>
      <c r="E7" s="18" t="b">
        <v>0</v>
      </c>
      <c r="G7" s="19" t="s">
        <v>39</v>
      </c>
    </row>
    <row r="8" ht="22.5" customHeight="1">
      <c r="A8" s="28">
        <v>7.0</v>
      </c>
      <c r="B8" s="28">
        <v>4.0</v>
      </c>
      <c r="C8" s="18">
        <v>28.0</v>
      </c>
      <c r="D8" s="28">
        <v>1.0</v>
      </c>
      <c r="E8" s="18" t="b">
        <v>1</v>
      </c>
      <c r="G8" s="19" t="s">
        <v>39</v>
      </c>
    </row>
    <row r="9" ht="22.5" customHeight="1">
      <c r="A9" s="28">
        <v>8.0</v>
      </c>
      <c r="B9" s="28">
        <v>4.0</v>
      </c>
      <c r="C9" s="18">
        <v>29.0</v>
      </c>
      <c r="D9" s="28">
        <v>1.0</v>
      </c>
      <c r="E9" s="18" t="b">
        <v>0</v>
      </c>
      <c r="G9" s="19" t="s">
        <v>39</v>
      </c>
    </row>
    <row r="10" ht="22.5" customHeight="1">
      <c r="A10" s="28">
        <v>9.0</v>
      </c>
      <c r="B10" s="28">
        <v>5.0</v>
      </c>
      <c r="C10" s="18">
        <v>28.0</v>
      </c>
      <c r="D10" s="24">
        <v>1.0</v>
      </c>
      <c r="E10" s="18" t="b">
        <v>1</v>
      </c>
      <c r="G10" s="19" t="s">
        <v>39</v>
      </c>
    </row>
    <row r="11" ht="22.5" customHeight="1">
      <c r="A11" s="28">
        <v>10.0</v>
      </c>
      <c r="B11" s="24">
        <v>5.0</v>
      </c>
      <c r="C11" s="18">
        <v>29.0</v>
      </c>
      <c r="D11" s="24">
        <v>1.0</v>
      </c>
      <c r="E11" s="18" t="b">
        <v>0</v>
      </c>
      <c r="G11" s="19" t="s">
        <v>39</v>
      </c>
    </row>
    <row r="12" ht="22.5" customHeight="1">
      <c r="A12" s="28">
        <v>11.0</v>
      </c>
      <c r="B12" s="28">
        <v>6.0</v>
      </c>
      <c r="C12" s="18">
        <v>28.0</v>
      </c>
      <c r="D12" s="28">
        <v>1.0</v>
      </c>
      <c r="E12" s="18" t="b">
        <v>1</v>
      </c>
      <c r="G12" s="19" t="s">
        <v>39</v>
      </c>
    </row>
    <row r="13" ht="22.5" customHeight="1">
      <c r="A13" s="28">
        <v>12.0</v>
      </c>
      <c r="B13" s="24">
        <v>6.0</v>
      </c>
      <c r="C13" s="18">
        <v>29.0</v>
      </c>
      <c r="D13" s="24">
        <v>1.0</v>
      </c>
      <c r="E13" s="18" t="b">
        <v>0</v>
      </c>
      <c r="G13" s="19" t="s">
        <v>39</v>
      </c>
    </row>
    <row r="14" ht="22.5" customHeight="1">
      <c r="A14" s="28">
        <v>13.0</v>
      </c>
      <c r="B14" s="28">
        <v>7.0</v>
      </c>
      <c r="C14" s="18">
        <v>28.0</v>
      </c>
      <c r="D14" s="28">
        <v>1.0</v>
      </c>
      <c r="E14" s="18" t="b">
        <v>1</v>
      </c>
      <c r="G14" s="19" t="s">
        <v>39</v>
      </c>
    </row>
    <row r="15" ht="22.5" customHeight="1">
      <c r="A15" s="28">
        <v>14.0</v>
      </c>
      <c r="B15" s="24">
        <v>7.0</v>
      </c>
      <c r="C15" s="18">
        <v>29.0</v>
      </c>
      <c r="D15" s="24">
        <v>1.0</v>
      </c>
      <c r="E15" s="18" t="b">
        <v>0</v>
      </c>
      <c r="G15" s="19" t="s">
        <v>39</v>
      </c>
    </row>
    <row r="16" ht="22.5" customHeight="1">
      <c r="A16" s="28">
        <v>15.0</v>
      </c>
      <c r="B16" s="28">
        <v>8.0</v>
      </c>
      <c r="C16" s="18">
        <v>28.0</v>
      </c>
      <c r="D16" s="28">
        <v>1.0</v>
      </c>
      <c r="E16" s="18" t="b">
        <v>1</v>
      </c>
      <c r="G16" s="19" t="s">
        <v>39</v>
      </c>
    </row>
    <row r="17" ht="22.5" customHeight="1">
      <c r="A17" s="28">
        <v>16.0</v>
      </c>
      <c r="B17" s="24">
        <v>8.0</v>
      </c>
      <c r="C17" s="18">
        <v>29.0</v>
      </c>
      <c r="D17" s="24">
        <v>1.0</v>
      </c>
      <c r="E17" s="18" t="b">
        <v>0</v>
      </c>
      <c r="G17" s="19" t="s">
        <v>39</v>
      </c>
    </row>
    <row r="18" ht="22.5" customHeight="1">
      <c r="A18" s="28">
        <v>17.0</v>
      </c>
      <c r="B18" s="28">
        <v>9.0</v>
      </c>
      <c r="C18" s="18">
        <v>28.0</v>
      </c>
      <c r="D18" s="28">
        <v>1.0</v>
      </c>
      <c r="E18" s="18" t="b">
        <v>1</v>
      </c>
      <c r="G18" s="19" t="s">
        <v>39</v>
      </c>
    </row>
    <row r="19" ht="22.5" customHeight="1">
      <c r="A19" s="28">
        <v>18.0</v>
      </c>
      <c r="B19" s="24">
        <v>9.0</v>
      </c>
      <c r="C19" s="18">
        <v>29.0</v>
      </c>
      <c r="D19" s="24">
        <v>1.0</v>
      </c>
      <c r="E19" s="18" t="b">
        <v>0</v>
      </c>
      <c r="G19" s="19" t="s">
        <v>39</v>
      </c>
    </row>
    <row r="20" ht="22.5" customHeight="1">
      <c r="A20" s="28">
        <v>19.0</v>
      </c>
      <c r="B20" s="28">
        <v>10.0</v>
      </c>
      <c r="C20" s="18">
        <v>28.0</v>
      </c>
      <c r="D20" s="28">
        <v>1.0</v>
      </c>
      <c r="E20" s="18" t="b">
        <v>1</v>
      </c>
      <c r="G20" s="19" t="s">
        <v>39</v>
      </c>
    </row>
    <row r="21" ht="22.5" customHeight="1">
      <c r="A21" s="28">
        <v>20.0</v>
      </c>
      <c r="B21" s="24">
        <v>10.0</v>
      </c>
      <c r="C21" s="18">
        <v>29.0</v>
      </c>
      <c r="D21" s="24">
        <v>1.0</v>
      </c>
      <c r="E21" s="18" t="b">
        <v>0</v>
      </c>
      <c r="G21" s="19" t="s">
        <v>39</v>
      </c>
    </row>
    <row r="22" ht="22.5" customHeight="1">
      <c r="A22" s="28">
        <v>21.0</v>
      </c>
      <c r="B22" s="28">
        <v>11.0</v>
      </c>
      <c r="C22" s="18">
        <v>28.0</v>
      </c>
      <c r="D22" s="28">
        <v>1.0</v>
      </c>
      <c r="E22" s="18" t="b">
        <v>1</v>
      </c>
      <c r="G22" s="19" t="s">
        <v>39</v>
      </c>
    </row>
    <row r="23" ht="22.5" customHeight="1">
      <c r="A23" s="28">
        <v>22.0</v>
      </c>
      <c r="B23" s="24">
        <v>11.0</v>
      </c>
      <c r="C23" s="18">
        <v>29.0</v>
      </c>
      <c r="D23" s="24">
        <v>1.0</v>
      </c>
      <c r="E23" s="18" t="b">
        <v>0</v>
      </c>
      <c r="G23" s="19" t="s">
        <v>39</v>
      </c>
    </row>
    <row r="24" ht="22.5" customHeight="1">
      <c r="A24" s="28">
        <v>23.0</v>
      </c>
      <c r="B24" s="28">
        <v>12.0</v>
      </c>
      <c r="C24" s="18">
        <v>28.0</v>
      </c>
      <c r="D24" s="28">
        <v>1.0</v>
      </c>
      <c r="E24" s="18" t="b">
        <v>1</v>
      </c>
      <c r="G24" s="19" t="s">
        <v>39</v>
      </c>
    </row>
    <row r="25" ht="22.5" customHeight="1">
      <c r="A25" s="28">
        <v>24.0</v>
      </c>
      <c r="B25" s="24">
        <v>12.0</v>
      </c>
      <c r="C25" s="18">
        <v>29.0</v>
      </c>
      <c r="D25" s="24">
        <v>1.0</v>
      </c>
      <c r="E25" s="18" t="b">
        <v>0</v>
      </c>
      <c r="G25" s="19" t="s">
        <v>39</v>
      </c>
    </row>
    <row r="26" ht="22.5" customHeight="1">
      <c r="A26" s="28">
        <v>25.0</v>
      </c>
      <c r="B26" s="28">
        <v>13.0</v>
      </c>
      <c r="C26" s="18">
        <v>28.0</v>
      </c>
      <c r="D26" s="28">
        <v>1.0</v>
      </c>
      <c r="E26" s="18" t="b">
        <v>1</v>
      </c>
      <c r="G26" s="19" t="s">
        <v>39</v>
      </c>
    </row>
    <row r="27" ht="22.5" customHeight="1">
      <c r="A27" s="28">
        <v>26.0</v>
      </c>
      <c r="B27" s="24">
        <v>13.0</v>
      </c>
      <c r="C27" s="18">
        <v>29.0</v>
      </c>
      <c r="D27" s="24">
        <v>1.0</v>
      </c>
      <c r="E27" s="18" t="b">
        <v>0</v>
      </c>
      <c r="G27" s="19" t="s">
        <v>39</v>
      </c>
    </row>
    <row r="28" ht="22.5" customHeight="1">
      <c r="A28" s="28">
        <v>27.0</v>
      </c>
      <c r="B28" s="28">
        <v>14.0</v>
      </c>
      <c r="C28" s="18">
        <v>28.0</v>
      </c>
      <c r="D28" s="28">
        <v>1.0</v>
      </c>
      <c r="E28" s="18" t="b">
        <v>1</v>
      </c>
      <c r="G28" s="19" t="s">
        <v>39</v>
      </c>
    </row>
    <row r="29" ht="22.5" customHeight="1">
      <c r="A29" s="28">
        <v>28.0</v>
      </c>
      <c r="B29" s="24">
        <v>14.0</v>
      </c>
      <c r="C29" s="18">
        <v>29.0</v>
      </c>
      <c r="D29" s="24">
        <v>1.0</v>
      </c>
      <c r="E29" s="18" t="b">
        <v>0</v>
      </c>
      <c r="G29" s="19" t="s">
        <v>39</v>
      </c>
    </row>
    <row r="30" ht="22.5" customHeight="1">
      <c r="A30" s="28">
        <v>29.0</v>
      </c>
      <c r="B30" s="28">
        <v>15.0</v>
      </c>
      <c r="C30" s="18">
        <v>28.0</v>
      </c>
      <c r="D30" s="28">
        <v>1.0</v>
      </c>
      <c r="E30" s="18" t="b">
        <v>1</v>
      </c>
      <c r="G30" s="19" t="s">
        <v>39</v>
      </c>
    </row>
    <row r="31" ht="22.5" customHeight="1">
      <c r="A31" s="28">
        <v>30.0</v>
      </c>
      <c r="B31" s="24">
        <v>15.0</v>
      </c>
      <c r="C31" s="18">
        <v>29.0</v>
      </c>
      <c r="D31" s="24">
        <v>1.0</v>
      </c>
      <c r="E31" s="18" t="b">
        <v>0</v>
      </c>
      <c r="G31" s="19" t="s">
        <v>39</v>
      </c>
    </row>
    <row r="32" ht="22.5" customHeight="1">
      <c r="A32" s="28">
        <v>31.0</v>
      </c>
      <c r="B32" s="24">
        <v>16.0</v>
      </c>
      <c r="C32" s="18">
        <v>28.0</v>
      </c>
      <c r="D32" s="24">
        <v>1.0</v>
      </c>
      <c r="E32" s="18" t="b">
        <v>1</v>
      </c>
      <c r="G32" s="19" t="s">
        <v>39</v>
      </c>
    </row>
    <row r="33" ht="22.5" customHeight="1">
      <c r="A33" s="28">
        <v>32.0</v>
      </c>
      <c r="B33" s="28">
        <v>16.0</v>
      </c>
      <c r="C33" s="18">
        <v>29.0</v>
      </c>
      <c r="D33" s="28">
        <v>1.0</v>
      </c>
      <c r="E33" s="18" t="b">
        <v>0</v>
      </c>
      <c r="G33" s="19" t="s">
        <v>39</v>
      </c>
    </row>
    <row r="34" ht="22.5" customHeight="1">
      <c r="A34" s="28">
        <v>33.0</v>
      </c>
      <c r="B34" s="28">
        <v>17.0</v>
      </c>
      <c r="C34" s="18">
        <v>28.0</v>
      </c>
      <c r="D34" s="28">
        <v>1.0</v>
      </c>
      <c r="E34" s="18" t="b">
        <v>1</v>
      </c>
      <c r="G34" s="19" t="s">
        <v>39</v>
      </c>
    </row>
    <row r="35" ht="22.5" customHeight="1">
      <c r="A35" s="28">
        <v>34.0</v>
      </c>
      <c r="B35" s="24">
        <v>17.0</v>
      </c>
      <c r="C35" s="18">
        <v>29.0</v>
      </c>
      <c r="D35" s="24">
        <v>1.0</v>
      </c>
      <c r="E35" s="18" t="b">
        <v>0</v>
      </c>
      <c r="G35" s="19" t="s">
        <v>39</v>
      </c>
    </row>
    <row r="36" ht="22.5" customHeight="1">
      <c r="A36" s="28">
        <v>35.0</v>
      </c>
      <c r="B36" s="24">
        <v>18.0</v>
      </c>
      <c r="C36" s="18">
        <v>28.0</v>
      </c>
      <c r="D36" s="24">
        <v>1.0</v>
      </c>
      <c r="E36" s="18" t="b">
        <v>1</v>
      </c>
      <c r="G36" s="19" t="s">
        <v>39</v>
      </c>
    </row>
    <row r="37" ht="22.5" customHeight="1">
      <c r="A37" s="28">
        <v>36.0</v>
      </c>
      <c r="B37" s="24">
        <v>18.0</v>
      </c>
      <c r="C37" s="18">
        <v>29.0</v>
      </c>
      <c r="D37" s="24">
        <v>1.0</v>
      </c>
      <c r="E37" s="18" t="b">
        <v>0</v>
      </c>
      <c r="G37" s="19" t="s">
        <v>39</v>
      </c>
    </row>
    <row r="38" ht="22.5" customHeight="1">
      <c r="A38" s="28">
        <v>37.0</v>
      </c>
      <c r="B38" s="28">
        <v>19.0</v>
      </c>
      <c r="C38" s="18">
        <v>28.0</v>
      </c>
      <c r="D38" s="28">
        <v>1.0</v>
      </c>
      <c r="E38" s="18" t="b">
        <v>1</v>
      </c>
      <c r="G38" s="19" t="s">
        <v>39</v>
      </c>
    </row>
    <row r="39" ht="22.5" customHeight="1">
      <c r="A39" s="28">
        <v>38.0</v>
      </c>
      <c r="B39" s="24">
        <v>19.0</v>
      </c>
      <c r="C39" s="18">
        <v>29.0</v>
      </c>
      <c r="D39" s="24">
        <v>1.0</v>
      </c>
      <c r="E39" s="18" t="b">
        <v>0</v>
      </c>
      <c r="G39" s="19" t="s">
        <v>39</v>
      </c>
    </row>
    <row r="40" ht="22.5" customHeight="1">
      <c r="A40" s="28">
        <v>39.0</v>
      </c>
      <c r="B40" s="24">
        <v>20.0</v>
      </c>
      <c r="C40" s="18">
        <v>29.0</v>
      </c>
      <c r="D40" s="24">
        <v>1.0</v>
      </c>
      <c r="E40" s="18" t="b">
        <v>1</v>
      </c>
      <c r="G40" s="19" t="s">
        <v>39</v>
      </c>
    </row>
    <row r="41" ht="22.5" customHeight="1">
      <c r="A41" s="28">
        <v>40.0</v>
      </c>
      <c r="B41" s="24">
        <v>21.0</v>
      </c>
      <c r="C41" s="18">
        <v>29.0</v>
      </c>
      <c r="D41" s="24">
        <v>1.0</v>
      </c>
      <c r="E41" s="18" t="b">
        <v>1</v>
      </c>
      <c r="G41" s="19" t="s">
        <v>39</v>
      </c>
    </row>
    <row r="42" ht="22.5" customHeight="1">
      <c r="A42" s="28">
        <v>41.0</v>
      </c>
      <c r="B42" s="24">
        <v>22.0</v>
      </c>
      <c r="C42" s="18">
        <v>29.0</v>
      </c>
      <c r="D42" s="24">
        <v>1.0</v>
      </c>
      <c r="E42" s="18" t="b">
        <v>1</v>
      </c>
      <c r="G42" s="19" t="s">
        <v>39</v>
      </c>
    </row>
    <row r="43" ht="22.5" customHeight="1">
      <c r="A43" s="28">
        <v>42.0</v>
      </c>
      <c r="B43" s="24">
        <v>23.0</v>
      </c>
      <c r="C43" s="18">
        <v>29.0</v>
      </c>
      <c r="D43" s="24">
        <v>1.0</v>
      </c>
      <c r="E43" s="18" t="b">
        <v>1</v>
      </c>
      <c r="G43" s="19" t="s">
        <v>39</v>
      </c>
    </row>
    <row r="44" ht="22.5" customHeight="1">
      <c r="A44" s="28">
        <v>43.0</v>
      </c>
      <c r="B44" s="24">
        <v>24.0</v>
      </c>
      <c r="C44" s="18">
        <v>29.0</v>
      </c>
      <c r="D44" s="24">
        <v>1.0</v>
      </c>
      <c r="E44" s="18" t="b">
        <v>1</v>
      </c>
      <c r="G44" s="19" t="s">
        <v>39</v>
      </c>
    </row>
    <row r="45" ht="22.5" customHeight="1">
      <c r="A45" s="28">
        <v>44.0</v>
      </c>
      <c r="B45" s="24">
        <v>25.0</v>
      </c>
      <c r="C45" s="18">
        <v>29.0</v>
      </c>
      <c r="D45" s="24">
        <v>1.0</v>
      </c>
      <c r="E45" s="18" t="b">
        <v>1</v>
      </c>
      <c r="G45" s="19" t="s">
        <v>39</v>
      </c>
    </row>
    <row r="46" ht="22.5" customHeight="1">
      <c r="A46" s="28">
        <v>45.0</v>
      </c>
      <c r="B46" s="24">
        <v>26.0</v>
      </c>
      <c r="C46" s="18">
        <v>29.0</v>
      </c>
      <c r="D46" s="24">
        <v>1.0</v>
      </c>
      <c r="E46" s="18" t="b">
        <v>1</v>
      </c>
      <c r="G46" s="19" t="s">
        <v>39</v>
      </c>
    </row>
    <row r="47" ht="22.5" customHeight="1">
      <c r="A47" s="28">
        <v>46.0</v>
      </c>
      <c r="B47" s="24">
        <v>27.0</v>
      </c>
      <c r="C47" s="18">
        <v>29.0</v>
      </c>
      <c r="D47" s="24">
        <v>1.0</v>
      </c>
      <c r="E47" s="18" t="b">
        <v>1</v>
      </c>
      <c r="G47" s="19" t="s">
        <v>39</v>
      </c>
    </row>
    <row r="48" ht="22.5" customHeight="1">
      <c r="A48" s="28">
        <v>47.0</v>
      </c>
      <c r="B48" s="24">
        <v>28.0</v>
      </c>
      <c r="C48" s="18">
        <v>29.0</v>
      </c>
      <c r="D48" s="24">
        <v>1.0</v>
      </c>
      <c r="E48" s="18" t="b">
        <v>1</v>
      </c>
      <c r="G48" s="19" t="s">
        <v>39</v>
      </c>
    </row>
    <row r="49" ht="22.5" customHeight="1">
      <c r="A49" s="28">
        <v>48.0</v>
      </c>
      <c r="B49" s="24">
        <v>29.0</v>
      </c>
      <c r="C49" s="18">
        <v>29.0</v>
      </c>
      <c r="D49" s="24">
        <v>1.0</v>
      </c>
      <c r="E49" s="18" t="b">
        <v>1</v>
      </c>
      <c r="G49" s="19" t="s">
        <v>39</v>
      </c>
    </row>
    <row r="50" ht="22.5" customHeight="1">
      <c r="A50" s="28">
        <v>49.0</v>
      </c>
      <c r="B50" s="24">
        <v>30.0</v>
      </c>
      <c r="C50" s="18">
        <v>29.0</v>
      </c>
      <c r="D50" s="24">
        <v>1.0</v>
      </c>
      <c r="E50" s="18" t="b">
        <v>1</v>
      </c>
      <c r="G50" s="19" t="s">
        <v>39</v>
      </c>
    </row>
    <row r="51" ht="22.5" customHeight="1">
      <c r="A51" s="28">
        <v>50.0</v>
      </c>
      <c r="B51" s="24">
        <v>31.0</v>
      </c>
      <c r="C51" s="18">
        <v>29.0</v>
      </c>
      <c r="D51" s="24">
        <v>1.0</v>
      </c>
      <c r="E51" s="18" t="b">
        <v>1</v>
      </c>
      <c r="G51" s="19" t="s">
        <v>39</v>
      </c>
    </row>
    <row r="52" ht="22.5" customHeight="1">
      <c r="A52" s="28">
        <v>51.0</v>
      </c>
      <c r="B52" s="24">
        <v>32.0</v>
      </c>
      <c r="C52" s="18">
        <v>29.0</v>
      </c>
      <c r="D52" s="24">
        <v>1.0</v>
      </c>
      <c r="E52" s="18" t="b">
        <v>1</v>
      </c>
      <c r="G52" s="19" t="s">
        <v>39</v>
      </c>
    </row>
    <row r="53" ht="22.5" customHeight="1">
      <c r="A53" s="28">
        <v>52.0</v>
      </c>
      <c r="B53" s="24">
        <v>33.0</v>
      </c>
      <c r="C53" s="18">
        <v>29.0</v>
      </c>
      <c r="D53" s="24">
        <v>1.0</v>
      </c>
      <c r="E53" s="18" t="b">
        <v>1</v>
      </c>
      <c r="G53" s="19" t="s">
        <v>39</v>
      </c>
    </row>
    <row r="54" ht="22.5" customHeight="1">
      <c r="A54" s="28">
        <v>53.0</v>
      </c>
      <c r="B54" s="24">
        <v>34.0</v>
      </c>
      <c r="C54" s="18">
        <v>29.0</v>
      </c>
      <c r="D54" s="24">
        <v>1.0</v>
      </c>
      <c r="E54" s="18" t="b">
        <v>1</v>
      </c>
      <c r="G54" s="19" t="s">
        <v>39</v>
      </c>
    </row>
    <row r="55" ht="22.5" customHeight="1">
      <c r="A55" s="28">
        <v>54.0</v>
      </c>
      <c r="B55" s="24">
        <v>35.0</v>
      </c>
      <c r="C55" s="18">
        <v>29.0</v>
      </c>
      <c r="D55" s="24">
        <v>1.0</v>
      </c>
      <c r="E55" s="18" t="b">
        <v>1</v>
      </c>
      <c r="G55" s="19" t="s">
        <v>39</v>
      </c>
    </row>
    <row r="56" ht="22.5" customHeight="1">
      <c r="A56" s="28">
        <v>55.0</v>
      </c>
      <c r="B56" s="24">
        <v>36.0</v>
      </c>
      <c r="C56" s="18">
        <v>29.0</v>
      </c>
      <c r="D56" s="24">
        <v>1.0</v>
      </c>
      <c r="E56" s="18" t="b">
        <v>1</v>
      </c>
      <c r="G56" s="19" t="s">
        <v>39</v>
      </c>
    </row>
    <row r="57" ht="22.5" customHeight="1">
      <c r="A57" s="28">
        <v>56.0</v>
      </c>
      <c r="B57" s="24">
        <v>37.0</v>
      </c>
      <c r="C57" s="18">
        <v>29.0</v>
      </c>
      <c r="D57" s="24">
        <v>1.0</v>
      </c>
      <c r="E57" s="18" t="b">
        <v>1</v>
      </c>
      <c r="G57" s="19" t="s">
        <v>39</v>
      </c>
    </row>
    <row r="58" ht="22.5" customHeight="1">
      <c r="A58" s="28">
        <v>57.0</v>
      </c>
      <c r="B58" s="24">
        <v>38.0</v>
      </c>
      <c r="C58" s="18">
        <v>29.0</v>
      </c>
      <c r="D58" s="24">
        <v>1.0</v>
      </c>
      <c r="E58" s="18" t="b">
        <v>1</v>
      </c>
      <c r="G58" s="19" t="s">
        <v>39</v>
      </c>
    </row>
    <row r="59" ht="22.5" customHeight="1">
      <c r="A59" s="28">
        <v>58.0</v>
      </c>
      <c r="B59" s="24">
        <v>39.0</v>
      </c>
      <c r="C59" s="18">
        <v>29.0</v>
      </c>
      <c r="D59" s="24">
        <v>1.0</v>
      </c>
      <c r="E59" s="18" t="b">
        <v>1</v>
      </c>
      <c r="G59" s="19" t="s">
        <v>39</v>
      </c>
    </row>
    <row r="60" ht="22.5" customHeight="1">
      <c r="A60" s="28">
        <v>59.0</v>
      </c>
      <c r="B60" s="24">
        <v>40.0</v>
      </c>
      <c r="C60" s="18">
        <v>29.0</v>
      </c>
      <c r="D60" s="24">
        <v>1.0</v>
      </c>
      <c r="E60" s="18" t="b">
        <v>1</v>
      </c>
      <c r="G60" s="19" t="s">
        <v>39</v>
      </c>
    </row>
    <row r="61" ht="22.5" customHeight="1">
      <c r="A61" s="28">
        <v>60.0</v>
      </c>
      <c r="B61" s="24">
        <v>41.0</v>
      </c>
      <c r="C61" s="18">
        <v>29.0</v>
      </c>
      <c r="D61" s="24">
        <v>1.0</v>
      </c>
      <c r="E61" s="18" t="b">
        <v>1</v>
      </c>
      <c r="G61" s="19" t="s">
        <v>39</v>
      </c>
    </row>
    <row r="62" ht="22.5" customHeight="1">
      <c r="A62" s="28">
        <v>61.0</v>
      </c>
      <c r="B62" s="24">
        <v>42.0</v>
      </c>
      <c r="C62" s="18">
        <v>29.0</v>
      </c>
      <c r="D62" s="24">
        <v>1.0</v>
      </c>
      <c r="E62" s="18" t="b">
        <v>1</v>
      </c>
      <c r="G62" s="19" t="s">
        <v>39</v>
      </c>
    </row>
    <row r="63" ht="22.5" customHeight="1">
      <c r="A63" s="28">
        <v>62.0</v>
      </c>
      <c r="B63" s="24">
        <v>43.0</v>
      </c>
      <c r="C63" s="18">
        <v>29.0</v>
      </c>
      <c r="D63" s="24">
        <v>1.0</v>
      </c>
      <c r="E63" s="18" t="b">
        <v>1</v>
      </c>
      <c r="G63" s="19" t="s">
        <v>39</v>
      </c>
    </row>
    <row r="64" ht="22.5" customHeight="1">
      <c r="A64" s="28">
        <v>63.0</v>
      </c>
      <c r="B64" s="24">
        <v>46.0</v>
      </c>
      <c r="C64" s="18">
        <v>33.0</v>
      </c>
      <c r="D64" s="24">
        <v>1.0</v>
      </c>
      <c r="E64" s="18" t="b">
        <v>1</v>
      </c>
      <c r="G64" s="19" t="s">
        <v>39</v>
      </c>
    </row>
    <row r="65" ht="22.5" customHeight="1">
      <c r="A65" s="28">
        <v>64.0</v>
      </c>
      <c r="B65" s="24">
        <v>49.0</v>
      </c>
      <c r="C65" s="18">
        <v>33.0</v>
      </c>
      <c r="D65" s="24">
        <v>1.0</v>
      </c>
      <c r="E65" s="18" t="b">
        <v>1</v>
      </c>
      <c r="G65" s="19" t="s">
        <v>39</v>
      </c>
    </row>
    <row r="66" ht="22.5" customHeight="1">
      <c r="A66" s="28">
        <v>65.0</v>
      </c>
      <c r="B66" s="24">
        <v>50.0</v>
      </c>
      <c r="C66" s="18">
        <v>33.0</v>
      </c>
      <c r="D66" s="24">
        <v>1.0</v>
      </c>
      <c r="E66" s="18" t="b">
        <v>1</v>
      </c>
      <c r="G66" s="19" t="s">
        <v>39</v>
      </c>
    </row>
    <row r="67" ht="22.5" customHeight="1">
      <c r="A67" s="28">
        <v>66.0</v>
      </c>
      <c r="B67" s="24">
        <v>51.0</v>
      </c>
      <c r="C67" s="18">
        <v>33.0</v>
      </c>
      <c r="D67" s="24">
        <v>1.0</v>
      </c>
      <c r="E67" s="18" t="b">
        <v>1</v>
      </c>
      <c r="G67" s="19" t="s">
        <v>39</v>
      </c>
    </row>
    <row r="68" ht="22.5" customHeight="1">
      <c r="A68" s="28">
        <v>67.0</v>
      </c>
      <c r="B68" s="24">
        <v>52.0</v>
      </c>
      <c r="C68" s="18">
        <v>33.0</v>
      </c>
      <c r="D68" s="24">
        <v>1.0</v>
      </c>
      <c r="E68" s="18" t="b">
        <v>1</v>
      </c>
      <c r="G68" s="19" t="s">
        <v>39</v>
      </c>
    </row>
    <row r="69" ht="22.5" customHeight="1">
      <c r="A69" s="28">
        <v>68.0</v>
      </c>
      <c r="B69" s="24">
        <v>54.0</v>
      </c>
      <c r="C69" s="18">
        <v>33.0</v>
      </c>
      <c r="D69" s="24">
        <v>1.0</v>
      </c>
      <c r="E69" s="18" t="b">
        <v>1</v>
      </c>
      <c r="G69" s="19" t="s">
        <v>39</v>
      </c>
    </row>
    <row r="70" ht="22.5" customHeight="1">
      <c r="A70" s="28">
        <v>69.0</v>
      </c>
      <c r="B70" s="24">
        <v>55.0</v>
      </c>
      <c r="C70" s="18">
        <v>33.0</v>
      </c>
      <c r="D70" s="24">
        <v>1.0</v>
      </c>
      <c r="E70" s="18" t="b">
        <v>1</v>
      </c>
      <c r="G70" s="19" t="s">
        <v>39</v>
      </c>
    </row>
    <row r="71" ht="22.5" customHeight="1">
      <c r="A71" s="28">
        <v>70.0</v>
      </c>
      <c r="B71" s="24">
        <v>56.0</v>
      </c>
      <c r="C71" s="18">
        <v>33.0</v>
      </c>
      <c r="D71" s="24">
        <v>1.0</v>
      </c>
      <c r="E71" s="18" t="b">
        <v>1</v>
      </c>
      <c r="G71" s="19" t="s">
        <v>39</v>
      </c>
    </row>
    <row r="72" ht="22.5" customHeight="1">
      <c r="A72" s="28">
        <v>71.0</v>
      </c>
      <c r="B72" s="24">
        <v>57.0</v>
      </c>
      <c r="C72" s="18">
        <v>33.0</v>
      </c>
      <c r="D72" s="24">
        <v>1.0</v>
      </c>
      <c r="E72" s="18" t="b">
        <v>1</v>
      </c>
      <c r="G72" s="19" t="s">
        <v>39</v>
      </c>
    </row>
    <row r="73" ht="22.5" customHeight="1">
      <c r="A73" s="28">
        <v>72.0</v>
      </c>
      <c r="B73" s="24">
        <v>58.0</v>
      </c>
      <c r="C73" s="18">
        <v>33.0</v>
      </c>
      <c r="D73" s="24">
        <v>1.0</v>
      </c>
      <c r="E73" s="18" t="b">
        <v>1</v>
      </c>
      <c r="G73" s="19" t="s">
        <v>39</v>
      </c>
    </row>
    <row r="74" ht="22.5" customHeight="1">
      <c r="A74" s="28">
        <v>73.0</v>
      </c>
      <c r="B74" s="24">
        <v>59.0</v>
      </c>
      <c r="C74" s="18">
        <v>33.0</v>
      </c>
      <c r="D74" s="24">
        <v>1.0</v>
      </c>
      <c r="E74" s="18" t="b">
        <v>1</v>
      </c>
      <c r="G74" s="19" t="s">
        <v>39</v>
      </c>
    </row>
    <row r="75" ht="22.5" customHeight="1">
      <c r="A75" s="28">
        <v>74.0</v>
      </c>
      <c r="B75" s="24">
        <v>60.0</v>
      </c>
      <c r="C75" s="18">
        <v>33.0</v>
      </c>
      <c r="D75" s="24">
        <v>1.0</v>
      </c>
      <c r="E75" s="18" t="b">
        <v>1</v>
      </c>
      <c r="G75" s="19" t="s">
        <v>39</v>
      </c>
    </row>
    <row r="76" ht="22.5" customHeight="1">
      <c r="A76" s="28">
        <v>75.0</v>
      </c>
      <c r="B76" s="24">
        <v>61.0</v>
      </c>
      <c r="C76" s="18">
        <v>33.0</v>
      </c>
      <c r="D76" s="24">
        <v>1.0</v>
      </c>
      <c r="E76" s="18" t="b">
        <v>1</v>
      </c>
      <c r="G76" s="19" t="s">
        <v>39</v>
      </c>
    </row>
    <row r="77" ht="22.5" customHeight="1">
      <c r="A77" s="28">
        <v>76.0</v>
      </c>
      <c r="B77" s="24">
        <v>62.0</v>
      </c>
      <c r="C77" s="18">
        <v>33.0</v>
      </c>
      <c r="D77" s="24">
        <v>1.0</v>
      </c>
      <c r="E77" s="18" t="b">
        <v>1</v>
      </c>
      <c r="G77" s="19" t="s">
        <v>39</v>
      </c>
    </row>
    <row r="78" ht="22.5" customHeight="1">
      <c r="A78" s="28">
        <v>77.0</v>
      </c>
      <c r="B78" s="24">
        <v>63.0</v>
      </c>
      <c r="C78" s="18">
        <v>22.0</v>
      </c>
      <c r="D78" s="24">
        <v>1.0</v>
      </c>
      <c r="E78" s="18" t="b">
        <v>1</v>
      </c>
      <c r="G78" s="19" t="s">
        <v>39</v>
      </c>
    </row>
    <row r="79" ht="22.5" customHeight="1">
      <c r="A79" s="28">
        <v>78.0</v>
      </c>
      <c r="B79" s="24">
        <v>64.0</v>
      </c>
      <c r="C79" s="18">
        <v>22.0</v>
      </c>
      <c r="D79" s="24">
        <v>1.0</v>
      </c>
      <c r="E79" s="18" t="b">
        <v>1</v>
      </c>
      <c r="G79" s="19" t="s">
        <v>39</v>
      </c>
    </row>
    <row r="80" ht="22.5" customHeight="1">
      <c r="A80" s="28">
        <v>79.0</v>
      </c>
      <c r="B80" s="24">
        <v>65.0</v>
      </c>
      <c r="C80" s="18">
        <v>22.0</v>
      </c>
      <c r="D80" s="24">
        <v>1.0</v>
      </c>
      <c r="E80" s="18" t="b">
        <v>1</v>
      </c>
      <c r="G80" s="19" t="s">
        <v>39</v>
      </c>
    </row>
    <row r="81" ht="22.5" customHeight="1">
      <c r="A81" s="28">
        <v>80.0</v>
      </c>
      <c r="B81" s="24">
        <v>66.0</v>
      </c>
      <c r="C81" s="18">
        <v>22.0</v>
      </c>
      <c r="D81" s="24">
        <v>1.0</v>
      </c>
      <c r="E81" s="18" t="b">
        <v>1</v>
      </c>
      <c r="G81" s="19" t="s">
        <v>39</v>
      </c>
    </row>
    <row r="82" ht="22.5" customHeight="1">
      <c r="A82" s="28">
        <v>81.0</v>
      </c>
      <c r="B82" s="24">
        <v>67.0</v>
      </c>
      <c r="C82" s="18">
        <v>22.0</v>
      </c>
      <c r="D82" s="24">
        <v>1.0</v>
      </c>
      <c r="E82" s="18" t="b">
        <v>1</v>
      </c>
      <c r="G82" s="19" t="s">
        <v>39</v>
      </c>
    </row>
    <row r="83" ht="22.5" customHeight="1">
      <c r="A83" s="28">
        <v>82.0</v>
      </c>
      <c r="B83" s="24">
        <v>68.0</v>
      </c>
      <c r="C83" s="18">
        <v>22.0</v>
      </c>
      <c r="D83" s="24">
        <v>1.0</v>
      </c>
      <c r="E83" s="18" t="b">
        <v>1</v>
      </c>
      <c r="G83" s="19" t="s">
        <v>39</v>
      </c>
    </row>
    <row r="84" ht="22.5" customHeight="1">
      <c r="A84" s="28">
        <v>83.0</v>
      </c>
      <c r="B84" s="24">
        <v>69.0</v>
      </c>
      <c r="C84" s="18">
        <v>22.0</v>
      </c>
      <c r="D84" s="24">
        <v>1.0</v>
      </c>
      <c r="E84" s="18" t="b">
        <v>1</v>
      </c>
      <c r="G84" s="19" t="s">
        <v>39</v>
      </c>
    </row>
    <row r="85" ht="22.5" customHeight="1">
      <c r="A85" s="28">
        <v>84.0</v>
      </c>
      <c r="B85" s="24">
        <v>70.0</v>
      </c>
      <c r="C85" s="18">
        <v>22.0</v>
      </c>
      <c r="D85" s="24">
        <v>1.0</v>
      </c>
      <c r="E85" s="18" t="b">
        <v>1</v>
      </c>
      <c r="G85" s="19" t="s">
        <v>39</v>
      </c>
    </row>
    <row r="86" ht="22.5" customHeight="1">
      <c r="A86" s="28">
        <v>85.0</v>
      </c>
      <c r="B86" s="24">
        <v>71.0</v>
      </c>
      <c r="C86" s="18">
        <v>22.0</v>
      </c>
      <c r="D86" s="24">
        <v>1.0</v>
      </c>
      <c r="E86" s="18" t="b">
        <v>1</v>
      </c>
      <c r="G86" s="19" t="s">
        <v>39</v>
      </c>
    </row>
    <row r="87" ht="22.5" customHeight="1">
      <c r="A87" s="28">
        <v>86.0</v>
      </c>
      <c r="B87" s="24">
        <v>72.0</v>
      </c>
      <c r="C87" s="18">
        <v>22.0</v>
      </c>
      <c r="D87" s="24">
        <v>1.0</v>
      </c>
      <c r="E87" s="18" t="b">
        <v>1</v>
      </c>
      <c r="G87" s="19" t="s">
        <v>39</v>
      </c>
    </row>
    <row r="88" ht="22.5" customHeight="1">
      <c r="A88" s="28">
        <v>87.0</v>
      </c>
      <c r="B88" s="24">
        <v>73.0</v>
      </c>
      <c r="C88" s="18">
        <v>22.0</v>
      </c>
      <c r="D88" s="24">
        <v>1.0</v>
      </c>
      <c r="E88" s="18" t="b">
        <v>1</v>
      </c>
      <c r="G88" s="19" t="s">
        <v>39</v>
      </c>
    </row>
    <row r="89" ht="22.5" customHeight="1">
      <c r="A89" s="28">
        <v>88.0</v>
      </c>
      <c r="B89" s="24">
        <v>74.0</v>
      </c>
      <c r="C89" s="18">
        <v>22.0</v>
      </c>
      <c r="D89" s="24">
        <v>1.0</v>
      </c>
      <c r="E89" s="18" t="b">
        <v>1</v>
      </c>
      <c r="G89" s="19" t="s">
        <v>39</v>
      </c>
    </row>
    <row r="90" ht="22.5" customHeight="1">
      <c r="A90" s="28">
        <v>89.0</v>
      </c>
      <c r="B90" s="24">
        <v>75.0</v>
      </c>
      <c r="C90" s="18">
        <v>22.0</v>
      </c>
      <c r="D90" s="24">
        <v>1.0</v>
      </c>
      <c r="E90" s="18" t="b">
        <v>1</v>
      </c>
      <c r="G90" s="19" t="s">
        <v>39</v>
      </c>
    </row>
    <row r="91" ht="22.5" customHeight="1">
      <c r="A91" s="28">
        <v>90.0</v>
      </c>
      <c r="B91" s="24">
        <v>76.0</v>
      </c>
      <c r="C91" s="18">
        <v>22.0</v>
      </c>
      <c r="D91" s="24">
        <v>1.0</v>
      </c>
      <c r="E91" s="18" t="b">
        <v>1</v>
      </c>
      <c r="G91" s="19" t="s">
        <v>39</v>
      </c>
    </row>
    <row r="92" ht="22.5" customHeight="1">
      <c r="A92" s="28">
        <v>91.0</v>
      </c>
      <c r="B92" s="24">
        <v>77.0</v>
      </c>
      <c r="C92" s="18">
        <v>22.0</v>
      </c>
      <c r="D92" s="24">
        <v>1.0</v>
      </c>
      <c r="E92" s="18" t="b">
        <v>1</v>
      </c>
      <c r="G92" s="19" t="s">
        <v>39</v>
      </c>
    </row>
    <row r="93" ht="22.5" customHeight="1">
      <c r="A93" s="28">
        <v>92.0</v>
      </c>
      <c r="B93" s="24">
        <v>78.0</v>
      </c>
      <c r="C93" s="18">
        <v>22.0</v>
      </c>
      <c r="D93" s="24">
        <v>1.0</v>
      </c>
      <c r="E93" s="18" t="b">
        <v>1</v>
      </c>
      <c r="G93" s="19" t="s">
        <v>39</v>
      </c>
    </row>
    <row r="94" ht="22.5" customHeight="1">
      <c r="A94" s="28">
        <v>93.0</v>
      </c>
      <c r="B94" s="24">
        <v>79.0</v>
      </c>
      <c r="C94" s="18">
        <v>22.0</v>
      </c>
      <c r="D94" s="24">
        <v>1.0</v>
      </c>
      <c r="E94" s="18" t="b">
        <v>1</v>
      </c>
      <c r="G94" s="19" t="s">
        <v>39</v>
      </c>
    </row>
    <row r="95" ht="22.5" customHeight="1">
      <c r="A95" s="28">
        <v>94.0</v>
      </c>
      <c r="B95" s="24">
        <v>80.0</v>
      </c>
      <c r="C95" s="18">
        <v>22.0</v>
      </c>
      <c r="D95" s="24">
        <v>1.0</v>
      </c>
      <c r="E95" s="18" t="b">
        <v>1</v>
      </c>
      <c r="G95" s="19" t="s">
        <v>39</v>
      </c>
    </row>
    <row r="96" ht="22.5" customHeight="1">
      <c r="A96" s="28">
        <v>95.0</v>
      </c>
      <c r="B96" s="24">
        <v>83.0</v>
      </c>
      <c r="C96" s="18">
        <v>22.0</v>
      </c>
      <c r="D96" s="24">
        <v>1.0</v>
      </c>
      <c r="E96" s="18" t="b">
        <v>1</v>
      </c>
      <c r="G96" s="19" t="s">
        <v>39</v>
      </c>
    </row>
    <row r="97" ht="22.5" customHeight="1">
      <c r="A97" s="28">
        <v>96.0</v>
      </c>
      <c r="B97" s="24">
        <v>84.0</v>
      </c>
      <c r="C97" s="18">
        <v>22.0</v>
      </c>
      <c r="D97" s="24">
        <v>1.0</v>
      </c>
      <c r="E97" s="18" t="b">
        <v>1</v>
      </c>
      <c r="G97" s="19" t="s">
        <v>39</v>
      </c>
    </row>
    <row r="98" ht="22.5" customHeight="1">
      <c r="A98" s="28">
        <v>97.0</v>
      </c>
      <c r="B98" s="24">
        <v>86.0</v>
      </c>
      <c r="C98" s="18">
        <v>22.0</v>
      </c>
      <c r="D98" s="24">
        <v>1.0</v>
      </c>
      <c r="E98" s="18" t="b">
        <v>1</v>
      </c>
      <c r="G98" s="19" t="s">
        <v>39</v>
      </c>
    </row>
    <row r="99" ht="22.5" customHeight="1">
      <c r="A99" s="28">
        <v>121.0</v>
      </c>
      <c r="B99" s="24">
        <v>110.0</v>
      </c>
      <c r="C99" s="18">
        <v>29.0</v>
      </c>
      <c r="D99" s="24">
        <v>1.0</v>
      </c>
      <c r="E99" s="18" t="b">
        <v>1</v>
      </c>
      <c r="G99" s="19" t="s">
        <v>39</v>
      </c>
    </row>
    <row r="100" ht="22.5" customHeight="1">
      <c r="A100" s="28">
        <v>122.0</v>
      </c>
      <c r="B100" s="24">
        <v>111.0</v>
      </c>
      <c r="C100" s="18">
        <v>22.0</v>
      </c>
      <c r="D100" s="24">
        <v>1.0</v>
      </c>
      <c r="E100" s="18" t="b">
        <v>1</v>
      </c>
      <c r="G100" s="19" t="s">
        <v>39</v>
      </c>
    </row>
    <row r="101" ht="22.5" customHeight="1">
      <c r="A101" s="28">
        <v>123.0</v>
      </c>
      <c r="B101" s="24">
        <v>1.0</v>
      </c>
      <c r="C101" s="18">
        <v>28.0</v>
      </c>
      <c r="D101" s="24">
        <v>2.0</v>
      </c>
      <c r="E101" s="18" t="b">
        <v>1</v>
      </c>
      <c r="G101" s="19" t="s">
        <v>39</v>
      </c>
    </row>
    <row r="102" ht="22.5" customHeight="1">
      <c r="A102" s="28">
        <v>124.0</v>
      </c>
      <c r="B102" s="28">
        <v>1.0</v>
      </c>
      <c r="C102" s="18">
        <v>29.0</v>
      </c>
      <c r="D102" s="24">
        <v>2.0</v>
      </c>
      <c r="E102" s="18" t="b">
        <v>0</v>
      </c>
      <c r="G102" s="19" t="s">
        <v>39</v>
      </c>
    </row>
    <row r="103" ht="22.5" customHeight="1">
      <c r="A103" s="28">
        <v>125.0</v>
      </c>
      <c r="B103" s="28">
        <v>2.0</v>
      </c>
      <c r="C103" s="18">
        <v>28.0</v>
      </c>
      <c r="D103" s="24">
        <v>2.0</v>
      </c>
      <c r="E103" s="18" t="b">
        <v>1</v>
      </c>
      <c r="G103" s="19" t="s">
        <v>39</v>
      </c>
    </row>
    <row r="104" ht="22.5" customHeight="1">
      <c r="A104" s="28">
        <v>126.0</v>
      </c>
      <c r="B104" s="24">
        <v>2.0</v>
      </c>
      <c r="C104" s="18">
        <v>29.0</v>
      </c>
      <c r="D104" s="24">
        <v>2.0</v>
      </c>
      <c r="E104" s="18" t="b">
        <v>0</v>
      </c>
      <c r="G104" s="19" t="s">
        <v>39</v>
      </c>
    </row>
    <row r="105" ht="22.5" customHeight="1">
      <c r="A105" s="28">
        <v>127.0</v>
      </c>
      <c r="B105" s="28">
        <v>3.0</v>
      </c>
      <c r="C105" s="18">
        <v>28.0</v>
      </c>
      <c r="D105" s="24">
        <v>2.0</v>
      </c>
      <c r="E105" s="18" t="b">
        <v>1</v>
      </c>
      <c r="G105" s="19" t="s">
        <v>39</v>
      </c>
    </row>
    <row r="106" ht="22.5" customHeight="1">
      <c r="A106" s="28">
        <v>128.0</v>
      </c>
      <c r="B106" s="24">
        <v>3.0</v>
      </c>
      <c r="C106" s="18">
        <v>29.0</v>
      </c>
      <c r="D106" s="24">
        <v>2.0</v>
      </c>
      <c r="E106" s="18" t="b">
        <v>0</v>
      </c>
      <c r="G106" s="19" t="s">
        <v>39</v>
      </c>
    </row>
    <row r="107" ht="22.5" customHeight="1">
      <c r="A107" s="28">
        <v>129.0</v>
      </c>
      <c r="B107" s="28">
        <v>4.0</v>
      </c>
      <c r="C107" s="18">
        <v>28.0</v>
      </c>
      <c r="D107" s="24">
        <v>2.0</v>
      </c>
      <c r="E107" s="18" t="b">
        <v>1</v>
      </c>
      <c r="G107" s="19" t="s">
        <v>39</v>
      </c>
    </row>
    <row r="108" ht="22.5" customHeight="1">
      <c r="A108" s="28">
        <v>130.0</v>
      </c>
      <c r="B108" s="24">
        <v>4.0</v>
      </c>
      <c r="C108" s="18">
        <v>29.0</v>
      </c>
      <c r="D108" s="24">
        <v>2.0</v>
      </c>
      <c r="E108" s="18" t="b">
        <v>0</v>
      </c>
      <c r="G108" s="19" t="s">
        <v>39</v>
      </c>
    </row>
    <row r="109" ht="22.5" customHeight="1">
      <c r="A109" s="28">
        <v>131.0</v>
      </c>
      <c r="B109" s="28">
        <v>5.0</v>
      </c>
      <c r="C109" s="18">
        <v>28.0</v>
      </c>
      <c r="D109" s="24">
        <v>2.0</v>
      </c>
      <c r="E109" s="18" t="b">
        <v>1</v>
      </c>
      <c r="G109" s="19" t="s">
        <v>39</v>
      </c>
    </row>
    <row r="110" ht="22.5" customHeight="1">
      <c r="A110" s="28">
        <v>132.0</v>
      </c>
      <c r="B110" s="24">
        <v>5.0</v>
      </c>
      <c r="C110" s="18">
        <v>29.0</v>
      </c>
      <c r="D110" s="24">
        <v>2.0</v>
      </c>
      <c r="E110" s="18" t="b">
        <v>0</v>
      </c>
      <c r="G110" s="19" t="s">
        <v>39</v>
      </c>
    </row>
    <row r="111" ht="22.5" customHeight="1">
      <c r="A111" s="28">
        <v>133.0</v>
      </c>
      <c r="B111" s="28">
        <v>6.0</v>
      </c>
      <c r="C111" s="18">
        <v>28.0</v>
      </c>
      <c r="D111" s="24">
        <v>2.0</v>
      </c>
      <c r="E111" s="18" t="b">
        <v>1</v>
      </c>
      <c r="G111" s="19" t="s">
        <v>39</v>
      </c>
    </row>
    <row r="112" ht="22.5" customHeight="1">
      <c r="A112" s="28">
        <v>134.0</v>
      </c>
      <c r="B112" s="24">
        <v>6.0</v>
      </c>
      <c r="C112" s="18">
        <v>29.0</v>
      </c>
      <c r="D112" s="24">
        <v>2.0</v>
      </c>
      <c r="E112" s="18" t="b">
        <v>0</v>
      </c>
      <c r="G112" s="19" t="s">
        <v>39</v>
      </c>
    </row>
    <row r="113" ht="22.5" customHeight="1">
      <c r="A113" s="28">
        <v>135.0</v>
      </c>
      <c r="B113" s="28">
        <v>7.0</v>
      </c>
      <c r="C113" s="18">
        <v>28.0</v>
      </c>
      <c r="D113" s="24">
        <v>2.0</v>
      </c>
      <c r="E113" s="18" t="b">
        <v>1</v>
      </c>
      <c r="G113" s="19" t="s">
        <v>39</v>
      </c>
    </row>
    <row r="114" ht="22.5" customHeight="1">
      <c r="A114" s="28">
        <v>136.0</v>
      </c>
      <c r="B114" s="24">
        <v>7.0</v>
      </c>
      <c r="C114" s="18">
        <v>29.0</v>
      </c>
      <c r="D114" s="24">
        <v>2.0</v>
      </c>
      <c r="E114" s="18" t="b">
        <v>0</v>
      </c>
      <c r="G114" s="19" t="s">
        <v>39</v>
      </c>
    </row>
    <row r="115" ht="22.5" customHeight="1">
      <c r="A115" s="28">
        <v>137.0</v>
      </c>
      <c r="B115" s="28">
        <v>8.0</v>
      </c>
      <c r="C115" s="18">
        <v>28.0</v>
      </c>
      <c r="D115" s="24">
        <v>2.0</v>
      </c>
      <c r="E115" s="18" t="b">
        <v>1</v>
      </c>
      <c r="G115" s="19" t="s">
        <v>39</v>
      </c>
    </row>
    <row r="116" ht="22.5" customHeight="1">
      <c r="A116" s="28">
        <v>138.0</v>
      </c>
      <c r="B116" s="24">
        <v>8.0</v>
      </c>
      <c r="C116" s="18">
        <v>29.0</v>
      </c>
      <c r="D116" s="24">
        <v>2.0</v>
      </c>
      <c r="E116" s="18" t="b">
        <v>0</v>
      </c>
      <c r="G116" s="19" t="s">
        <v>39</v>
      </c>
    </row>
    <row r="117" ht="22.5" customHeight="1">
      <c r="A117" s="28">
        <v>139.0</v>
      </c>
      <c r="B117" s="28">
        <v>9.0</v>
      </c>
      <c r="C117" s="18">
        <v>28.0</v>
      </c>
      <c r="D117" s="24">
        <v>2.0</v>
      </c>
      <c r="E117" s="18" t="b">
        <v>1</v>
      </c>
      <c r="G117" s="19" t="s">
        <v>39</v>
      </c>
    </row>
    <row r="118" ht="22.5" customHeight="1">
      <c r="A118" s="28">
        <v>140.0</v>
      </c>
      <c r="B118" s="24">
        <v>9.0</v>
      </c>
      <c r="C118" s="18">
        <v>29.0</v>
      </c>
      <c r="D118" s="24">
        <v>2.0</v>
      </c>
      <c r="E118" s="18" t="b">
        <v>0</v>
      </c>
      <c r="G118" s="19" t="s">
        <v>39</v>
      </c>
    </row>
    <row r="119" ht="22.5" customHeight="1">
      <c r="A119" s="28">
        <v>141.0</v>
      </c>
      <c r="B119" s="28">
        <v>10.0</v>
      </c>
      <c r="C119" s="18">
        <v>28.0</v>
      </c>
      <c r="D119" s="24">
        <v>2.0</v>
      </c>
      <c r="E119" s="18" t="b">
        <v>1</v>
      </c>
      <c r="G119" s="19" t="s">
        <v>39</v>
      </c>
    </row>
    <row r="120" ht="22.5" customHeight="1">
      <c r="A120" s="28">
        <v>142.0</v>
      </c>
      <c r="B120" s="24">
        <v>10.0</v>
      </c>
      <c r="C120" s="18">
        <v>29.0</v>
      </c>
      <c r="D120" s="24">
        <v>2.0</v>
      </c>
      <c r="E120" s="18" t="b">
        <v>0</v>
      </c>
      <c r="G120" s="19" t="s">
        <v>39</v>
      </c>
    </row>
    <row r="121" ht="22.5" customHeight="1">
      <c r="A121" s="28">
        <v>143.0</v>
      </c>
      <c r="B121" s="28">
        <v>11.0</v>
      </c>
      <c r="C121" s="18">
        <v>28.0</v>
      </c>
      <c r="D121" s="24">
        <v>2.0</v>
      </c>
      <c r="E121" s="18" t="b">
        <v>1</v>
      </c>
      <c r="G121" s="19" t="s">
        <v>39</v>
      </c>
    </row>
    <row r="122" ht="22.5" customHeight="1">
      <c r="A122" s="28">
        <v>144.0</v>
      </c>
      <c r="B122" s="24">
        <v>11.0</v>
      </c>
      <c r="C122" s="18">
        <v>29.0</v>
      </c>
      <c r="D122" s="24">
        <v>2.0</v>
      </c>
      <c r="E122" s="18" t="b">
        <v>0</v>
      </c>
      <c r="G122" s="19" t="s">
        <v>39</v>
      </c>
    </row>
    <row r="123" ht="22.5" customHeight="1">
      <c r="A123" s="28">
        <v>145.0</v>
      </c>
      <c r="B123" s="28">
        <v>12.0</v>
      </c>
      <c r="C123" s="18">
        <v>28.0</v>
      </c>
      <c r="D123" s="24">
        <v>2.0</v>
      </c>
      <c r="E123" s="18" t="b">
        <v>1</v>
      </c>
      <c r="G123" s="19" t="s">
        <v>39</v>
      </c>
    </row>
    <row r="124" ht="22.5" customHeight="1">
      <c r="A124" s="28">
        <v>146.0</v>
      </c>
      <c r="B124" s="24">
        <v>12.0</v>
      </c>
      <c r="C124" s="18">
        <v>29.0</v>
      </c>
      <c r="D124" s="24">
        <v>2.0</v>
      </c>
      <c r="E124" s="18" t="b">
        <v>0</v>
      </c>
      <c r="G124" s="19" t="s">
        <v>39</v>
      </c>
    </row>
    <row r="125" ht="22.5" customHeight="1">
      <c r="A125" s="28">
        <v>147.0</v>
      </c>
      <c r="B125" s="28">
        <v>13.0</v>
      </c>
      <c r="C125" s="18">
        <v>28.0</v>
      </c>
      <c r="D125" s="24">
        <v>2.0</v>
      </c>
      <c r="E125" s="18" t="b">
        <v>1</v>
      </c>
      <c r="G125" s="19" t="s">
        <v>39</v>
      </c>
    </row>
    <row r="126" ht="22.5" customHeight="1">
      <c r="A126" s="28">
        <v>148.0</v>
      </c>
      <c r="B126" s="24">
        <v>13.0</v>
      </c>
      <c r="C126" s="18">
        <v>29.0</v>
      </c>
      <c r="D126" s="24">
        <v>2.0</v>
      </c>
      <c r="E126" s="18" t="b">
        <v>0</v>
      </c>
      <c r="G126" s="19" t="s">
        <v>39</v>
      </c>
    </row>
    <row r="127" ht="22.5" customHeight="1">
      <c r="A127" s="28">
        <v>149.0</v>
      </c>
      <c r="B127" s="28">
        <v>14.0</v>
      </c>
      <c r="C127" s="18">
        <v>28.0</v>
      </c>
      <c r="D127" s="24">
        <v>2.0</v>
      </c>
      <c r="E127" s="18" t="b">
        <v>1</v>
      </c>
      <c r="G127" s="19" t="s">
        <v>39</v>
      </c>
    </row>
    <row r="128" ht="22.5" customHeight="1">
      <c r="A128" s="28">
        <v>150.0</v>
      </c>
      <c r="B128" s="24">
        <v>14.0</v>
      </c>
      <c r="C128" s="18">
        <v>29.0</v>
      </c>
      <c r="D128" s="24">
        <v>2.0</v>
      </c>
      <c r="E128" s="18" t="b">
        <v>0</v>
      </c>
      <c r="G128" s="19" t="s">
        <v>39</v>
      </c>
    </row>
    <row r="129" ht="22.5" customHeight="1">
      <c r="A129" s="28">
        <v>151.0</v>
      </c>
      <c r="B129" s="28">
        <v>15.0</v>
      </c>
      <c r="C129" s="18">
        <v>28.0</v>
      </c>
      <c r="D129" s="24">
        <v>2.0</v>
      </c>
      <c r="E129" s="18" t="b">
        <v>1</v>
      </c>
      <c r="G129" s="19" t="s">
        <v>39</v>
      </c>
    </row>
    <row r="130" ht="22.5" customHeight="1">
      <c r="A130" s="28">
        <v>152.0</v>
      </c>
      <c r="B130" s="24">
        <v>15.0</v>
      </c>
      <c r="C130" s="18">
        <v>29.0</v>
      </c>
      <c r="D130" s="24">
        <v>2.0</v>
      </c>
      <c r="E130" s="18" t="b">
        <v>0</v>
      </c>
      <c r="G130" s="19" t="s">
        <v>39</v>
      </c>
    </row>
    <row r="131" ht="22.5" customHeight="1">
      <c r="A131" s="28">
        <v>153.0</v>
      </c>
      <c r="B131" s="28">
        <v>16.0</v>
      </c>
      <c r="C131" s="18">
        <v>28.0</v>
      </c>
      <c r="D131" s="24">
        <v>2.0</v>
      </c>
      <c r="E131" s="18" t="b">
        <v>1</v>
      </c>
      <c r="G131" s="19" t="s">
        <v>39</v>
      </c>
    </row>
    <row r="132" ht="22.5" customHeight="1">
      <c r="A132" s="28">
        <v>154.0</v>
      </c>
      <c r="B132" s="24">
        <v>16.0</v>
      </c>
      <c r="C132" s="18">
        <v>29.0</v>
      </c>
      <c r="D132" s="24">
        <v>2.0</v>
      </c>
      <c r="E132" s="18" t="b">
        <v>0</v>
      </c>
      <c r="G132" s="19" t="s">
        <v>39</v>
      </c>
    </row>
    <row r="133" ht="22.5" customHeight="1">
      <c r="A133" s="28">
        <v>155.0</v>
      </c>
      <c r="B133" s="28">
        <v>17.0</v>
      </c>
      <c r="C133" s="18">
        <v>28.0</v>
      </c>
      <c r="D133" s="24">
        <v>2.0</v>
      </c>
      <c r="E133" s="18" t="b">
        <v>1</v>
      </c>
      <c r="G133" s="19" t="s">
        <v>39</v>
      </c>
    </row>
    <row r="134" ht="22.5" customHeight="1">
      <c r="A134" s="28">
        <v>156.0</v>
      </c>
      <c r="B134" s="24">
        <v>17.0</v>
      </c>
      <c r="C134" s="18">
        <v>29.0</v>
      </c>
      <c r="D134" s="24">
        <v>2.0</v>
      </c>
      <c r="E134" s="18" t="b">
        <v>0</v>
      </c>
      <c r="G134" s="19" t="s">
        <v>39</v>
      </c>
    </row>
    <row r="135" ht="22.5" customHeight="1">
      <c r="A135" s="28">
        <v>157.0</v>
      </c>
      <c r="B135" s="28">
        <v>18.0</v>
      </c>
      <c r="C135" s="18">
        <v>28.0</v>
      </c>
      <c r="D135" s="24">
        <v>2.0</v>
      </c>
      <c r="E135" s="18" t="b">
        <v>1</v>
      </c>
      <c r="G135" s="19" t="s">
        <v>39</v>
      </c>
    </row>
    <row r="136" ht="22.5" customHeight="1">
      <c r="A136" s="28">
        <v>158.0</v>
      </c>
      <c r="B136" s="24">
        <v>18.0</v>
      </c>
      <c r="C136" s="18">
        <v>29.0</v>
      </c>
      <c r="D136" s="24">
        <v>2.0</v>
      </c>
      <c r="E136" s="18" t="b">
        <v>0</v>
      </c>
      <c r="G136" s="19" t="s">
        <v>39</v>
      </c>
    </row>
    <row r="137" ht="22.5" customHeight="1">
      <c r="A137" s="28">
        <v>159.0</v>
      </c>
      <c r="B137" s="28">
        <v>19.0</v>
      </c>
      <c r="C137" s="18">
        <v>28.0</v>
      </c>
      <c r="D137" s="28">
        <v>2.0</v>
      </c>
      <c r="E137" s="18" t="b">
        <v>1</v>
      </c>
      <c r="G137" s="19" t="s">
        <v>39</v>
      </c>
    </row>
    <row r="138" ht="22.5" customHeight="1">
      <c r="A138" s="28">
        <v>160.0</v>
      </c>
      <c r="B138" s="24">
        <v>19.0</v>
      </c>
      <c r="C138" s="18">
        <v>29.0</v>
      </c>
      <c r="D138" s="24">
        <v>2.0</v>
      </c>
      <c r="E138" s="18" t="b">
        <v>0</v>
      </c>
      <c r="G138" s="19" t="s">
        <v>39</v>
      </c>
    </row>
    <row r="139" ht="22.5" customHeight="1">
      <c r="A139" s="28">
        <v>161.0</v>
      </c>
      <c r="B139" s="24">
        <v>20.0</v>
      </c>
      <c r="C139" s="18">
        <v>29.0</v>
      </c>
      <c r="D139" s="24">
        <v>2.0</v>
      </c>
      <c r="E139" s="18" t="b">
        <v>1</v>
      </c>
      <c r="G139" s="19" t="s">
        <v>39</v>
      </c>
    </row>
    <row r="140" ht="22.5" customHeight="1">
      <c r="A140" s="28">
        <v>162.0</v>
      </c>
      <c r="B140" s="24">
        <v>21.0</v>
      </c>
      <c r="C140" s="18">
        <v>29.0</v>
      </c>
      <c r="D140" s="24">
        <v>2.0</v>
      </c>
      <c r="E140" s="18" t="b">
        <v>1</v>
      </c>
      <c r="G140" s="19" t="s">
        <v>39</v>
      </c>
    </row>
    <row r="141" ht="22.5" customHeight="1">
      <c r="A141" s="28">
        <v>163.0</v>
      </c>
      <c r="B141" s="24">
        <v>22.0</v>
      </c>
      <c r="C141" s="18">
        <v>29.0</v>
      </c>
      <c r="D141" s="24">
        <v>2.0</v>
      </c>
      <c r="E141" s="18" t="b">
        <v>1</v>
      </c>
      <c r="G141" s="19" t="s">
        <v>39</v>
      </c>
    </row>
    <row r="142" ht="22.5" customHeight="1">
      <c r="A142" s="28">
        <v>164.0</v>
      </c>
      <c r="B142" s="24">
        <v>23.0</v>
      </c>
      <c r="C142" s="18">
        <v>29.0</v>
      </c>
      <c r="D142" s="24">
        <v>2.0</v>
      </c>
      <c r="E142" s="18" t="b">
        <v>1</v>
      </c>
      <c r="G142" s="19" t="s">
        <v>39</v>
      </c>
    </row>
    <row r="143" ht="22.5" customHeight="1">
      <c r="A143" s="28">
        <v>165.0</v>
      </c>
      <c r="B143" s="24">
        <v>24.0</v>
      </c>
      <c r="C143" s="18">
        <v>29.0</v>
      </c>
      <c r="D143" s="24">
        <v>2.0</v>
      </c>
      <c r="E143" s="18" t="b">
        <v>1</v>
      </c>
      <c r="G143" s="19" t="s">
        <v>39</v>
      </c>
    </row>
    <row r="144" ht="22.5" customHeight="1">
      <c r="A144" s="28">
        <v>166.0</v>
      </c>
      <c r="B144" s="24">
        <v>25.0</v>
      </c>
      <c r="C144" s="18">
        <v>29.0</v>
      </c>
      <c r="D144" s="24">
        <v>2.0</v>
      </c>
      <c r="E144" s="18" t="b">
        <v>1</v>
      </c>
      <c r="G144" s="19" t="s">
        <v>39</v>
      </c>
    </row>
    <row r="145" ht="22.5" customHeight="1">
      <c r="A145" s="28">
        <v>167.0</v>
      </c>
      <c r="B145" s="24">
        <v>26.0</v>
      </c>
      <c r="C145" s="18">
        <v>29.0</v>
      </c>
      <c r="D145" s="24">
        <v>2.0</v>
      </c>
      <c r="E145" s="18" t="b">
        <v>1</v>
      </c>
      <c r="G145" s="19" t="s">
        <v>39</v>
      </c>
    </row>
    <row r="146" ht="22.5" customHeight="1">
      <c r="A146" s="28">
        <v>168.0</v>
      </c>
      <c r="B146" s="24">
        <v>27.0</v>
      </c>
      <c r="C146" s="18">
        <v>29.0</v>
      </c>
      <c r="D146" s="24">
        <v>2.0</v>
      </c>
      <c r="E146" s="18" t="b">
        <v>1</v>
      </c>
      <c r="G146" s="19" t="s">
        <v>39</v>
      </c>
    </row>
    <row r="147" ht="22.5" customHeight="1">
      <c r="A147" s="28">
        <v>169.0</v>
      </c>
      <c r="B147" s="24">
        <v>28.0</v>
      </c>
      <c r="C147" s="18">
        <v>29.0</v>
      </c>
      <c r="D147" s="24">
        <v>2.0</v>
      </c>
      <c r="E147" s="18" t="b">
        <v>1</v>
      </c>
      <c r="G147" s="19" t="s">
        <v>39</v>
      </c>
    </row>
    <row r="148" ht="22.5" customHeight="1">
      <c r="A148" s="28">
        <v>170.0</v>
      </c>
      <c r="B148" s="24">
        <v>29.0</v>
      </c>
      <c r="C148" s="18">
        <v>29.0</v>
      </c>
      <c r="D148" s="24">
        <v>2.0</v>
      </c>
      <c r="E148" s="18" t="b">
        <v>1</v>
      </c>
      <c r="G148" s="19" t="s">
        <v>39</v>
      </c>
    </row>
    <row r="149" ht="22.5" customHeight="1">
      <c r="A149" s="28">
        <v>171.0</v>
      </c>
      <c r="B149" s="24">
        <v>30.0</v>
      </c>
      <c r="C149" s="18">
        <v>29.0</v>
      </c>
      <c r="D149" s="24">
        <v>2.0</v>
      </c>
      <c r="E149" s="18" t="b">
        <v>1</v>
      </c>
      <c r="G149" s="19" t="s">
        <v>39</v>
      </c>
    </row>
    <row r="150" ht="22.5" customHeight="1">
      <c r="A150" s="28">
        <v>172.0</v>
      </c>
      <c r="B150" s="24">
        <v>31.0</v>
      </c>
      <c r="C150" s="18">
        <v>29.0</v>
      </c>
      <c r="D150" s="24">
        <v>2.0</v>
      </c>
      <c r="E150" s="18" t="b">
        <v>1</v>
      </c>
      <c r="G150" s="19" t="s">
        <v>39</v>
      </c>
    </row>
    <row r="151" ht="22.5" customHeight="1">
      <c r="A151" s="28">
        <v>173.0</v>
      </c>
      <c r="B151" s="24">
        <v>32.0</v>
      </c>
      <c r="C151" s="18">
        <v>29.0</v>
      </c>
      <c r="D151" s="24">
        <v>2.0</v>
      </c>
      <c r="E151" s="18" t="b">
        <v>1</v>
      </c>
      <c r="G151" s="19" t="s">
        <v>39</v>
      </c>
    </row>
    <row r="152" ht="22.5" customHeight="1">
      <c r="A152" s="28">
        <v>174.0</v>
      </c>
      <c r="B152" s="24">
        <v>33.0</v>
      </c>
      <c r="C152" s="18">
        <v>29.0</v>
      </c>
      <c r="D152" s="24">
        <v>2.0</v>
      </c>
      <c r="E152" s="18" t="b">
        <v>1</v>
      </c>
      <c r="G152" s="19" t="s">
        <v>39</v>
      </c>
    </row>
    <row r="153" ht="22.5" customHeight="1">
      <c r="A153" s="28">
        <v>175.0</v>
      </c>
      <c r="B153" s="24">
        <v>34.0</v>
      </c>
      <c r="C153" s="18">
        <v>29.0</v>
      </c>
      <c r="D153" s="24">
        <v>2.0</v>
      </c>
      <c r="E153" s="18" t="b">
        <v>1</v>
      </c>
      <c r="G153" s="19" t="s">
        <v>39</v>
      </c>
    </row>
    <row r="154" ht="22.5" customHeight="1">
      <c r="A154" s="28">
        <v>176.0</v>
      </c>
      <c r="B154" s="24">
        <v>35.0</v>
      </c>
      <c r="C154" s="18">
        <v>29.0</v>
      </c>
      <c r="D154" s="24">
        <v>2.0</v>
      </c>
      <c r="E154" s="18" t="b">
        <v>1</v>
      </c>
      <c r="G154" s="19" t="s">
        <v>39</v>
      </c>
    </row>
    <row r="155" ht="22.5" customHeight="1">
      <c r="A155" s="28">
        <v>177.0</v>
      </c>
      <c r="B155" s="24">
        <v>36.0</v>
      </c>
      <c r="C155" s="18">
        <v>29.0</v>
      </c>
      <c r="D155" s="24">
        <v>2.0</v>
      </c>
      <c r="E155" s="18" t="b">
        <v>1</v>
      </c>
      <c r="G155" s="19" t="s">
        <v>39</v>
      </c>
    </row>
    <row r="156" ht="22.5" customHeight="1">
      <c r="A156" s="28">
        <v>178.0</v>
      </c>
      <c r="B156" s="24">
        <v>37.0</v>
      </c>
      <c r="C156" s="18">
        <v>29.0</v>
      </c>
      <c r="D156" s="24">
        <v>2.0</v>
      </c>
      <c r="E156" s="18" t="b">
        <v>1</v>
      </c>
      <c r="G156" s="19" t="s">
        <v>39</v>
      </c>
    </row>
    <row r="157" ht="22.5" customHeight="1">
      <c r="A157" s="28">
        <v>179.0</v>
      </c>
      <c r="B157" s="24">
        <v>38.0</v>
      </c>
      <c r="C157" s="18">
        <v>29.0</v>
      </c>
      <c r="D157" s="24">
        <v>2.0</v>
      </c>
      <c r="E157" s="18" t="b">
        <v>1</v>
      </c>
      <c r="G157" s="19" t="s">
        <v>39</v>
      </c>
    </row>
    <row r="158" ht="22.5" customHeight="1">
      <c r="A158" s="28">
        <v>180.0</v>
      </c>
      <c r="B158" s="24">
        <v>39.0</v>
      </c>
      <c r="C158" s="18">
        <v>29.0</v>
      </c>
      <c r="D158" s="24">
        <v>2.0</v>
      </c>
      <c r="E158" s="18" t="b">
        <v>1</v>
      </c>
      <c r="G158" s="19" t="s">
        <v>39</v>
      </c>
    </row>
    <row r="159" ht="22.5" customHeight="1">
      <c r="A159" s="28">
        <v>181.0</v>
      </c>
      <c r="B159" s="24">
        <v>40.0</v>
      </c>
      <c r="C159" s="18">
        <v>29.0</v>
      </c>
      <c r="D159" s="24">
        <v>2.0</v>
      </c>
      <c r="E159" s="18" t="b">
        <v>1</v>
      </c>
      <c r="G159" s="19" t="s">
        <v>39</v>
      </c>
    </row>
    <row r="160" ht="22.5" customHeight="1">
      <c r="A160" s="28">
        <v>182.0</v>
      </c>
      <c r="B160" s="24">
        <v>41.0</v>
      </c>
      <c r="C160" s="18">
        <v>29.0</v>
      </c>
      <c r="D160" s="24">
        <v>2.0</v>
      </c>
      <c r="E160" s="18" t="b">
        <v>1</v>
      </c>
      <c r="G160" s="19" t="s">
        <v>39</v>
      </c>
    </row>
    <row r="161" ht="22.5" customHeight="1">
      <c r="A161" s="28">
        <v>183.0</v>
      </c>
      <c r="B161" s="24">
        <v>42.0</v>
      </c>
      <c r="C161" s="18">
        <v>29.0</v>
      </c>
      <c r="D161" s="24">
        <v>2.0</v>
      </c>
      <c r="E161" s="18" t="b">
        <v>1</v>
      </c>
      <c r="G161" s="19" t="s">
        <v>39</v>
      </c>
    </row>
    <row r="162" ht="22.5" customHeight="1">
      <c r="A162" s="28">
        <v>184.0</v>
      </c>
      <c r="B162" s="24">
        <v>43.0</v>
      </c>
      <c r="C162" s="18">
        <v>29.0</v>
      </c>
      <c r="D162" s="24">
        <v>2.0</v>
      </c>
      <c r="E162" s="18" t="b">
        <v>1</v>
      </c>
      <c r="G162" s="19" t="s">
        <v>39</v>
      </c>
    </row>
    <row r="163" ht="22.5" customHeight="1">
      <c r="A163" s="28">
        <v>185.0</v>
      </c>
      <c r="B163" s="24">
        <v>46.0</v>
      </c>
      <c r="C163" s="18">
        <v>33.0</v>
      </c>
      <c r="D163" s="24">
        <v>2.0</v>
      </c>
      <c r="E163" s="18" t="b">
        <v>1</v>
      </c>
      <c r="G163" s="19" t="s">
        <v>39</v>
      </c>
    </row>
    <row r="164" ht="22.5" customHeight="1">
      <c r="A164" s="28">
        <v>186.0</v>
      </c>
      <c r="B164" s="24">
        <v>47.0</v>
      </c>
      <c r="C164" s="18">
        <v>33.0</v>
      </c>
      <c r="D164" s="24">
        <v>2.0</v>
      </c>
      <c r="E164" s="18" t="b">
        <v>1</v>
      </c>
      <c r="G164" s="19" t="s">
        <v>39</v>
      </c>
    </row>
    <row r="165" ht="22.5" customHeight="1">
      <c r="A165" s="28">
        <v>187.0</v>
      </c>
      <c r="B165" s="24">
        <v>49.0</v>
      </c>
      <c r="C165" s="18">
        <v>33.0</v>
      </c>
      <c r="D165" s="24">
        <v>2.0</v>
      </c>
      <c r="E165" s="18" t="b">
        <v>1</v>
      </c>
      <c r="G165" s="19" t="s">
        <v>39</v>
      </c>
    </row>
    <row r="166" ht="22.5" customHeight="1">
      <c r="A166" s="28">
        <v>188.0</v>
      </c>
      <c r="B166" s="24">
        <v>50.0</v>
      </c>
      <c r="C166" s="18">
        <v>33.0</v>
      </c>
      <c r="D166" s="24">
        <v>2.0</v>
      </c>
      <c r="E166" s="18" t="b">
        <v>1</v>
      </c>
      <c r="G166" s="19" t="s">
        <v>39</v>
      </c>
    </row>
    <row r="167" ht="22.5" customHeight="1">
      <c r="A167" s="28">
        <v>189.0</v>
      </c>
      <c r="B167" s="24">
        <v>51.0</v>
      </c>
      <c r="C167" s="18">
        <v>33.0</v>
      </c>
      <c r="D167" s="24">
        <v>2.0</v>
      </c>
      <c r="E167" s="18" t="b">
        <v>1</v>
      </c>
      <c r="G167" s="19" t="s">
        <v>39</v>
      </c>
    </row>
    <row r="168" ht="22.5" customHeight="1">
      <c r="A168" s="28">
        <v>190.0</v>
      </c>
      <c r="B168" s="24">
        <v>52.0</v>
      </c>
      <c r="C168" s="18">
        <v>33.0</v>
      </c>
      <c r="D168" s="24">
        <v>2.0</v>
      </c>
      <c r="E168" s="18" t="b">
        <v>1</v>
      </c>
      <c r="G168" s="19" t="s">
        <v>39</v>
      </c>
    </row>
    <row r="169" ht="22.5" customHeight="1">
      <c r="A169" s="28">
        <v>191.0</v>
      </c>
      <c r="B169" s="24">
        <v>53.0</v>
      </c>
      <c r="C169" s="18">
        <v>33.0</v>
      </c>
      <c r="D169" s="24">
        <v>2.0</v>
      </c>
      <c r="E169" s="18" t="b">
        <v>1</v>
      </c>
      <c r="G169" s="19" t="s">
        <v>39</v>
      </c>
    </row>
    <row r="170" ht="22.5" customHeight="1">
      <c r="A170" s="28">
        <v>192.0</v>
      </c>
      <c r="B170" s="24">
        <v>54.0</v>
      </c>
      <c r="C170" s="18">
        <v>33.0</v>
      </c>
      <c r="D170" s="24">
        <v>2.0</v>
      </c>
      <c r="E170" s="18" t="b">
        <v>1</v>
      </c>
      <c r="G170" s="19" t="s">
        <v>39</v>
      </c>
    </row>
    <row r="171" ht="22.5" customHeight="1">
      <c r="A171" s="28">
        <v>193.0</v>
      </c>
      <c r="B171" s="24">
        <v>57.0</v>
      </c>
      <c r="C171" s="18">
        <v>33.0</v>
      </c>
      <c r="D171" s="24">
        <v>2.0</v>
      </c>
      <c r="E171" s="18" t="b">
        <v>1</v>
      </c>
      <c r="G171" s="19" t="s">
        <v>39</v>
      </c>
    </row>
    <row r="172" ht="22.5" customHeight="1">
      <c r="A172" s="28">
        <v>194.0</v>
      </c>
      <c r="B172" s="24">
        <v>58.0</v>
      </c>
      <c r="C172" s="18">
        <v>33.0</v>
      </c>
      <c r="D172" s="24">
        <v>2.0</v>
      </c>
      <c r="E172" s="18" t="b">
        <v>1</v>
      </c>
      <c r="G172" s="19" t="s">
        <v>39</v>
      </c>
    </row>
    <row r="173" ht="22.5" customHeight="1">
      <c r="A173" s="28">
        <v>195.0</v>
      </c>
      <c r="B173" s="24">
        <v>59.0</v>
      </c>
      <c r="C173" s="18">
        <v>33.0</v>
      </c>
      <c r="D173" s="24">
        <v>2.0</v>
      </c>
      <c r="E173" s="18" t="b">
        <v>1</v>
      </c>
      <c r="G173" s="19" t="s">
        <v>39</v>
      </c>
    </row>
    <row r="174" ht="22.5" customHeight="1">
      <c r="A174" s="28">
        <v>196.0</v>
      </c>
      <c r="B174" s="24">
        <v>60.0</v>
      </c>
      <c r="C174" s="18">
        <v>33.0</v>
      </c>
      <c r="D174" s="24">
        <v>2.0</v>
      </c>
      <c r="E174" s="18" t="b">
        <v>1</v>
      </c>
      <c r="G174" s="19" t="s">
        <v>39</v>
      </c>
    </row>
    <row r="175" ht="22.5" customHeight="1">
      <c r="A175" s="28">
        <v>197.0</v>
      </c>
      <c r="B175" s="24">
        <v>61.0</v>
      </c>
      <c r="C175" s="18">
        <v>33.0</v>
      </c>
      <c r="D175" s="24">
        <v>2.0</v>
      </c>
      <c r="E175" s="18" t="b">
        <v>1</v>
      </c>
      <c r="G175" s="19" t="s">
        <v>39</v>
      </c>
    </row>
    <row r="176" ht="22.5" customHeight="1">
      <c r="A176" s="28">
        <v>198.0</v>
      </c>
      <c r="B176" s="24">
        <v>62.0</v>
      </c>
      <c r="C176" s="18">
        <v>33.0</v>
      </c>
      <c r="D176" s="24">
        <v>2.0</v>
      </c>
      <c r="E176" s="18" t="b">
        <v>1</v>
      </c>
      <c r="G176" s="19" t="s">
        <v>39</v>
      </c>
    </row>
    <row r="177" ht="22.5" customHeight="1">
      <c r="A177" s="28">
        <v>199.0</v>
      </c>
      <c r="B177" s="24">
        <v>63.0</v>
      </c>
      <c r="C177" s="18">
        <v>34.0</v>
      </c>
      <c r="D177" s="24">
        <v>2.0</v>
      </c>
      <c r="E177" s="18" t="b">
        <v>1</v>
      </c>
      <c r="G177" s="19" t="s">
        <v>39</v>
      </c>
    </row>
    <row r="178" ht="22.5" customHeight="1">
      <c r="A178" s="28">
        <v>200.0</v>
      </c>
      <c r="B178" s="24">
        <v>64.0</v>
      </c>
      <c r="C178" s="18">
        <v>34.0</v>
      </c>
      <c r="D178" s="24">
        <v>2.0</v>
      </c>
      <c r="E178" s="18" t="b">
        <v>1</v>
      </c>
      <c r="G178" s="19" t="s">
        <v>39</v>
      </c>
    </row>
    <row r="179" ht="22.5" customHeight="1">
      <c r="A179" s="28">
        <v>225.0</v>
      </c>
      <c r="B179" s="24">
        <v>1.0</v>
      </c>
      <c r="C179" s="18">
        <v>28.0</v>
      </c>
      <c r="D179" s="24">
        <v>3.0</v>
      </c>
      <c r="E179" s="18" t="b">
        <v>1</v>
      </c>
      <c r="G179" s="19" t="s">
        <v>39</v>
      </c>
    </row>
    <row r="180" ht="22.5" customHeight="1">
      <c r="A180" s="28">
        <v>226.0</v>
      </c>
      <c r="B180" s="28">
        <v>1.0</v>
      </c>
      <c r="C180" s="18">
        <v>29.0</v>
      </c>
      <c r="D180" s="24">
        <v>3.0</v>
      </c>
      <c r="E180" s="18" t="b">
        <v>0</v>
      </c>
      <c r="G180" s="19" t="s">
        <v>39</v>
      </c>
    </row>
    <row r="181" ht="22.5" customHeight="1">
      <c r="A181" s="28">
        <v>227.0</v>
      </c>
      <c r="B181" s="24">
        <v>2.0</v>
      </c>
      <c r="C181" s="18">
        <v>28.0</v>
      </c>
      <c r="D181" s="24">
        <v>3.0</v>
      </c>
      <c r="E181" s="18" t="b">
        <v>1</v>
      </c>
      <c r="G181" s="19" t="s">
        <v>39</v>
      </c>
    </row>
    <row r="182" ht="22.5" customHeight="1">
      <c r="A182" s="28">
        <v>228.0</v>
      </c>
      <c r="B182" s="28">
        <v>2.0</v>
      </c>
      <c r="C182" s="18">
        <v>29.0</v>
      </c>
      <c r="D182" s="24">
        <v>3.0</v>
      </c>
      <c r="E182" s="18" t="b">
        <v>0</v>
      </c>
      <c r="G182" s="19" t="s">
        <v>39</v>
      </c>
    </row>
    <row r="183" ht="22.5" customHeight="1">
      <c r="A183" s="28">
        <v>229.0</v>
      </c>
      <c r="B183" s="24">
        <v>3.0</v>
      </c>
      <c r="C183" s="18">
        <v>28.0</v>
      </c>
      <c r="D183" s="24">
        <v>3.0</v>
      </c>
      <c r="E183" s="18" t="b">
        <v>1</v>
      </c>
      <c r="G183" s="19" t="s">
        <v>39</v>
      </c>
    </row>
    <row r="184" ht="22.5" customHeight="1">
      <c r="A184" s="28">
        <v>230.0</v>
      </c>
      <c r="B184" s="28">
        <v>3.0</v>
      </c>
      <c r="C184" s="18">
        <v>29.0</v>
      </c>
      <c r="D184" s="24">
        <v>3.0</v>
      </c>
      <c r="E184" s="18" t="b">
        <v>0</v>
      </c>
      <c r="G184" s="19" t="s">
        <v>39</v>
      </c>
    </row>
    <row r="185" ht="22.5" customHeight="1">
      <c r="A185" s="28">
        <v>231.0</v>
      </c>
      <c r="B185" s="24">
        <v>4.0</v>
      </c>
      <c r="C185" s="18">
        <v>28.0</v>
      </c>
      <c r="D185" s="24">
        <v>3.0</v>
      </c>
      <c r="E185" s="18" t="b">
        <v>1</v>
      </c>
      <c r="G185" s="19" t="s">
        <v>39</v>
      </c>
    </row>
    <row r="186" ht="22.5" customHeight="1">
      <c r="A186" s="28">
        <v>232.0</v>
      </c>
      <c r="B186" s="28">
        <v>4.0</v>
      </c>
      <c r="C186" s="18">
        <v>29.0</v>
      </c>
      <c r="D186" s="24">
        <v>3.0</v>
      </c>
      <c r="E186" s="18" t="b">
        <v>0</v>
      </c>
      <c r="G186" s="19" t="s">
        <v>39</v>
      </c>
    </row>
    <row r="187" ht="22.5" customHeight="1">
      <c r="A187" s="28">
        <v>233.0</v>
      </c>
      <c r="B187" s="24">
        <v>5.0</v>
      </c>
      <c r="C187" s="18">
        <v>28.0</v>
      </c>
      <c r="D187" s="24">
        <v>3.0</v>
      </c>
      <c r="E187" s="18" t="b">
        <v>1</v>
      </c>
      <c r="G187" s="19" t="s">
        <v>39</v>
      </c>
    </row>
    <row r="188" ht="22.5" customHeight="1">
      <c r="A188" s="28">
        <v>234.0</v>
      </c>
      <c r="B188" s="28">
        <v>5.0</v>
      </c>
      <c r="C188" s="18">
        <v>29.0</v>
      </c>
      <c r="D188" s="24">
        <v>3.0</v>
      </c>
      <c r="E188" s="18" t="b">
        <v>0</v>
      </c>
      <c r="G188" s="19" t="s">
        <v>39</v>
      </c>
    </row>
    <row r="189" ht="22.5" customHeight="1">
      <c r="A189" s="28">
        <v>235.0</v>
      </c>
      <c r="B189" s="24">
        <v>6.0</v>
      </c>
      <c r="C189" s="18">
        <v>28.0</v>
      </c>
      <c r="D189" s="24">
        <v>3.0</v>
      </c>
      <c r="E189" s="18" t="b">
        <v>1</v>
      </c>
      <c r="G189" s="19" t="s">
        <v>39</v>
      </c>
    </row>
    <row r="190" ht="22.5" customHeight="1">
      <c r="A190" s="28">
        <v>236.0</v>
      </c>
      <c r="B190" s="28">
        <v>6.0</v>
      </c>
      <c r="C190" s="18">
        <v>29.0</v>
      </c>
      <c r="D190" s="24">
        <v>3.0</v>
      </c>
      <c r="E190" s="18" t="b">
        <v>0</v>
      </c>
      <c r="G190" s="19" t="s">
        <v>39</v>
      </c>
    </row>
    <row r="191" ht="22.5" customHeight="1">
      <c r="A191" s="28">
        <v>237.0</v>
      </c>
      <c r="B191" s="24">
        <v>7.0</v>
      </c>
      <c r="C191" s="18">
        <v>28.0</v>
      </c>
      <c r="D191" s="24">
        <v>3.0</v>
      </c>
      <c r="E191" s="18" t="b">
        <v>1</v>
      </c>
      <c r="G191" s="19" t="s">
        <v>39</v>
      </c>
    </row>
    <row r="192" ht="22.5" customHeight="1">
      <c r="A192" s="28">
        <v>238.0</v>
      </c>
      <c r="B192" s="28">
        <v>7.0</v>
      </c>
      <c r="C192" s="18">
        <v>29.0</v>
      </c>
      <c r="D192" s="24">
        <v>3.0</v>
      </c>
      <c r="E192" s="18" t="b">
        <v>0</v>
      </c>
      <c r="G192" s="19" t="s">
        <v>39</v>
      </c>
    </row>
    <row r="193" ht="22.5" customHeight="1">
      <c r="A193" s="28">
        <v>239.0</v>
      </c>
      <c r="B193" s="24">
        <v>8.0</v>
      </c>
      <c r="C193" s="18">
        <v>28.0</v>
      </c>
      <c r="D193" s="24">
        <v>3.0</v>
      </c>
      <c r="E193" s="18" t="b">
        <v>1</v>
      </c>
      <c r="G193" s="19" t="s">
        <v>39</v>
      </c>
    </row>
    <row r="194" ht="22.5" customHeight="1">
      <c r="A194" s="28">
        <v>240.0</v>
      </c>
      <c r="B194" s="28">
        <v>8.0</v>
      </c>
      <c r="C194" s="18">
        <v>29.0</v>
      </c>
      <c r="D194" s="24">
        <v>3.0</v>
      </c>
      <c r="E194" s="18" t="b">
        <v>0</v>
      </c>
      <c r="G194" s="19" t="s">
        <v>39</v>
      </c>
    </row>
    <row r="195" ht="22.5" customHeight="1">
      <c r="A195" s="28">
        <v>241.0</v>
      </c>
      <c r="B195" s="24">
        <v>9.0</v>
      </c>
      <c r="C195" s="18">
        <v>28.0</v>
      </c>
      <c r="D195" s="24">
        <v>3.0</v>
      </c>
      <c r="E195" s="18" t="b">
        <v>1</v>
      </c>
      <c r="G195" s="19" t="s">
        <v>39</v>
      </c>
    </row>
    <row r="196" ht="22.5" customHeight="1">
      <c r="A196" s="28">
        <v>242.0</v>
      </c>
      <c r="B196" s="28">
        <v>9.0</v>
      </c>
      <c r="C196" s="18">
        <v>29.0</v>
      </c>
      <c r="D196" s="24">
        <v>3.0</v>
      </c>
      <c r="E196" s="18" t="b">
        <v>0</v>
      </c>
      <c r="G196" s="19" t="s">
        <v>39</v>
      </c>
    </row>
    <row r="197" ht="22.5" customHeight="1">
      <c r="A197" s="28">
        <v>243.0</v>
      </c>
      <c r="B197" s="24">
        <v>10.0</v>
      </c>
      <c r="C197" s="18">
        <v>28.0</v>
      </c>
      <c r="D197" s="24">
        <v>3.0</v>
      </c>
      <c r="E197" s="18" t="b">
        <v>1</v>
      </c>
      <c r="G197" s="19" t="s">
        <v>39</v>
      </c>
    </row>
    <row r="198" ht="22.5" customHeight="1">
      <c r="A198" s="28">
        <v>244.0</v>
      </c>
      <c r="B198" s="28">
        <v>10.0</v>
      </c>
      <c r="C198" s="18">
        <v>29.0</v>
      </c>
      <c r="D198" s="24">
        <v>3.0</v>
      </c>
      <c r="E198" s="18" t="b">
        <v>0</v>
      </c>
      <c r="G198" s="19" t="s">
        <v>39</v>
      </c>
    </row>
    <row r="199" ht="22.5" customHeight="1">
      <c r="A199" s="28">
        <v>245.0</v>
      </c>
      <c r="B199" s="24">
        <v>11.0</v>
      </c>
      <c r="C199" s="18">
        <v>28.0</v>
      </c>
      <c r="D199" s="24">
        <v>3.0</v>
      </c>
      <c r="E199" s="18" t="b">
        <v>1</v>
      </c>
      <c r="G199" s="19" t="s">
        <v>39</v>
      </c>
    </row>
    <row r="200" ht="22.5" customHeight="1">
      <c r="A200" s="28">
        <v>246.0</v>
      </c>
      <c r="B200" s="28">
        <v>11.0</v>
      </c>
      <c r="C200" s="18">
        <v>29.0</v>
      </c>
      <c r="D200" s="24">
        <v>3.0</v>
      </c>
      <c r="E200" s="18" t="b">
        <v>0</v>
      </c>
      <c r="G200" s="19" t="s">
        <v>39</v>
      </c>
    </row>
    <row r="201" ht="22.5" customHeight="1">
      <c r="A201" s="28">
        <v>247.0</v>
      </c>
      <c r="B201" s="24">
        <v>12.0</v>
      </c>
      <c r="C201" s="18">
        <v>28.0</v>
      </c>
      <c r="D201" s="24">
        <v>3.0</v>
      </c>
      <c r="E201" s="18" t="b">
        <v>1</v>
      </c>
      <c r="G201" s="19" t="s">
        <v>39</v>
      </c>
    </row>
    <row r="202" ht="22.5" customHeight="1">
      <c r="A202" s="28">
        <v>248.0</v>
      </c>
      <c r="B202" s="28">
        <v>12.0</v>
      </c>
      <c r="C202" s="18">
        <v>29.0</v>
      </c>
      <c r="D202" s="24">
        <v>3.0</v>
      </c>
      <c r="E202" s="18" t="b">
        <v>0</v>
      </c>
      <c r="G202" s="19" t="s">
        <v>39</v>
      </c>
    </row>
    <row r="203" ht="22.5" customHeight="1">
      <c r="A203" s="28">
        <v>249.0</v>
      </c>
      <c r="B203" s="24">
        <v>13.0</v>
      </c>
      <c r="C203" s="18">
        <v>28.0</v>
      </c>
      <c r="D203" s="24">
        <v>3.0</v>
      </c>
      <c r="E203" s="18" t="b">
        <v>1</v>
      </c>
      <c r="G203" s="19" t="s">
        <v>39</v>
      </c>
    </row>
    <row r="204" ht="22.5" customHeight="1">
      <c r="A204" s="28">
        <v>250.0</v>
      </c>
      <c r="B204" s="28">
        <v>13.0</v>
      </c>
      <c r="C204" s="18">
        <v>29.0</v>
      </c>
      <c r="D204" s="24">
        <v>3.0</v>
      </c>
      <c r="E204" s="18" t="b">
        <v>0</v>
      </c>
      <c r="G204" s="19" t="s">
        <v>39</v>
      </c>
    </row>
    <row r="205" ht="22.5" customHeight="1">
      <c r="A205" s="28">
        <v>251.0</v>
      </c>
      <c r="B205" s="24">
        <v>14.0</v>
      </c>
      <c r="C205" s="18">
        <v>28.0</v>
      </c>
      <c r="D205" s="24">
        <v>3.0</v>
      </c>
      <c r="E205" s="18" t="b">
        <v>1</v>
      </c>
      <c r="G205" s="19" t="s">
        <v>39</v>
      </c>
    </row>
    <row r="206" ht="22.5" customHeight="1">
      <c r="A206" s="28">
        <v>252.0</v>
      </c>
      <c r="B206" s="28">
        <v>14.0</v>
      </c>
      <c r="C206" s="18">
        <v>29.0</v>
      </c>
      <c r="D206" s="24">
        <v>3.0</v>
      </c>
      <c r="E206" s="18" t="b">
        <v>0</v>
      </c>
      <c r="G206" s="19" t="s">
        <v>39</v>
      </c>
    </row>
    <row r="207" ht="22.5" customHeight="1">
      <c r="A207" s="28">
        <v>253.0</v>
      </c>
      <c r="B207" s="24">
        <v>15.0</v>
      </c>
      <c r="C207" s="18">
        <v>28.0</v>
      </c>
      <c r="D207" s="24">
        <v>3.0</v>
      </c>
      <c r="E207" s="18" t="b">
        <v>1</v>
      </c>
      <c r="G207" s="19" t="s">
        <v>39</v>
      </c>
    </row>
    <row r="208" ht="22.5" customHeight="1">
      <c r="A208" s="28">
        <v>254.0</v>
      </c>
      <c r="B208" s="28">
        <v>15.0</v>
      </c>
      <c r="C208" s="18">
        <v>29.0</v>
      </c>
      <c r="D208" s="24">
        <v>3.0</v>
      </c>
      <c r="E208" s="18" t="b">
        <v>0</v>
      </c>
      <c r="G208" s="19" t="s">
        <v>39</v>
      </c>
    </row>
    <row r="209" ht="22.5" customHeight="1">
      <c r="A209" s="28">
        <v>255.0</v>
      </c>
      <c r="B209" s="24">
        <v>16.0</v>
      </c>
      <c r="C209" s="18">
        <v>28.0</v>
      </c>
      <c r="D209" s="24">
        <v>3.0</v>
      </c>
      <c r="E209" s="18" t="b">
        <v>1</v>
      </c>
      <c r="G209" s="19" t="s">
        <v>39</v>
      </c>
    </row>
    <row r="210" ht="22.5" customHeight="1">
      <c r="A210" s="28">
        <v>256.0</v>
      </c>
      <c r="B210" s="28">
        <v>16.0</v>
      </c>
      <c r="C210" s="18">
        <v>29.0</v>
      </c>
      <c r="D210" s="24">
        <v>3.0</v>
      </c>
      <c r="E210" s="18" t="b">
        <v>0</v>
      </c>
      <c r="G210" s="19" t="s">
        <v>39</v>
      </c>
    </row>
    <row r="211" ht="22.5" customHeight="1">
      <c r="A211" s="28">
        <v>257.0</v>
      </c>
      <c r="B211" s="24">
        <v>17.0</v>
      </c>
      <c r="C211" s="18">
        <v>28.0</v>
      </c>
      <c r="D211" s="24">
        <v>3.0</v>
      </c>
      <c r="E211" s="18" t="b">
        <v>1</v>
      </c>
      <c r="G211" s="19" t="s">
        <v>39</v>
      </c>
    </row>
    <row r="212" ht="22.5" customHeight="1">
      <c r="A212" s="28">
        <v>258.0</v>
      </c>
      <c r="B212" s="28">
        <v>17.0</v>
      </c>
      <c r="C212" s="18">
        <v>29.0</v>
      </c>
      <c r="D212" s="24">
        <v>3.0</v>
      </c>
      <c r="E212" s="18" t="b">
        <v>0</v>
      </c>
      <c r="G212" s="19" t="s">
        <v>39</v>
      </c>
    </row>
    <row r="213" ht="22.5" customHeight="1">
      <c r="A213" s="28">
        <v>259.0</v>
      </c>
      <c r="B213" s="24">
        <v>18.0</v>
      </c>
      <c r="C213" s="18">
        <v>28.0</v>
      </c>
      <c r="D213" s="24">
        <v>3.0</v>
      </c>
      <c r="E213" s="18" t="b">
        <v>1</v>
      </c>
      <c r="G213" s="19" t="s">
        <v>39</v>
      </c>
    </row>
    <row r="214" ht="22.5" customHeight="1">
      <c r="A214" s="28">
        <v>260.0</v>
      </c>
      <c r="B214" s="28">
        <v>18.0</v>
      </c>
      <c r="C214" s="18">
        <v>29.0</v>
      </c>
      <c r="D214" s="24">
        <v>3.0</v>
      </c>
      <c r="E214" s="18" t="b">
        <v>0</v>
      </c>
      <c r="G214" s="19" t="s">
        <v>39</v>
      </c>
    </row>
    <row r="215" ht="22.5" customHeight="1">
      <c r="A215" s="28">
        <v>261.0</v>
      </c>
      <c r="B215" s="24">
        <v>19.0</v>
      </c>
      <c r="C215" s="18">
        <v>28.0</v>
      </c>
      <c r="D215" s="24">
        <v>3.0</v>
      </c>
      <c r="E215" s="18" t="b">
        <v>1</v>
      </c>
      <c r="G215" s="19" t="s">
        <v>39</v>
      </c>
    </row>
    <row r="216" ht="22.5" customHeight="1">
      <c r="A216" s="28">
        <v>262.0</v>
      </c>
      <c r="B216" s="28">
        <v>19.0</v>
      </c>
      <c r="C216" s="18">
        <v>29.0</v>
      </c>
      <c r="D216" s="28">
        <v>3.0</v>
      </c>
      <c r="E216" s="18" t="b">
        <v>0</v>
      </c>
      <c r="G216" s="19" t="s">
        <v>39</v>
      </c>
    </row>
    <row r="217" ht="22.5" customHeight="1">
      <c r="A217" s="28">
        <v>263.0</v>
      </c>
      <c r="B217" s="24">
        <v>20.0</v>
      </c>
      <c r="C217" s="18">
        <v>29.0</v>
      </c>
      <c r="D217" s="24">
        <v>3.0</v>
      </c>
      <c r="E217" s="18" t="b">
        <v>1</v>
      </c>
      <c r="G217" s="19" t="s">
        <v>39</v>
      </c>
    </row>
    <row r="218" ht="22.5" customHeight="1">
      <c r="A218" s="28">
        <v>264.0</v>
      </c>
      <c r="B218" s="24">
        <v>21.0</v>
      </c>
      <c r="C218" s="18">
        <v>29.0</v>
      </c>
      <c r="D218" s="24">
        <v>3.0</v>
      </c>
      <c r="E218" s="18" t="b">
        <v>1</v>
      </c>
      <c r="G218" s="19" t="s">
        <v>39</v>
      </c>
    </row>
    <row r="219" ht="22.5" customHeight="1">
      <c r="A219" s="28">
        <v>265.0</v>
      </c>
      <c r="B219" s="24">
        <v>22.0</v>
      </c>
      <c r="C219" s="18">
        <v>29.0</v>
      </c>
      <c r="D219" s="24">
        <v>3.0</v>
      </c>
      <c r="E219" s="18" t="b">
        <v>1</v>
      </c>
      <c r="G219" s="19" t="s">
        <v>39</v>
      </c>
    </row>
    <row r="220" ht="22.5" customHeight="1">
      <c r="A220" s="28">
        <v>266.0</v>
      </c>
      <c r="B220" s="24">
        <v>23.0</v>
      </c>
      <c r="C220" s="18">
        <v>29.0</v>
      </c>
      <c r="D220" s="24">
        <v>3.0</v>
      </c>
      <c r="E220" s="18" t="b">
        <v>1</v>
      </c>
      <c r="G220" s="19" t="s">
        <v>39</v>
      </c>
    </row>
    <row r="221" ht="22.5" customHeight="1">
      <c r="A221" s="28">
        <v>267.0</v>
      </c>
      <c r="B221" s="24">
        <v>24.0</v>
      </c>
      <c r="C221" s="18">
        <v>29.0</v>
      </c>
      <c r="D221" s="24">
        <v>3.0</v>
      </c>
      <c r="E221" s="18" t="b">
        <v>1</v>
      </c>
      <c r="G221" s="19" t="s">
        <v>39</v>
      </c>
    </row>
    <row r="222" ht="22.5" customHeight="1">
      <c r="A222" s="28">
        <v>268.0</v>
      </c>
      <c r="B222" s="24">
        <v>25.0</v>
      </c>
      <c r="C222" s="18">
        <v>29.0</v>
      </c>
      <c r="D222" s="24">
        <v>3.0</v>
      </c>
      <c r="E222" s="18" t="b">
        <v>1</v>
      </c>
      <c r="G222" s="19" t="s">
        <v>39</v>
      </c>
    </row>
    <row r="223" ht="22.5" customHeight="1">
      <c r="A223" s="28">
        <v>269.0</v>
      </c>
      <c r="B223" s="24">
        <v>26.0</v>
      </c>
      <c r="C223" s="18">
        <v>29.0</v>
      </c>
      <c r="D223" s="24">
        <v>3.0</v>
      </c>
      <c r="E223" s="18" t="b">
        <v>1</v>
      </c>
      <c r="G223" s="19" t="s">
        <v>39</v>
      </c>
    </row>
    <row r="224" ht="22.5" customHeight="1">
      <c r="A224" s="28">
        <v>270.0</v>
      </c>
      <c r="B224" s="24">
        <v>27.0</v>
      </c>
      <c r="C224" s="18">
        <v>29.0</v>
      </c>
      <c r="D224" s="24">
        <v>3.0</v>
      </c>
      <c r="E224" s="18" t="b">
        <v>1</v>
      </c>
      <c r="G224" s="19" t="s">
        <v>39</v>
      </c>
    </row>
    <row r="225" ht="22.5" customHeight="1">
      <c r="A225" s="28">
        <v>271.0</v>
      </c>
      <c r="B225" s="24">
        <v>28.0</v>
      </c>
      <c r="C225" s="18">
        <v>29.0</v>
      </c>
      <c r="D225" s="24">
        <v>3.0</v>
      </c>
      <c r="E225" s="18" t="b">
        <v>1</v>
      </c>
      <c r="G225" s="19" t="s">
        <v>39</v>
      </c>
    </row>
    <row r="226" ht="22.5" customHeight="1">
      <c r="A226" s="28">
        <v>272.0</v>
      </c>
      <c r="B226" s="24">
        <v>29.0</v>
      </c>
      <c r="C226" s="18">
        <v>29.0</v>
      </c>
      <c r="D226" s="24">
        <v>3.0</v>
      </c>
      <c r="E226" s="18" t="b">
        <v>1</v>
      </c>
      <c r="G226" s="19" t="s">
        <v>39</v>
      </c>
    </row>
    <row r="227" ht="22.5" customHeight="1">
      <c r="A227" s="28">
        <v>273.0</v>
      </c>
      <c r="B227" s="24">
        <v>30.0</v>
      </c>
      <c r="C227" s="18">
        <v>29.0</v>
      </c>
      <c r="D227" s="24">
        <v>3.0</v>
      </c>
      <c r="E227" s="18" t="b">
        <v>1</v>
      </c>
      <c r="G227" s="19" t="s">
        <v>39</v>
      </c>
    </row>
    <row r="228" ht="22.5" customHeight="1">
      <c r="A228" s="28">
        <v>274.0</v>
      </c>
      <c r="B228" s="24">
        <v>31.0</v>
      </c>
      <c r="C228" s="18">
        <v>29.0</v>
      </c>
      <c r="D228" s="24">
        <v>3.0</v>
      </c>
      <c r="E228" s="18" t="b">
        <v>1</v>
      </c>
      <c r="G228" s="19" t="s">
        <v>39</v>
      </c>
    </row>
    <row r="229" ht="22.5" customHeight="1">
      <c r="A229" s="28">
        <v>275.0</v>
      </c>
      <c r="B229" s="24">
        <v>32.0</v>
      </c>
      <c r="C229" s="18">
        <v>29.0</v>
      </c>
      <c r="D229" s="24">
        <v>3.0</v>
      </c>
      <c r="E229" s="18" t="b">
        <v>1</v>
      </c>
      <c r="G229" s="19" t="s">
        <v>39</v>
      </c>
    </row>
    <row r="230" ht="22.5" customHeight="1">
      <c r="A230" s="28">
        <v>276.0</v>
      </c>
      <c r="B230" s="24">
        <v>33.0</v>
      </c>
      <c r="C230" s="18">
        <v>29.0</v>
      </c>
      <c r="D230" s="24">
        <v>3.0</v>
      </c>
      <c r="E230" s="18" t="b">
        <v>1</v>
      </c>
      <c r="G230" s="19" t="s">
        <v>39</v>
      </c>
    </row>
    <row r="231" ht="22.5" customHeight="1">
      <c r="A231" s="28">
        <v>277.0</v>
      </c>
      <c r="B231" s="24">
        <v>34.0</v>
      </c>
      <c r="C231" s="18">
        <v>29.0</v>
      </c>
      <c r="D231" s="24">
        <v>3.0</v>
      </c>
      <c r="E231" s="18" t="b">
        <v>1</v>
      </c>
      <c r="G231" s="19" t="s">
        <v>39</v>
      </c>
    </row>
    <row r="232" ht="22.5" customHeight="1">
      <c r="A232" s="28">
        <v>278.0</v>
      </c>
      <c r="B232" s="24">
        <v>35.0</v>
      </c>
      <c r="C232" s="18">
        <v>29.0</v>
      </c>
      <c r="D232" s="24">
        <v>3.0</v>
      </c>
      <c r="E232" s="18" t="b">
        <v>1</v>
      </c>
      <c r="G232" s="19" t="s">
        <v>39</v>
      </c>
    </row>
    <row r="233" ht="22.5" customHeight="1">
      <c r="A233" s="28">
        <v>279.0</v>
      </c>
      <c r="B233" s="24">
        <v>36.0</v>
      </c>
      <c r="C233" s="18">
        <v>29.0</v>
      </c>
      <c r="D233" s="24">
        <v>3.0</v>
      </c>
      <c r="E233" s="18" t="b">
        <v>1</v>
      </c>
      <c r="G233" s="19" t="s">
        <v>39</v>
      </c>
    </row>
    <row r="234" ht="22.5" customHeight="1">
      <c r="A234" s="28">
        <v>280.0</v>
      </c>
      <c r="B234" s="24">
        <v>37.0</v>
      </c>
      <c r="C234" s="18">
        <v>29.0</v>
      </c>
      <c r="D234" s="24">
        <v>3.0</v>
      </c>
      <c r="E234" s="18" t="b">
        <v>1</v>
      </c>
      <c r="G234" s="19" t="s">
        <v>39</v>
      </c>
    </row>
    <row r="235" ht="22.5" customHeight="1">
      <c r="A235" s="28">
        <v>281.0</v>
      </c>
      <c r="B235" s="24">
        <v>38.0</v>
      </c>
      <c r="C235" s="18">
        <v>29.0</v>
      </c>
      <c r="D235" s="24">
        <v>3.0</v>
      </c>
      <c r="E235" s="18" t="b">
        <v>1</v>
      </c>
      <c r="G235" s="19" t="s">
        <v>39</v>
      </c>
    </row>
    <row r="236" ht="22.5" customHeight="1">
      <c r="A236" s="28">
        <v>282.0</v>
      </c>
      <c r="B236" s="24">
        <v>39.0</v>
      </c>
      <c r="C236" s="18">
        <v>29.0</v>
      </c>
      <c r="D236" s="24">
        <v>3.0</v>
      </c>
      <c r="E236" s="18" t="b">
        <v>1</v>
      </c>
      <c r="G236" s="19" t="s">
        <v>39</v>
      </c>
    </row>
    <row r="237" ht="22.5" customHeight="1">
      <c r="A237" s="28">
        <v>283.0</v>
      </c>
      <c r="B237" s="24">
        <v>40.0</v>
      </c>
      <c r="C237" s="18">
        <v>29.0</v>
      </c>
      <c r="D237" s="24">
        <v>3.0</v>
      </c>
      <c r="E237" s="18" t="b">
        <v>1</v>
      </c>
      <c r="G237" s="19" t="s">
        <v>39</v>
      </c>
    </row>
    <row r="238" ht="22.5" customHeight="1">
      <c r="A238" s="28">
        <v>284.0</v>
      </c>
      <c r="B238" s="24">
        <v>41.0</v>
      </c>
      <c r="C238" s="18">
        <v>29.0</v>
      </c>
      <c r="D238" s="24">
        <v>3.0</v>
      </c>
      <c r="E238" s="18" t="b">
        <v>1</v>
      </c>
      <c r="G238" s="19" t="s">
        <v>39</v>
      </c>
    </row>
    <row r="239" ht="22.5" customHeight="1">
      <c r="A239" s="28">
        <v>285.0</v>
      </c>
      <c r="B239" s="24">
        <v>42.0</v>
      </c>
      <c r="C239" s="18">
        <v>29.0</v>
      </c>
      <c r="D239" s="24">
        <v>3.0</v>
      </c>
      <c r="E239" s="18" t="b">
        <v>1</v>
      </c>
      <c r="G239" s="19" t="s">
        <v>39</v>
      </c>
    </row>
    <row r="240" ht="22.5" customHeight="1">
      <c r="A240" s="28">
        <v>286.0</v>
      </c>
      <c r="B240" s="24">
        <v>44.0</v>
      </c>
      <c r="C240" s="18">
        <v>31.0</v>
      </c>
      <c r="D240" s="24">
        <v>3.0</v>
      </c>
      <c r="E240" s="18" t="b">
        <v>1</v>
      </c>
      <c r="G240" s="19" t="s">
        <v>39</v>
      </c>
    </row>
    <row r="241" ht="22.5" customHeight="1">
      <c r="A241" s="28">
        <v>287.0</v>
      </c>
      <c r="B241" s="24">
        <v>46.0</v>
      </c>
      <c r="C241" s="18">
        <v>33.0</v>
      </c>
      <c r="D241" s="24">
        <v>3.0</v>
      </c>
      <c r="E241" s="18" t="b">
        <v>1</v>
      </c>
      <c r="G241" s="19" t="s">
        <v>39</v>
      </c>
    </row>
    <row r="242" ht="22.5" customHeight="1">
      <c r="A242" s="28">
        <v>288.0</v>
      </c>
      <c r="B242" s="24">
        <v>49.0</v>
      </c>
      <c r="C242" s="18">
        <v>33.0</v>
      </c>
      <c r="D242" s="24">
        <v>3.0</v>
      </c>
      <c r="E242" s="18" t="b">
        <v>1</v>
      </c>
      <c r="G242" s="19" t="s">
        <v>39</v>
      </c>
    </row>
    <row r="243" ht="22.5" customHeight="1">
      <c r="A243" s="28">
        <v>289.0</v>
      </c>
      <c r="B243" s="24">
        <v>54.0</v>
      </c>
      <c r="C243" s="18">
        <v>33.0</v>
      </c>
      <c r="D243" s="24">
        <v>3.0</v>
      </c>
      <c r="E243" s="18" t="b">
        <v>1</v>
      </c>
      <c r="G243" s="19" t="s">
        <v>39</v>
      </c>
    </row>
    <row r="244" ht="22.5" customHeight="1">
      <c r="A244" s="28">
        <v>290.0</v>
      </c>
      <c r="B244" s="24">
        <v>57.0</v>
      </c>
      <c r="C244" s="18">
        <v>33.0</v>
      </c>
      <c r="D244" s="24">
        <v>3.0</v>
      </c>
      <c r="E244" s="18" t="b">
        <v>1</v>
      </c>
      <c r="G244" s="19" t="s">
        <v>39</v>
      </c>
    </row>
    <row r="245" ht="22.5" customHeight="1">
      <c r="A245" s="28">
        <v>291.0</v>
      </c>
      <c r="B245" s="24">
        <v>58.0</v>
      </c>
      <c r="C245" s="18">
        <v>33.0</v>
      </c>
      <c r="D245" s="24">
        <v>3.0</v>
      </c>
      <c r="E245" s="18" t="b">
        <v>1</v>
      </c>
      <c r="G245" s="19" t="s">
        <v>39</v>
      </c>
    </row>
    <row r="246" ht="22.5" customHeight="1">
      <c r="A246" s="28">
        <v>292.0</v>
      </c>
      <c r="B246" s="24">
        <v>59.0</v>
      </c>
      <c r="C246" s="18">
        <v>33.0</v>
      </c>
      <c r="D246" s="24">
        <v>3.0</v>
      </c>
      <c r="E246" s="18" t="b">
        <v>1</v>
      </c>
      <c r="G246" s="19" t="s">
        <v>39</v>
      </c>
    </row>
    <row r="247" ht="22.5" customHeight="1">
      <c r="A247" s="28">
        <v>293.0</v>
      </c>
      <c r="B247" s="24">
        <v>60.0</v>
      </c>
      <c r="C247" s="18">
        <v>33.0</v>
      </c>
      <c r="D247" s="24">
        <v>3.0</v>
      </c>
      <c r="E247" s="18" t="b">
        <v>1</v>
      </c>
      <c r="G247" s="19" t="s">
        <v>39</v>
      </c>
    </row>
    <row r="248" ht="22.5" customHeight="1">
      <c r="A248" s="28">
        <v>294.0</v>
      </c>
      <c r="B248" s="24">
        <v>61.0</v>
      </c>
      <c r="C248" s="18">
        <v>33.0</v>
      </c>
      <c r="D248" s="24">
        <v>3.0</v>
      </c>
      <c r="E248" s="18" t="b">
        <v>1</v>
      </c>
      <c r="G248" s="19" t="s">
        <v>39</v>
      </c>
    </row>
    <row r="249" ht="22.5" customHeight="1">
      <c r="A249" s="28">
        <v>295.0</v>
      </c>
      <c r="B249" s="24">
        <v>63.0</v>
      </c>
      <c r="C249" s="18">
        <v>22.0</v>
      </c>
      <c r="D249" s="24">
        <v>3.0</v>
      </c>
      <c r="E249" s="18" t="b">
        <v>1</v>
      </c>
      <c r="G249" s="19" t="s">
        <v>39</v>
      </c>
    </row>
    <row r="250" ht="22.5" customHeight="1">
      <c r="A250" s="28">
        <v>296.0</v>
      </c>
      <c r="B250" s="24">
        <v>64.0</v>
      </c>
      <c r="C250" s="18">
        <v>34.0</v>
      </c>
      <c r="D250" s="24">
        <v>3.0</v>
      </c>
      <c r="E250" s="18" t="b">
        <v>1</v>
      </c>
      <c r="G250" s="19" t="s">
        <v>39</v>
      </c>
    </row>
    <row r="251" ht="22.5" customHeight="1">
      <c r="A251" s="28">
        <v>297.0</v>
      </c>
      <c r="B251" s="24">
        <v>65.0</v>
      </c>
      <c r="C251" s="18">
        <v>34.0</v>
      </c>
      <c r="D251" s="24">
        <v>3.0</v>
      </c>
      <c r="E251" s="18" t="b">
        <v>1</v>
      </c>
      <c r="G251" s="19" t="s">
        <v>39</v>
      </c>
    </row>
    <row r="252" ht="22.5" customHeight="1">
      <c r="A252" s="28">
        <v>298.0</v>
      </c>
      <c r="B252" s="24">
        <v>66.0</v>
      </c>
      <c r="C252" s="18">
        <v>22.0</v>
      </c>
      <c r="D252" s="24">
        <v>3.0</v>
      </c>
      <c r="E252" s="18" t="b">
        <v>1</v>
      </c>
      <c r="G252" s="19" t="s">
        <v>39</v>
      </c>
    </row>
    <row r="253" ht="22.5" customHeight="1">
      <c r="A253" s="28">
        <v>299.0</v>
      </c>
      <c r="B253" s="24">
        <v>67.0</v>
      </c>
      <c r="C253" s="18">
        <v>22.0</v>
      </c>
      <c r="D253" s="24">
        <v>3.0</v>
      </c>
      <c r="E253" s="18" t="b">
        <v>1</v>
      </c>
      <c r="G253" s="19" t="s">
        <v>39</v>
      </c>
    </row>
    <row r="254" ht="22.5" customHeight="1">
      <c r="A254" s="28">
        <v>300.0</v>
      </c>
      <c r="B254" s="24">
        <v>68.0</v>
      </c>
      <c r="C254" s="18">
        <v>22.0</v>
      </c>
      <c r="D254" s="24">
        <v>3.0</v>
      </c>
      <c r="E254" s="18" t="b">
        <v>1</v>
      </c>
      <c r="G254" s="19" t="s">
        <v>39</v>
      </c>
    </row>
    <row r="255" ht="22.5" customHeight="1">
      <c r="A255" s="28">
        <v>301.0</v>
      </c>
      <c r="B255" s="24">
        <v>70.0</v>
      </c>
      <c r="C255" s="18">
        <v>22.0</v>
      </c>
      <c r="D255" s="24">
        <v>3.0</v>
      </c>
      <c r="E255" s="18" t="b">
        <v>1</v>
      </c>
      <c r="G255" s="19" t="s">
        <v>39</v>
      </c>
    </row>
    <row r="256" ht="22.5" customHeight="1">
      <c r="A256" s="28">
        <v>302.0</v>
      </c>
      <c r="B256" s="24">
        <v>71.0</v>
      </c>
      <c r="C256" s="18">
        <v>22.0</v>
      </c>
      <c r="D256" s="24">
        <v>3.0</v>
      </c>
      <c r="E256" s="18" t="b">
        <v>1</v>
      </c>
      <c r="G256" s="19" t="s">
        <v>39</v>
      </c>
    </row>
    <row r="257" ht="22.5" customHeight="1">
      <c r="A257" s="28">
        <v>303.0</v>
      </c>
      <c r="B257" s="24">
        <v>72.0</v>
      </c>
      <c r="C257" s="18">
        <v>22.0</v>
      </c>
      <c r="D257" s="24">
        <v>3.0</v>
      </c>
      <c r="E257" s="18" t="b">
        <v>1</v>
      </c>
      <c r="G257" s="19" t="s">
        <v>39</v>
      </c>
    </row>
    <row r="258" ht="22.5" customHeight="1">
      <c r="A258" s="28">
        <v>304.0</v>
      </c>
      <c r="B258" s="24">
        <v>73.0</v>
      </c>
      <c r="C258" s="18">
        <v>22.0</v>
      </c>
      <c r="D258" s="24">
        <v>3.0</v>
      </c>
      <c r="E258" s="18" t="b">
        <v>1</v>
      </c>
      <c r="G258" s="19" t="s">
        <v>39</v>
      </c>
    </row>
    <row r="259" ht="22.5" customHeight="1">
      <c r="A259" s="28">
        <v>305.0</v>
      </c>
      <c r="B259" s="24">
        <v>74.0</v>
      </c>
      <c r="C259" s="18">
        <v>22.0</v>
      </c>
      <c r="D259" s="24">
        <v>3.0</v>
      </c>
      <c r="E259" s="18" t="b">
        <v>1</v>
      </c>
      <c r="G259" s="19" t="s">
        <v>39</v>
      </c>
    </row>
    <row r="260" ht="22.5" customHeight="1">
      <c r="A260" s="28">
        <v>306.0</v>
      </c>
      <c r="B260" s="24">
        <v>75.0</v>
      </c>
      <c r="C260" s="18">
        <v>22.0</v>
      </c>
      <c r="D260" s="24">
        <v>3.0</v>
      </c>
      <c r="E260" s="18" t="b">
        <v>1</v>
      </c>
      <c r="G260" s="19" t="s">
        <v>39</v>
      </c>
    </row>
    <row r="261" ht="22.5" customHeight="1">
      <c r="A261" s="28">
        <v>307.0</v>
      </c>
      <c r="B261" s="24">
        <v>76.0</v>
      </c>
      <c r="C261" s="18">
        <v>22.0</v>
      </c>
      <c r="D261" s="24">
        <v>3.0</v>
      </c>
      <c r="E261" s="18" t="b">
        <v>1</v>
      </c>
      <c r="G261" s="19" t="s">
        <v>39</v>
      </c>
    </row>
    <row r="262" ht="22.5" customHeight="1">
      <c r="A262" s="28">
        <v>308.0</v>
      </c>
      <c r="B262" s="24">
        <v>77.0</v>
      </c>
      <c r="C262" s="18">
        <v>22.0</v>
      </c>
      <c r="D262" s="24">
        <v>3.0</v>
      </c>
      <c r="E262" s="18" t="b">
        <v>1</v>
      </c>
      <c r="G262" s="19" t="s">
        <v>39</v>
      </c>
    </row>
    <row r="263" ht="22.5" customHeight="1">
      <c r="A263" s="28">
        <v>309.0</v>
      </c>
      <c r="B263" s="24">
        <v>78.0</v>
      </c>
      <c r="C263" s="18">
        <v>22.0</v>
      </c>
      <c r="D263" s="24">
        <v>3.0</v>
      </c>
      <c r="E263" s="18" t="b">
        <v>1</v>
      </c>
      <c r="G263" s="19" t="s">
        <v>39</v>
      </c>
    </row>
    <row r="264" ht="22.5" customHeight="1">
      <c r="A264" s="28">
        <v>310.0</v>
      </c>
      <c r="B264" s="24">
        <v>79.0</v>
      </c>
      <c r="C264" s="18">
        <v>22.0</v>
      </c>
      <c r="D264" s="24">
        <v>3.0</v>
      </c>
      <c r="E264" s="18" t="b">
        <v>1</v>
      </c>
      <c r="G264" s="19" t="s">
        <v>39</v>
      </c>
    </row>
    <row r="265" ht="22.5" customHeight="1">
      <c r="A265" s="28">
        <v>311.0</v>
      </c>
      <c r="B265" s="24">
        <v>80.0</v>
      </c>
      <c r="C265" s="18">
        <v>22.0</v>
      </c>
      <c r="D265" s="24">
        <v>3.0</v>
      </c>
      <c r="E265" s="18" t="b">
        <v>1</v>
      </c>
      <c r="G265" s="19" t="s">
        <v>39</v>
      </c>
    </row>
    <row r="266" ht="22.5" customHeight="1">
      <c r="A266" s="28">
        <v>312.0</v>
      </c>
      <c r="B266" s="24">
        <v>81.0</v>
      </c>
      <c r="C266" s="18">
        <v>22.0</v>
      </c>
      <c r="D266" s="24">
        <v>3.0</v>
      </c>
      <c r="E266" s="18" t="b">
        <v>1</v>
      </c>
      <c r="G266" s="19" t="s">
        <v>39</v>
      </c>
    </row>
    <row r="267" ht="22.5" customHeight="1">
      <c r="A267" s="28">
        <v>313.0</v>
      </c>
      <c r="B267" s="24">
        <v>83.0</v>
      </c>
      <c r="C267" s="18">
        <v>22.0</v>
      </c>
      <c r="D267" s="24">
        <v>3.0</v>
      </c>
      <c r="E267" s="18" t="b">
        <v>1</v>
      </c>
      <c r="G267" s="19" t="s">
        <v>39</v>
      </c>
    </row>
    <row r="268" ht="22.5" customHeight="1">
      <c r="A268" s="28">
        <v>314.0</v>
      </c>
      <c r="B268" s="24">
        <v>84.0</v>
      </c>
      <c r="C268" s="18">
        <v>22.0</v>
      </c>
      <c r="D268" s="24">
        <v>3.0</v>
      </c>
      <c r="E268" s="18" t="b">
        <v>1</v>
      </c>
      <c r="G268" s="19" t="s">
        <v>39</v>
      </c>
    </row>
    <row r="269" ht="22.5" customHeight="1">
      <c r="A269" s="28">
        <v>339.0</v>
      </c>
      <c r="B269" s="24">
        <v>109.0</v>
      </c>
      <c r="C269" s="18">
        <v>39.0</v>
      </c>
      <c r="D269" s="24">
        <v>3.0</v>
      </c>
      <c r="E269" s="18" t="b">
        <v>1</v>
      </c>
      <c r="G269" s="19" t="s">
        <v>39</v>
      </c>
    </row>
    <row r="270" ht="22.5" customHeight="1">
      <c r="A270" s="28">
        <v>340.0</v>
      </c>
      <c r="B270" s="24">
        <v>110.0</v>
      </c>
      <c r="C270" s="18">
        <v>29.0</v>
      </c>
      <c r="D270" s="24">
        <v>3.0</v>
      </c>
      <c r="E270" s="18" t="b">
        <v>1</v>
      </c>
      <c r="G270" s="19" t="s">
        <v>39</v>
      </c>
    </row>
    <row r="271" ht="22.5" customHeight="1">
      <c r="A271" s="28">
        <v>341.0</v>
      </c>
      <c r="B271" s="24">
        <v>111.0</v>
      </c>
      <c r="C271" s="18">
        <v>34.0</v>
      </c>
      <c r="D271" s="24">
        <v>3.0</v>
      </c>
      <c r="E271" s="18" t="b">
        <v>1</v>
      </c>
      <c r="G271" s="19" t="s">
        <v>39</v>
      </c>
    </row>
    <row r="272" ht="22.5" customHeight="1">
      <c r="A272" s="28">
        <v>342.0</v>
      </c>
      <c r="B272" s="24">
        <v>1.0</v>
      </c>
      <c r="C272" s="18">
        <v>28.0</v>
      </c>
      <c r="D272" s="24">
        <v>4.0</v>
      </c>
      <c r="E272" s="18" t="b">
        <v>1</v>
      </c>
      <c r="G272" s="19" t="s">
        <v>39</v>
      </c>
    </row>
    <row r="273" ht="22.5" customHeight="1">
      <c r="A273" s="28">
        <v>343.0</v>
      </c>
      <c r="B273" s="24">
        <v>1.0</v>
      </c>
      <c r="C273" s="18">
        <v>29.0</v>
      </c>
      <c r="D273" s="24">
        <v>4.0</v>
      </c>
      <c r="E273" s="18" t="b">
        <v>0</v>
      </c>
      <c r="G273" s="19" t="s">
        <v>39</v>
      </c>
    </row>
    <row r="274" ht="22.5" customHeight="1">
      <c r="A274" s="28">
        <v>344.0</v>
      </c>
      <c r="B274" s="24">
        <v>2.0</v>
      </c>
      <c r="C274" s="18">
        <v>28.0</v>
      </c>
      <c r="D274" s="24">
        <v>4.0</v>
      </c>
      <c r="E274" s="18" t="b">
        <v>1</v>
      </c>
      <c r="G274" s="19" t="s">
        <v>39</v>
      </c>
    </row>
    <row r="275" ht="22.5" customHeight="1">
      <c r="A275" s="28">
        <v>345.0</v>
      </c>
      <c r="B275" s="28">
        <v>2.0</v>
      </c>
      <c r="C275" s="18">
        <v>29.0</v>
      </c>
      <c r="D275" s="24">
        <v>4.0</v>
      </c>
      <c r="E275" s="18" t="b">
        <v>0</v>
      </c>
      <c r="G275" s="19" t="s">
        <v>39</v>
      </c>
    </row>
    <row r="276" ht="22.5" customHeight="1">
      <c r="A276" s="28">
        <v>346.0</v>
      </c>
      <c r="B276" s="24">
        <v>3.0</v>
      </c>
      <c r="C276" s="18">
        <v>28.0</v>
      </c>
      <c r="D276" s="24">
        <v>4.0</v>
      </c>
      <c r="E276" s="18" t="b">
        <v>1</v>
      </c>
      <c r="G276" s="19" t="s">
        <v>39</v>
      </c>
    </row>
    <row r="277" ht="22.5" customHeight="1">
      <c r="A277" s="28">
        <v>347.0</v>
      </c>
      <c r="B277" s="28">
        <v>3.0</v>
      </c>
      <c r="C277" s="18">
        <v>29.0</v>
      </c>
      <c r="D277" s="24">
        <v>4.0</v>
      </c>
      <c r="E277" s="18" t="b">
        <v>0</v>
      </c>
      <c r="G277" s="19" t="s">
        <v>39</v>
      </c>
    </row>
    <row r="278" ht="22.5" customHeight="1">
      <c r="A278" s="28">
        <v>348.0</v>
      </c>
      <c r="B278" s="24">
        <v>4.0</v>
      </c>
      <c r="C278" s="18">
        <v>28.0</v>
      </c>
      <c r="D278" s="24">
        <v>4.0</v>
      </c>
      <c r="E278" s="18" t="b">
        <v>1</v>
      </c>
      <c r="G278" s="19" t="s">
        <v>39</v>
      </c>
    </row>
    <row r="279" ht="22.5" customHeight="1">
      <c r="A279" s="28">
        <v>349.0</v>
      </c>
      <c r="B279" s="28">
        <v>4.0</v>
      </c>
      <c r="C279" s="18">
        <v>29.0</v>
      </c>
      <c r="D279" s="24">
        <v>4.0</v>
      </c>
      <c r="E279" s="18" t="b">
        <v>0</v>
      </c>
      <c r="G279" s="19" t="s">
        <v>39</v>
      </c>
    </row>
    <row r="280" ht="22.5" customHeight="1">
      <c r="A280" s="28">
        <v>350.0</v>
      </c>
      <c r="B280" s="24">
        <v>5.0</v>
      </c>
      <c r="C280" s="18">
        <v>22.0</v>
      </c>
      <c r="D280" s="24">
        <v>4.0</v>
      </c>
      <c r="E280" s="18" t="b">
        <v>1</v>
      </c>
      <c r="G280" s="19" t="s">
        <v>39</v>
      </c>
    </row>
    <row r="281" ht="22.5" customHeight="1">
      <c r="A281" s="28">
        <v>352.0</v>
      </c>
      <c r="B281" s="24">
        <v>6.0</v>
      </c>
      <c r="C281" s="18">
        <v>28.0</v>
      </c>
      <c r="D281" s="24">
        <v>4.0</v>
      </c>
      <c r="E281" s="18" t="b">
        <v>1</v>
      </c>
      <c r="G281" s="19" t="s">
        <v>39</v>
      </c>
    </row>
    <row r="282" ht="22.5" customHeight="1">
      <c r="A282" s="28">
        <v>353.0</v>
      </c>
      <c r="B282" s="28">
        <v>6.0</v>
      </c>
      <c r="C282" s="18">
        <v>29.0</v>
      </c>
      <c r="D282" s="24">
        <v>4.0</v>
      </c>
      <c r="E282" s="18" t="b">
        <v>0</v>
      </c>
      <c r="G282" s="19" t="s">
        <v>39</v>
      </c>
    </row>
    <row r="283" ht="22.5" customHeight="1">
      <c r="A283" s="28">
        <v>354.0</v>
      </c>
      <c r="B283" s="24">
        <v>7.0</v>
      </c>
      <c r="C283" s="18">
        <v>28.0</v>
      </c>
      <c r="D283" s="24">
        <v>4.0</v>
      </c>
      <c r="E283" s="18" t="b">
        <v>1</v>
      </c>
      <c r="G283" s="19" t="s">
        <v>39</v>
      </c>
    </row>
    <row r="284" ht="22.5" customHeight="1">
      <c r="A284" s="28">
        <v>355.0</v>
      </c>
      <c r="B284" s="28">
        <v>7.0</v>
      </c>
      <c r="C284" s="18">
        <v>29.0</v>
      </c>
      <c r="D284" s="24">
        <v>4.0</v>
      </c>
      <c r="E284" s="18" t="b">
        <v>0</v>
      </c>
      <c r="G284" s="19" t="s">
        <v>39</v>
      </c>
    </row>
    <row r="285" ht="22.5" customHeight="1">
      <c r="A285" s="28">
        <v>356.0</v>
      </c>
      <c r="B285" s="24">
        <v>8.0</v>
      </c>
      <c r="C285" s="18">
        <v>28.0</v>
      </c>
      <c r="D285" s="24">
        <v>4.0</v>
      </c>
      <c r="E285" s="18" t="b">
        <v>1</v>
      </c>
      <c r="G285" s="19" t="s">
        <v>39</v>
      </c>
    </row>
    <row r="286" ht="22.5" customHeight="1">
      <c r="A286" s="28">
        <v>357.0</v>
      </c>
      <c r="B286" s="28">
        <v>8.0</v>
      </c>
      <c r="C286" s="18">
        <v>29.0</v>
      </c>
      <c r="D286" s="24">
        <v>4.0</v>
      </c>
      <c r="E286" s="18" t="b">
        <v>0</v>
      </c>
      <c r="G286" s="19" t="s">
        <v>39</v>
      </c>
    </row>
    <row r="287" ht="22.5" customHeight="1">
      <c r="A287" s="28">
        <v>358.0</v>
      </c>
      <c r="B287" s="24">
        <v>9.0</v>
      </c>
      <c r="C287" s="18">
        <v>28.0</v>
      </c>
      <c r="D287" s="24">
        <v>4.0</v>
      </c>
      <c r="E287" s="18" t="b">
        <v>1</v>
      </c>
      <c r="G287" s="19" t="s">
        <v>39</v>
      </c>
    </row>
    <row r="288" ht="22.5" customHeight="1">
      <c r="A288" s="28">
        <v>359.0</v>
      </c>
      <c r="B288" s="28">
        <v>9.0</v>
      </c>
      <c r="C288" s="18">
        <v>29.0</v>
      </c>
      <c r="D288" s="24">
        <v>4.0</v>
      </c>
      <c r="E288" s="18" t="b">
        <v>0</v>
      </c>
      <c r="G288" s="19" t="s">
        <v>39</v>
      </c>
    </row>
    <row r="289" ht="22.5" customHeight="1">
      <c r="A289" s="28">
        <v>360.0</v>
      </c>
      <c r="B289" s="24">
        <v>10.0</v>
      </c>
      <c r="C289" s="18">
        <v>28.0</v>
      </c>
      <c r="D289" s="24">
        <v>4.0</v>
      </c>
      <c r="E289" s="18" t="b">
        <v>1</v>
      </c>
      <c r="G289" s="19" t="s">
        <v>39</v>
      </c>
    </row>
    <row r="290" ht="22.5" customHeight="1">
      <c r="A290" s="28">
        <v>361.0</v>
      </c>
      <c r="B290" s="28">
        <v>10.0</v>
      </c>
      <c r="C290" s="18">
        <v>29.0</v>
      </c>
      <c r="D290" s="24">
        <v>4.0</v>
      </c>
      <c r="E290" s="18" t="b">
        <v>0</v>
      </c>
      <c r="G290" s="19" t="s">
        <v>39</v>
      </c>
    </row>
    <row r="291" ht="22.5" customHeight="1">
      <c r="A291" s="28">
        <v>362.0</v>
      </c>
      <c r="B291" s="24">
        <v>11.0</v>
      </c>
      <c r="C291" s="18">
        <v>28.0</v>
      </c>
      <c r="D291" s="24">
        <v>4.0</v>
      </c>
      <c r="E291" s="18" t="b">
        <v>1</v>
      </c>
      <c r="G291" s="19" t="s">
        <v>39</v>
      </c>
    </row>
    <row r="292" ht="22.5" customHeight="1">
      <c r="A292" s="28">
        <v>363.0</v>
      </c>
      <c r="B292" s="28">
        <v>11.0</v>
      </c>
      <c r="C292" s="18">
        <v>29.0</v>
      </c>
      <c r="D292" s="24">
        <v>4.0</v>
      </c>
      <c r="E292" s="18" t="b">
        <v>0</v>
      </c>
      <c r="G292" s="19" t="s">
        <v>39</v>
      </c>
    </row>
    <row r="293" ht="22.5" customHeight="1">
      <c r="A293" s="28">
        <v>364.0</v>
      </c>
      <c r="B293" s="24">
        <v>12.0</v>
      </c>
      <c r="C293" s="18">
        <v>28.0</v>
      </c>
      <c r="D293" s="24">
        <v>4.0</v>
      </c>
      <c r="E293" s="18" t="b">
        <v>1</v>
      </c>
      <c r="G293" s="19" t="s">
        <v>39</v>
      </c>
    </row>
    <row r="294" ht="22.5" customHeight="1">
      <c r="A294" s="28">
        <v>365.0</v>
      </c>
      <c r="B294" s="28">
        <v>12.0</v>
      </c>
      <c r="C294" s="18">
        <v>29.0</v>
      </c>
      <c r="D294" s="24">
        <v>4.0</v>
      </c>
      <c r="E294" s="18" t="b">
        <v>0</v>
      </c>
      <c r="G294" s="19" t="s">
        <v>39</v>
      </c>
    </row>
    <row r="295" ht="22.5" customHeight="1">
      <c r="A295" s="28">
        <v>366.0</v>
      </c>
      <c r="B295" s="24">
        <v>13.0</v>
      </c>
      <c r="C295" s="18">
        <v>28.0</v>
      </c>
      <c r="D295" s="24">
        <v>4.0</v>
      </c>
      <c r="E295" s="18" t="b">
        <v>1</v>
      </c>
      <c r="G295" s="19" t="s">
        <v>39</v>
      </c>
    </row>
    <row r="296" ht="22.5" customHeight="1">
      <c r="A296" s="28">
        <v>367.0</v>
      </c>
      <c r="B296" s="28">
        <v>13.0</v>
      </c>
      <c r="C296" s="18">
        <v>29.0</v>
      </c>
      <c r="D296" s="24">
        <v>4.0</v>
      </c>
      <c r="E296" s="18" t="b">
        <v>0</v>
      </c>
      <c r="G296" s="19" t="s">
        <v>39</v>
      </c>
    </row>
    <row r="297" ht="22.5" customHeight="1">
      <c r="A297" s="28">
        <v>368.0</v>
      </c>
      <c r="B297" s="24">
        <v>14.0</v>
      </c>
      <c r="C297" s="18">
        <v>28.0</v>
      </c>
      <c r="D297" s="24">
        <v>4.0</v>
      </c>
      <c r="E297" s="18" t="b">
        <v>1</v>
      </c>
      <c r="G297" s="19" t="s">
        <v>39</v>
      </c>
    </row>
    <row r="298" ht="22.5" customHeight="1">
      <c r="A298" s="28">
        <v>369.0</v>
      </c>
      <c r="B298" s="28">
        <v>14.0</v>
      </c>
      <c r="C298" s="18">
        <v>29.0</v>
      </c>
      <c r="D298" s="24">
        <v>4.0</v>
      </c>
      <c r="E298" s="18" t="b">
        <v>0</v>
      </c>
      <c r="G298" s="19" t="s">
        <v>39</v>
      </c>
    </row>
    <row r="299" ht="22.5" customHeight="1">
      <c r="A299" s="28">
        <v>370.0</v>
      </c>
      <c r="B299" s="24">
        <v>15.0</v>
      </c>
      <c r="C299" s="18">
        <v>28.0</v>
      </c>
      <c r="D299" s="24">
        <v>4.0</v>
      </c>
      <c r="E299" s="18" t="b">
        <v>1</v>
      </c>
      <c r="G299" s="19" t="s">
        <v>39</v>
      </c>
    </row>
    <row r="300" ht="22.5" customHeight="1">
      <c r="A300" s="28">
        <v>371.0</v>
      </c>
      <c r="B300" s="28">
        <v>15.0</v>
      </c>
      <c r="C300" s="18">
        <v>29.0</v>
      </c>
      <c r="D300" s="24">
        <v>4.0</v>
      </c>
      <c r="E300" s="18" t="b">
        <v>0</v>
      </c>
      <c r="G300" s="19" t="s">
        <v>39</v>
      </c>
    </row>
    <row r="301" ht="22.5" customHeight="1">
      <c r="A301" s="28">
        <v>372.0</v>
      </c>
      <c r="B301" s="24">
        <v>16.0</v>
      </c>
      <c r="C301" s="18">
        <v>28.0</v>
      </c>
      <c r="D301" s="24">
        <v>4.0</v>
      </c>
      <c r="E301" s="18" t="b">
        <v>1</v>
      </c>
      <c r="G301" s="19" t="s">
        <v>39</v>
      </c>
    </row>
    <row r="302" ht="22.5" customHeight="1">
      <c r="A302" s="28">
        <v>373.0</v>
      </c>
      <c r="B302" s="28">
        <v>16.0</v>
      </c>
      <c r="C302" s="18">
        <v>29.0</v>
      </c>
      <c r="D302" s="24">
        <v>4.0</v>
      </c>
      <c r="E302" s="18" t="b">
        <v>0</v>
      </c>
      <c r="G302" s="19" t="s">
        <v>39</v>
      </c>
    </row>
    <row r="303" ht="22.5" customHeight="1">
      <c r="A303" s="28">
        <v>374.0</v>
      </c>
      <c r="B303" s="24">
        <v>17.0</v>
      </c>
      <c r="C303" s="18">
        <v>28.0</v>
      </c>
      <c r="D303" s="24">
        <v>4.0</v>
      </c>
      <c r="E303" s="18" t="b">
        <v>1</v>
      </c>
      <c r="G303" s="19" t="s">
        <v>39</v>
      </c>
    </row>
    <row r="304" ht="22.5" customHeight="1">
      <c r="A304" s="28">
        <v>375.0</v>
      </c>
      <c r="B304" s="28">
        <v>17.0</v>
      </c>
      <c r="C304" s="18">
        <v>29.0</v>
      </c>
      <c r="D304" s="24">
        <v>4.0</v>
      </c>
      <c r="E304" s="18" t="b">
        <v>0</v>
      </c>
      <c r="G304" s="19" t="s">
        <v>39</v>
      </c>
    </row>
    <row r="305" ht="22.5" customHeight="1">
      <c r="A305" s="28">
        <v>376.0</v>
      </c>
      <c r="B305" s="24">
        <v>18.0</v>
      </c>
      <c r="C305" s="18">
        <v>28.0</v>
      </c>
      <c r="D305" s="24">
        <v>4.0</v>
      </c>
      <c r="E305" s="18" t="b">
        <v>1</v>
      </c>
      <c r="G305" s="19" t="s">
        <v>39</v>
      </c>
    </row>
    <row r="306" ht="22.5" customHeight="1">
      <c r="A306" s="28">
        <v>377.0</v>
      </c>
      <c r="B306" s="28">
        <v>18.0</v>
      </c>
      <c r="C306" s="18">
        <v>29.0</v>
      </c>
      <c r="D306" s="24">
        <v>4.0</v>
      </c>
      <c r="E306" s="18" t="b">
        <v>0</v>
      </c>
      <c r="G306" s="19" t="s">
        <v>39</v>
      </c>
    </row>
    <row r="307" ht="22.5" customHeight="1">
      <c r="A307" s="28">
        <v>378.0</v>
      </c>
      <c r="B307" s="24">
        <v>19.0</v>
      </c>
      <c r="C307" s="18">
        <v>28.0</v>
      </c>
      <c r="D307" s="24">
        <v>4.0</v>
      </c>
      <c r="E307" s="18" t="b">
        <v>1</v>
      </c>
      <c r="G307" s="19" t="s">
        <v>39</v>
      </c>
    </row>
    <row r="308" ht="22.5" customHeight="1">
      <c r="A308" s="28">
        <v>379.0</v>
      </c>
      <c r="B308" s="24">
        <v>20.0</v>
      </c>
      <c r="C308" s="18">
        <v>29.0</v>
      </c>
      <c r="D308" s="24">
        <v>4.0</v>
      </c>
      <c r="E308" s="18" t="b">
        <v>1</v>
      </c>
      <c r="G308" s="19" t="s">
        <v>39</v>
      </c>
    </row>
    <row r="309" ht="22.5" customHeight="1">
      <c r="A309" s="28">
        <v>380.0</v>
      </c>
      <c r="B309" s="24">
        <v>21.0</v>
      </c>
      <c r="C309" s="18">
        <v>29.0</v>
      </c>
      <c r="D309" s="24">
        <v>4.0</v>
      </c>
      <c r="E309" s="18" t="b">
        <v>1</v>
      </c>
      <c r="G309" s="19" t="s">
        <v>39</v>
      </c>
    </row>
    <row r="310" ht="22.5" customHeight="1">
      <c r="A310" s="28">
        <v>381.0</v>
      </c>
      <c r="B310" s="24">
        <v>22.0</v>
      </c>
      <c r="C310" s="18">
        <v>29.0</v>
      </c>
      <c r="D310" s="24">
        <v>4.0</v>
      </c>
      <c r="E310" s="18" t="b">
        <v>1</v>
      </c>
      <c r="G310" s="19" t="s">
        <v>39</v>
      </c>
    </row>
    <row r="311" ht="22.5" customHeight="1">
      <c r="A311" s="28">
        <v>382.0</v>
      </c>
      <c r="B311" s="24">
        <v>23.0</v>
      </c>
      <c r="C311" s="18">
        <v>29.0</v>
      </c>
      <c r="D311" s="24">
        <v>4.0</v>
      </c>
      <c r="E311" s="18" t="b">
        <v>1</v>
      </c>
      <c r="G311" s="19" t="s">
        <v>39</v>
      </c>
    </row>
    <row r="312" ht="22.5" customHeight="1">
      <c r="A312" s="28">
        <v>383.0</v>
      </c>
      <c r="B312" s="24">
        <v>24.0</v>
      </c>
      <c r="C312" s="18">
        <v>29.0</v>
      </c>
      <c r="D312" s="24">
        <v>4.0</v>
      </c>
      <c r="E312" s="18" t="b">
        <v>1</v>
      </c>
      <c r="G312" s="19" t="s">
        <v>39</v>
      </c>
    </row>
    <row r="313" ht="22.5" customHeight="1">
      <c r="A313" s="28">
        <v>384.0</v>
      </c>
      <c r="B313" s="24">
        <v>25.0</v>
      </c>
      <c r="C313" s="18">
        <v>29.0</v>
      </c>
      <c r="D313" s="24">
        <v>4.0</v>
      </c>
      <c r="E313" s="18" t="b">
        <v>1</v>
      </c>
      <c r="G313" s="19" t="s">
        <v>39</v>
      </c>
    </row>
    <row r="314" ht="22.5" customHeight="1">
      <c r="A314" s="28">
        <v>385.0</v>
      </c>
      <c r="B314" s="24">
        <v>26.0</v>
      </c>
      <c r="C314" s="18">
        <v>29.0</v>
      </c>
      <c r="D314" s="24">
        <v>4.0</v>
      </c>
      <c r="E314" s="18" t="b">
        <v>1</v>
      </c>
      <c r="G314" s="19" t="s">
        <v>39</v>
      </c>
    </row>
    <row r="315" ht="22.5" customHeight="1">
      <c r="A315" s="28">
        <v>386.0</v>
      </c>
      <c r="B315" s="24">
        <v>27.0</v>
      </c>
      <c r="C315" s="18">
        <v>29.0</v>
      </c>
      <c r="D315" s="24">
        <v>4.0</v>
      </c>
      <c r="E315" s="18" t="b">
        <v>1</v>
      </c>
      <c r="G315" s="19" t="s">
        <v>39</v>
      </c>
    </row>
    <row r="316" ht="22.5" customHeight="1">
      <c r="A316" s="28">
        <v>387.0</v>
      </c>
      <c r="B316" s="24">
        <v>28.0</v>
      </c>
      <c r="C316" s="18">
        <v>29.0</v>
      </c>
      <c r="D316" s="24">
        <v>4.0</v>
      </c>
      <c r="E316" s="18" t="b">
        <v>1</v>
      </c>
      <c r="G316" s="19" t="s">
        <v>39</v>
      </c>
    </row>
    <row r="317" ht="22.5" customHeight="1">
      <c r="A317" s="28">
        <v>388.0</v>
      </c>
      <c r="B317" s="24">
        <v>29.0</v>
      </c>
      <c r="C317" s="18">
        <v>22.0</v>
      </c>
      <c r="D317" s="24">
        <v>4.0</v>
      </c>
      <c r="E317" s="18" t="b">
        <v>1</v>
      </c>
      <c r="G317" s="19" t="s">
        <v>39</v>
      </c>
    </row>
    <row r="318" ht="22.5" customHeight="1">
      <c r="A318" s="28">
        <v>389.0</v>
      </c>
      <c r="B318" s="24">
        <v>30.0</v>
      </c>
      <c r="C318" s="18">
        <v>22.0</v>
      </c>
      <c r="D318" s="24">
        <v>4.0</v>
      </c>
      <c r="E318" s="18" t="b">
        <v>1</v>
      </c>
      <c r="G318" s="19" t="s">
        <v>39</v>
      </c>
    </row>
    <row r="319" ht="22.5" customHeight="1">
      <c r="A319" s="28">
        <v>390.0</v>
      </c>
      <c r="B319" s="24">
        <v>31.0</v>
      </c>
      <c r="C319" s="18">
        <v>29.0</v>
      </c>
      <c r="D319" s="24">
        <v>4.0</v>
      </c>
      <c r="E319" s="18" t="b">
        <v>1</v>
      </c>
      <c r="G319" s="19" t="s">
        <v>39</v>
      </c>
    </row>
    <row r="320" ht="22.5" customHeight="1">
      <c r="A320" s="28">
        <v>391.0</v>
      </c>
      <c r="B320" s="24">
        <v>32.0</v>
      </c>
      <c r="C320" s="18">
        <v>22.0</v>
      </c>
      <c r="D320" s="24">
        <v>4.0</v>
      </c>
      <c r="E320" s="18" t="b">
        <v>1</v>
      </c>
      <c r="G320" s="19" t="s">
        <v>39</v>
      </c>
    </row>
    <row r="321" ht="22.5" customHeight="1">
      <c r="A321" s="28">
        <v>392.0</v>
      </c>
      <c r="B321" s="24">
        <v>33.0</v>
      </c>
      <c r="C321" s="18">
        <v>29.0</v>
      </c>
      <c r="D321" s="24">
        <v>4.0</v>
      </c>
      <c r="E321" s="18" t="b">
        <v>1</v>
      </c>
      <c r="G321" s="19" t="s">
        <v>39</v>
      </c>
    </row>
    <row r="322" ht="22.5" customHeight="1">
      <c r="A322" s="28">
        <v>393.0</v>
      </c>
      <c r="B322" s="24">
        <v>34.0</v>
      </c>
      <c r="C322" s="18">
        <v>29.0</v>
      </c>
      <c r="D322" s="24">
        <v>4.0</v>
      </c>
      <c r="E322" s="18" t="b">
        <v>1</v>
      </c>
      <c r="G322" s="19" t="s">
        <v>39</v>
      </c>
    </row>
    <row r="323" ht="22.5" customHeight="1">
      <c r="A323" s="28">
        <v>394.0</v>
      </c>
      <c r="B323" s="24">
        <v>35.0</v>
      </c>
      <c r="C323" s="18">
        <v>29.0</v>
      </c>
      <c r="D323" s="24">
        <v>4.0</v>
      </c>
      <c r="E323" s="18" t="b">
        <v>1</v>
      </c>
      <c r="G323" s="19" t="s">
        <v>39</v>
      </c>
    </row>
    <row r="324" ht="22.5" customHeight="1">
      <c r="A324" s="28">
        <v>395.0</v>
      </c>
      <c r="B324" s="24">
        <v>36.0</v>
      </c>
      <c r="C324" s="18">
        <v>29.0</v>
      </c>
      <c r="D324" s="24">
        <v>4.0</v>
      </c>
      <c r="E324" s="18" t="b">
        <v>1</v>
      </c>
      <c r="G324" s="19" t="s">
        <v>39</v>
      </c>
    </row>
    <row r="325" ht="22.5" customHeight="1">
      <c r="A325" s="28">
        <v>396.0</v>
      </c>
      <c r="B325" s="24">
        <v>37.0</v>
      </c>
      <c r="C325" s="18">
        <v>29.0</v>
      </c>
      <c r="D325" s="24">
        <v>4.0</v>
      </c>
      <c r="E325" s="18" t="b">
        <v>1</v>
      </c>
      <c r="G325" s="19" t="s">
        <v>39</v>
      </c>
    </row>
    <row r="326" ht="22.5" customHeight="1">
      <c r="A326" s="28">
        <v>397.0</v>
      </c>
      <c r="B326" s="24">
        <v>38.0</v>
      </c>
      <c r="C326" s="18">
        <v>29.0</v>
      </c>
      <c r="D326" s="24">
        <v>4.0</v>
      </c>
      <c r="E326" s="18" t="b">
        <v>1</v>
      </c>
      <c r="G326" s="19" t="s">
        <v>39</v>
      </c>
    </row>
    <row r="327" ht="22.5" customHeight="1">
      <c r="A327" s="28">
        <v>398.0</v>
      </c>
      <c r="B327" s="24">
        <v>40.0</v>
      </c>
      <c r="C327" s="18">
        <v>29.0</v>
      </c>
      <c r="D327" s="24">
        <v>4.0</v>
      </c>
      <c r="E327" s="18" t="b">
        <v>1</v>
      </c>
      <c r="G327" s="19" t="s">
        <v>39</v>
      </c>
    </row>
    <row r="328" ht="22.5" customHeight="1">
      <c r="A328" s="28">
        <v>399.0</v>
      </c>
      <c r="B328" s="24">
        <v>41.0</v>
      </c>
      <c r="C328" s="18">
        <v>29.0</v>
      </c>
      <c r="D328" s="24">
        <v>4.0</v>
      </c>
      <c r="E328" s="18" t="b">
        <v>1</v>
      </c>
      <c r="G328" s="19" t="s">
        <v>39</v>
      </c>
    </row>
    <row r="329" ht="22.5" customHeight="1">
      <c r="A329" s="28">
        <v>400.0</v>
      </c>
      <c r="B329" s="24">
        <v>42.0</v>
      </c>
      <c r="C329" s="18">
        <v>29.0</v>
      </c>
      <c r="D329" s="24">
        <v>4.0</v>
      </c>
      <c r="E329" s="18" t="b">
        <v>1</v>
      </c>
      <c r="G329" s="19" t="s">
        <v>39</v>
      </c>
    </row>
    <row r="330" ht="22.5" customHeight="1">
      <c r="A330" s="28">
        <v>401.0</v>
      </c>
      <c r="B330" s="24">
        <v>44.0</v>
      </c>
      <c r="C330" s="18">
        <v>31.0</v>
      </c>
      <c r="D330" s="24">
        <v>4.0</v>
      </c>
      <c r="E330" s="18" t="b">
        <v>1</v>
      </c>
      <c r="G330" s="19" t="s">
        <v>39</v>
      </c>
    </row>
    <row r="331" ht="22.5" customHeight="1">
      <c r="A331" s="28">
        <v>402.0</v>
      </c>
      <c r="B331" s="24">
        <v>63.0</v>
      </c>
      <c r="C331" s="18">
        <v>34.0</v>
      </c>
      <c r="D331" s="24">
        <v>4.0</v>
      </c>
      <c r="E331" s="18" t="b">
        <v>1</v>
      </c>
      <c r="G331" s="19" t="s">
        <v>39</v>
      </c>
    </row>
    <row r="332" ht="22.5" customHeight="1">
      <c r="A332" s="28">
        <v>403.0</v>
      </c>
      <c r="B332" s="24">
        <v>64.0</v>
      </c>
      <c r="C332" s="18">
        <v>34.0</v>
      </c>
      <c r="D332" s="24">
        <v>4.0</v>
      </c>
      <c r="E332" s="18" t="b">
        <v>1</v>
      </c>
      <c r="G332" s="19" t="s">
        <v>39</v>
      </c>
    </row>
    <row r="333" ht="22.5" customHeight="1">
      <c r="A333" s="28">
        <v>404.0</v>
      </c>
      <c r="B333" s="24">
        <v>65.0</v>
      </c>
      <c r="C333" s="18">
        <v>22.0</v>
      </c>
      <c r="D333" s="24">
        <v>4.0</v>
      </c>
      <c r="E333" s="18" t="b">
        <v>1</v>
      </c>
      <c r="G333" s="19" t="s">
        <v>39</v>
      </c>
    </row>
    <row r="334" ht="22.5" customHeight="1">
      <c r="A334" s="28">
        <v>405.0</v>
      </c>
      <c r="B334" s="24">
        <v>70.0</v>
      </c>
      <c r="C334" s="18">
        <v>22.0</v>
      </c>
      <c r="D334" s="24">
        <v>4.0</v>
      </c>
      <c r="E334" s="18" t="b">
        <v>1</v>
      </c>
      <c r="G334" s="19" t="s">
        <v>39</v>
      </c>
    </row>
    <row r="335" ht="22.5" customHeight="1">
      <c r="A335" s="28">
        <v>406.0</v>
      </c>
      <c r="B335" s="24">
        <v>76.0</v>
      </c>
      <c r="C335" s="18">
        <v>22.0</v>
      </c>
      <c r="D335" s="24">
        <v>4.0</v>
      </c>
      <c r="E335" s="18" t="b">
        <v>1</v>
      </c>
      <c r="G335" s="19" t="s">
        <v>39</v>
      </c>
    </row>
    <row r="336" ht="22.5" customHeight="1">
      <c r="A336" s="28">
        <v>407.0</v>
      </c>
      <c r="B336" s="24">
        <v>77.0</v>
      </c>
      <c r="C336" s="18">
        <v>22.0</v>
      </c>
      <c r="D336" s="24">
        <v>4.0</v>
      </c>
      <c r="E336" s="18" t="b">
        <v>1</v>
      </c>
      <c r="G336" s="19" t="s">
        <v>39</v>
      </c>
    </row>
    <row r="337" ht="22.5" customHeight="1">
      <c r="A337" s="28">
        <v>408.0</v>
      </c>
      <c r="B337" s="24">
        <v>78.0</v>
      </c>
      <c r="C337" s="18">
        <v>22.0</v>
      </c>
      <c r="D337" s="24">
        <v>4.0</v>
      </c>
      <c r="E337" s="18" t="b">
        <v>1</v>
      </c>
      <c r="G337" s="19" t="s">
        <v>39</v>
      </c>
    </row>
    <row r="338" ht="22.5" customHeight="1">
      <c r="A338" s="28">
        <v>409.0</v>
      </c>
      <c r="B338" s="24">
        <v>79.0</v>
      </c>
      <c r="C338" s="18">
        <v>22.0</v>
      </c>
      <c r="D338" s="24">
        <v>4.0</v>
      </c>
      <c r="E338" s="18" t="b">
        <v>1</v>
      </c>
      <c r="G338" s="19" t="s">
        <v>39</v>
      </c>
    </row>
    <row r="339" ht="22.5" customHeight="1">
      <c r="A339" s="28">
        <v>410.0</v>
      </c>
      <c r="B339" s="24">
        <v>80.0</v>
      </c>
      <c r="C339" s="18">
        <v>22.0</v>
      </c>
      <c r="D339" s="24">
        <v>4.0</v>
      </c>
      <c r="E339" s="18" t="b">
        <v>1</v>
      </c>
      <c r="G339" s="19" t="s">
        <v>39</v>
      </c>
    </row>
    <row r="340" ht="22.5" customHeight="1">
      <c r="A340" s="28">
        <v>411.0</v>
      </c>
      <c r="B340" s="24">
        <v>83.0</v>
      </c>
      <c r="C340" s="18">
        <v>22.0</v>
      </c>
      <c r="D340" s="24">
        <v>4.0</v>
      </c>
      <c r="E340" s="18" t="b">
        <v>1</v>
      </c>
      <c r="G340" s="19" t="s">
        <v>39</v>
      </c>
    </row>
    <row r="341" ht="22.5" customHeight="1">
      <c r="A341" s="28">
        <v>412.0</v>
      </c>
      <c r="B341" s="24">
        <v>84.0</v>
      </c>
      <c r="C341" s="18">
        <v>22.0</v>
      </c>
      <c r="D341" s="24">
        <v>4.0</v>
      </c>
      <c r="E341" s="18" t="b">
        <v>1</v>
      </c>
      <c r="G341" s="19" t="s">
        <v>39</v>
      </c>
    </row>
    <row r="342" ht="22.5" customHeight="1">
      <c r="A342" s="28">
        <v>437.0</v>
      </c>
      <c r="B342" s="28">
        <v>111.0</v>
      </c>
      <c r="C342" s="18">
        <v>22.0</v>
      </c>
      <c r="D342" s="28">
        <v>4.0</v>
      </c>
      <c r="E342" s="18" t="b">
        <v>1</v>
      </c>
      <c r="G342" s="19" t="s">
        <v>39</v>
      </c>
    </row>
    <row r="343" ht="22.5" customHeight="1">
      <c r="A343" s="18">
        <v>438.0</v>
      </c>
      <c r="B343" s="28">
        <v>19.0</v>
      </c>
      <c r="C343" s="18">
        <v>29.0</v>
      </c>
      <c r="D343" s="28">
        <v>4.0</v>
      </c>
      <c r="E343" s="18" t="b">
        <v>0</v>
      </c>
      <c r="G343" s="19" t="s">
        <v>39</v>
      </c>
    </row>
    <row r="344" ht="22.5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29.0</v>
      </c>
      <c r="D919" s="18">
        <v>13.0</v>
      </c>
      <c r="E919" s="18" t="b">
        <v>1</v>
      </c>
      <c r="G919" s="19" t="s">
        <v>39</v>
      </c>
    </row>
    <row r="920" ht="22.5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9"/>
      <c r="G1505" s="19" t="s">
        <v>39</v>
      </c>
    </row>
    <row r="1506" ht="22.5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9"/>
      <c r="G1506" s="19" t="s">
        <v>39</v>
      </c>
    </row>
    <row r="1507" ht="22.5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9"/>
      <c r="G1507" s="19" t="s">
        <v>39</v>
      </c>
    </row>
    <row r="1508" ht="22.5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9"/>
      <c r="G1508" s="19" t="s">
        <v>39</v>
      </c>
    </row>
    <row r="1509" ht="22.5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9"/>
      <c r="G1509" s="19" t="s">
        <v>39</v>
      </c>
    </row>
    <row r="1510" ht="22.5" customHeight="1">
      <c r="A1510" s="18">
        <v>1622.0</v>
      </c>
      <c r="B1510" s="20">
        <v>30.0</v>
      </c>
      <c r="C1510" s="18">
        <v>29.0</v>
      </c>
      <c r="D1510" s="25">
        <v>5.0</v>
      </c>
      <c r="E1510" s="18" t="b">
        <v>1</v>
      </c>
      <c r="F1510" s="29"/>
      <c r="G1510" s="19" t="s">
        <v>39</v>
      </c>
    </row>
    <row r="1511" ht="22.5" customHeight="1">
      <c r="A1511" s="20">
        <v>1623.0</v>
      </c>
      <c r="B1511" s="20">
        <v>30.0</v>
      </c>
      <c r="C1511" s="18">
        <v>29.0</v>
      </c>
      <c r="D1511" s="25">
        <v>6.0</v>
      </c>
      <c r="E1511" s="18" t="b">
        <v>1</v>
      </c>
      <c r="F1511" s="29"/>
      <c r="G1511" s="19" t="s">
        <v>39</v>
      </c>
    </row>
    <row r="1512" ht="22.5" customHeight="1">
      <c r="A1512" s="18">
        <v>1624.0</v>
      </c>
      <c r="B1512" s="20">
        <v>30.0</v>
      </c>
      <c r="C1512" s="18">
        <v>29.0</v>
      </c>
      <c r="D1512" s="25">
        <v>7.0</v>
      </c>
      <c r="E1512" s="18" t="b">
        <v>1</v>
      </c>
      <c r="F1512" s="29"/>
      <c r="G1512" s="19" t="s">
        <v>39</v>
      </c>
    </row>
    <row r="1513" ht="22.5" customHeight="1">
      <c r="A1513" s="18">
        <v>1625.0</v>
      </c>
      <c r="B1513" s="20">
        <v>30.0</v>
      </c>
      <c r="C1513" s="18">
        <v>29.0</v>
      </c>
      <c r="D1513" s="25">
        <v>8.0</v>
      </c>
      <c r="E1513" s="18" t="b">
        <v>1</v>
      </c>
      <c r="F1513" s="29"/>
      <c r="G1513" s="19" t="s">
        <v>39</v>
      </c>
    </row>
    <row r="1514" ht="22.5" customHeight="1">
      <c r="A1514" s="20">
        <v>1626.0</v>
      </c>
      <c r="B1514" s="20">
        <v>30.0</v>
      </c>
      <c r="C1514" s="18">
        <v>29.0</v>
      </c>
      <c r="D1514" s="25">
        <v>9.0</v>
      </c>
      <c r="E1514" s="18" t="b">
        <v>1</v>
      </c>
      <c r="F1514" s="29"/>
      <c r="G1514" s="19" t="s">
        <v>39</v>
      </c>
    </row>
    <row r="1515" ht="22.5" customHeight="1">
      <c r="A1515" s="18">
        <v>1627.0</v>
      </c>
      <c r="B1515" s="20">
        <v>30.0</v>
      </c>
      <c r="C1515" s="18">
        <v>29.0</v>
      </c>
      <c r="D1515" s="25">
        <v>11.0</v>
      </c>
      <c r="E1515" s="18" t="b">
        <v>1</v>
      </c>
      <c r="F1515" s="29"/>
      <c r="G1515" s="19" t="s">
        <v>39</v>
      </c>
    </row>
    <row r="1516" ht="22.5" customHeight="1">
      <c r="A1516" s="18">
        <v>1628.0</v>
      </c>
      <c r="B1516" s="20">
        <v>30.0</v>
      </c>
      <c r="C1516" s="18">
        <v>29.0</v>
      </c>
      <c r="D1516" s="25">
        <v>12.0</v>
      </c>
      <c r="E1516" s="18" t="b">
        <v>1</v>
      </c>
      <c r="F1516" s="29"/>
      <c r="G1516" s="19" t="s">
        <v>39</v>
      </c>
    </row>
    <row r="1517" ht="22.5" customHeight="1">
      <c r="A1517" s="20">
        <v>1629.0</v>
      </c>
      <c r="B1517" s="20">
        <v>30.0</v>
      </c>
      <c r="C1517" s="18">
        <v>29.0</v>
      </c>
      <c r="D1517" s="25">
        <v>14.0</v>
      </c>
      <c r="E1517" s="18" t="b">
        <v>1</v>
      </c>
      <c r="F1517" s="29"/>
      <c r="G1517" s="19" t="s">
        <v>39</v>
      </c>
    </row>
    <row r="1518" ht="22.5" customHeight="1">
      <c r="A1518" s="18">
        <v>1630.0</v>
      </c>
      <c r="B1518" s="20">
        <v>30.0</v>
      </c>
      <c r="C1518" s="18">
        <v>29.0</v>
      </c>
      <c r="D1518" s="25">
        <v>15.0</v>
      </c>
      <c r="E1518" s="18" t="b">
        <v>1</v>
      </c>
      <c r="F1518" s="29"/>
      <c r="G1518" s="19" t="s">
        <v>39</v>
      </c>
    </row>
    <row r="1519" ht="22.5" customHeight="1">
      <c r="A1519" s="18">
        <v>1631.0</v>
      </c>
      <c r="B1519" s="20">
        <v>30.0</v>
      </c>
      <c r="C1519" s="18">
        <v>29.0</v>
      </c>
      <c r="D1519" s="25">
        <v>16.0</v>
      </c>
      <c r="E1519" s="18" t="b">
        <v>1</v>
      </c>
      <c r="F1519" s="29"/>
      <c r="G1519" s="19" t="s">
        <v>39</v>
      </c>
    </row>
    <row r="1520" ht="22.5" customHeight="1">
      <c r="A1520" s="20">
        <v>1632.0</v>
      </c>
      <c r="B1520" s="20">
        <v>30.0</v>
      </c>
      <c r="C1520" s="18">
        <v>29.0</v>
      </c>
      <c r="D1520" s="25">
        <v>17.0</v>
      </c>
      <c r="E1520" s="18" t="b">
        <v>1</v>
      </c>
      <c r="F1520" s="29"/>
      <c r="G1520" s="19" t="s">
        <v>39</v>
      </c>
    </row>
    <row r="1521" ht="22.5" customHeight="1">
      <c r="A1521" s="18">
        <v>1633.0</v>
      </c>
      <c r="B1521" s="20">
        <v>30.0</v>
      </c>
      <c r="C1521" s="18">
        <v>29.0</v>
      </c>
      <c r="D1521" s="25">
        <v>19.0</v>
      </c>
      <c r="E1521" s="18" t="b">
        <v>1</v>
      </c>
      <c r="F1521" s="29"/>
      <c r="G1521" s="19" t="s">
        <v>39</v>
      </c>
    </row>
    <row r="1522" ht="22.5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9"/>
      <c r="G1522" s="19" t="s">
        <v>39</v>
      </c>
    </row>
    <row r="1523" ht="22.5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9"/>
      <c r="G1523" s="19" t="s">
        <v>39</v>
      </c>
    </row>
    <row r="1524" ht="22.5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9"/>
      <c r="G1524" s="19" t="s">
        <v>39</v>
      </c>
    </row>
    <row r="1525" ht="22.5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9"/>
      <c r="G1525" s="19" t="s">
        <v>39</v>
      </c>
    </row>
    <row r="1526" ht="22.5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9"/>
      <c r="G1526" s="19" t="s">
        <v>39</v>
      </c>
    </row>
    <row r="1527" ht="22.5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9"/>
      <c r="G1527" s="19" t="s">
        <v>39</v>
      </c>
    </row>
    <row r="1528" ht="22.5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9"/>
      <c r="G1528" s="19" t="s">
        <v>39</v>
      </c>
    </row>
    <row r="1529" ht="22.5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9"/>
      <c r="G1529" s="19" t="s">
        <v>39</v>
      </c>
    </row>
    <row r="1530" ht="22.5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9"/>
      <c r="G1530" s="19" t="s">
        <v>39</v>
      </c>
    </row>
    <row r="1531" ht="22.5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9"/>
      <c r="G1531" s="19" t="s">
        <v>39</v>
      </c>
    </row>
    <row r="1532" ht="22.5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9"/>
      <c r="G1532" s="19" t="s">
        <v>39</v>
      </c>
    </row>
    <row r="1533" ht="22.5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9"/>
      <c r="G1533" s="19" t="s">
        <v>39</v>
      </c>
    </row>
    <row r="1534" ht="22.5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9"/>
      <c r="G1534" s="19" t="s">
        <v>39</v>
      </c>
    </row>
    <row r="1535" ht="22.5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9"/>
      <c r="G1535" s="19" t="s">
        <v>39</v>
      </c>
    </row>
    <row r="1536" ht="22.5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9"/>
      <c r="G1536" s="19" t="s">
        <v>39</v>
      </c>
    </row>
    <row r="1537" ht="22.5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9"/>
      <c r="G1537" s="19" t="s">
        <v>39</v>
      </c>
    </row>
    <row r="1538" ht="22.5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9"/>
      <c r="G1538" s="19" t="s">
        <v>39</v>
      </c>
    </row>
    <row r="1539" ht="22.5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9"/>
      <c r="G1539" s="19" t="s">
        <v>39</v>
      </c>
    </row>
    <row r="1540" ht="22.5" customHeight="1">
      <c r="A1540" s="20">
        <v>1652.0</v>
      </c>
      <c r="B1540" s="20">
        <v>117.0</v>
      </c>
      <c r="C1540" s="20">
        <v>29.0</v>
      </c>
      <c r="D1540" s="20">
        <v>14.0</v>
      </c>
      <c r="E1540" s="20" t="b">
        <v>1</v>
      </c>
      <c r="F1540" s="29"/>
      <c r="G1540" s="19" t="s">
        <v>39</v>
      </c>
    </row>
    <row r="1541" ht="22.5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9"/>
      <c r="G1541" s="19" t="s">
        <v>39</v>
      </c>
    </row>
    <row r="1542" ht="22.5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9"/>
      <c r="G1542" s="19" t="s">
        <v>39</v>
      </c>
    </row>
    <row r="1543" ht="22.5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9"/>
      <c r="G1543" s="19" t="s">
        <v>39</v>
      </c>
    </row>
    <row r="1544" ht="22.5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9"/>
      <c r="G1544" s="19" t="s">
        <v>39</v>
      </c>
    </row>
    <row r="1545" ht="22.5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9"/>
      <c r="G1545" s="19" t="s">
        <v>39</v>
      </c>
    </row>
    <row r="1546" ht="22.5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9"/>
      <c r="G1546" s="19" t="s">
        <v>39</v>
      </c>
    </row>
    <row r="1547" ht="22.5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9"/>
      <c r="G1547" s="19" t="s">
        <v>39</v>
      </c>
    </row>
    <row r="1548" ht="22.5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9"/>
      <c r="G1548" s="19" t="s">
        <v>39</v>
      </c>
    </row>
    <row r="1549" ht="22.5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9"/>
      <c r="G1549" s="19" t="s">
        <v>39</v>
      </c>
    </row>
    <row r="1550" ht="22.5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9"/>
      <c r="G1550" s="19" t="s">
        <v>39</v>
      </c>
    </row>
    <row r="1551" ht="22.5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9"/>
      <c r="G1551" s="19" t="s">
        <v>39</v>
      </c>
    </row>
    <row r="1552" ht="22.5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9"/>
      <c r="G1552" s="19" t="s">
        <v>39</v>
      </c>
    </row>
    <row r="1553" ht="22.5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9"/>
      <c r="G1553" s="19" t="s">
        <v>39</v>
      </c>
    </row>
    <row r="1554" ht="22.5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9"/>
      <c r="G1554" s="19" t="s">
        <v>39</v>
      </c>
    </row>
    <row r="1555" ht="22.5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9"/>
      <c r="G1555" s="19" t="s">
        <v>39</v>
      </c>
    </row>
    <row r="1556" ht="22.5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9"/>
      <c r="G1556" s="19" t="s">
        <v>39</v>
      </c>
    </row>
    <row r="1557" ht="22.5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9"/>
      <c r="G1557" s="19" t="s">
        <v>39</v>
      </c>
    </row>
    <row r="1558" ht="22.5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9"/>
      <c r="G1558" s="19" t="s">
        <v>39</v>
      </c>
    </row>
    <row r="1559" ht="22.5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9"/>
      <c r="G1559" s="19" t="s">
        <v>39</v>
      </c>
    </row>
    <row r="1560" ht="22.5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9"/>
      <c r="G1560" s="19" t="s">
        <v>39</v>
      </c>
    </row>
    <row r="1561" ht="22.5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9"/>
      <c r="G1561" s="19" t="s">
        <v>39</v>
      </c>
    </row>
    <row r="1562" ht="22.5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9"/>
      <c r="G1562" s="19" t="s">
        <v>39</v>
      </c>
    </row>
    <row r="1563" ht="22.5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9"/>
      <c r="G1563" s="19" t="s">
        <v>39</v>
      </c>
    </row>
    <row r="1564" ht="22.5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9"/>
      <c r="G1564" s="19" t="s">
        <v>39</v>
      </c>
    </row>
    <row r="1565" ht="22.5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9"/>
      <c r="G1565" s="19" t="s">
        <v>39</v>
      </c>
    </row>
    <row r="1566" ht="22.5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9"/>
      <c r="G1566" s="19" t="s">
        <v>39</v>
      </c>
    </row>
    <row r="1567" ht="22.5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9"/>
      <c r="G1567" s="19" t="s">
        <v>39</v>
      </c>
    </row>
    <row r="1568" ht="22.5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9"/>
      <c r="G1568" s="19" t="s">
        <v>39</v>
      </c>
    </row>
    <row r="1569" ht="22.5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9"/>
      <c r="G1569" s="19" t="s">
        <v>39</v>
      </c>
    </row>
    <row r="1570" ht="22.5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9"/>
      <c r="G1570" s="19" t="s">
        <v>39</v>
      </c>
    </row>
    <row r="1571" ht="22.5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9"/>
      <c r="G1571" s="19" t="s">
        <v>39</v>
      </c>
    </row>
    <row r="1572" ht="22.5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9"/>
      <c r="G1572" s="19" t="s">
        <v>39</v>
      </c>
    </row>
    <row r="1573" ht="22.5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9"/>
      <c r="G1573" s="19" t="s">
        <v>39</v>
      </c>
    </row>
    <row r="1574" ht="22.5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9"/>
      <c r="G1574" s="19" t="s">
        <v>39</v>
      </c>
    </row>
    <row r="1575" ht="22.5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9"/>
      <c r="G1575" s="19" t="s">
        <v>39</v>
      </c>
    </row>
    <row r="1576" ht="22.5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9"/>
      <c r="G1576" s="19" t="s">
        <v>39</v>
      </c>
    </row>
    <row r="1577" ht="22.5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9"/>
      <c r="G1577" s="19" t="s">
        <v>39</v>
      </c>
    </row>
    <row r="1578" ht="22.5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9"/>
      <c r="G1578" s="19" t="s">
        <v>39</v>
      </c>
    </row>
    <row r="1579" ht="22.5" customHeight="1">
      <c r="A1579" s="20">
        <v>1691.0</v>
      </c>
      <c r="B1579" s="18">
        <v>119.0</v>
      </c>
      <c r="C1579" s="18">
        <v>33.0</v>
      </c>
      <c r="D1579" s="25">
        <v>1.0</v>
      </c>
      <c r="E1579" s="20" t="b">
        <v>1</v>
      </c>
      <c r="F1579" s="29"/>
      <c r="G1579" s="19" t="s">
        <v>39</v>
      </c>
    </row>
    <row r="1580" ht="22.5" customHeight="1">
      <c r="A1580" s="20">
        <v>1692.0</v>
      </c>
      <c r="B1580" s="18">
        <v>119.0</v>
      </c>
      <c r="C1580" s="18">
        <v>33.0</v>
      </c>
      <c r="D1580" s="25">
        <v>8.0</v>
      </c>
      <c r="E1580" s="20" t="b">
        <v>1</v>
      </c>
      <c r="F1580" s="29"/>
      <c r="G1580" s="19" t="s">
        <v>39</v>
      </c>
    </row>
    <row r="1581" ht="22.5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9"/>
      <c r="G1581" s="19" t="s">
        <v>39</v>
      </c>
    </row>
    <row r="1582" ht="22.5" customHeight="1">
      <c r="A1582" s="20">
        <v>1694.0</v>
      </c>
      <c r="B1582" s="20">
        <v>117.0</v>
      </c>
      <c r="C1582" s="20">
        <v>34.0</v>
      </c>
      <c r="D1582" s="20">
        <v>1.0</v>
      </c>
      <c r="E1582" s="20" t="b">
        <v>0</v>
      </c>
      <c r="F1582" s="29"/>
      <c r="G1582" s="19" t="s">
        <v>39</v>
      </c>
    </row>
    <row r="1583" ht="22.5" customHeight="1">
      <c r="A1583" s="20">
        <v>1695.0</v>
      </c>
      <c r="B1583" s="20">
        <v>117.0</v>
      </c>
      <c r="C1583" s="20">
        <v>34.0</v>
      </c>
      <c r="D1583" s="20">
        <v>2.0</v>
      </c>
      <c r="E1583" s="20" t="b">
        <v>0</v>
      </c>
      <c r="F1583" s="29"/>
      <c r="G1583" s="19" t="s">
        <v>39</v>
      </c>
    </row>
    <row r="1584" ht="22.5" customHeight="1">
      <c r="A1584" s="20">
        <v>1696.0</v>
      </c>
      <c r="B1584" s="20">
        <v>117.0</v>
      </c>
      <c r="C1584" s="20">
        <v>34.0</v>
      </c>
      <c r="D1584" s="20">
        <v>3.0</v>
      </c>
      <c r="E1584" s="20" t="b">
        <v>0</v>
      </c>
      <c r="F1584" s="29"/>
      <c r="G1584" s="19" t="s">
        <v>39</v>
      </c>
    </row>
    <row r="1585" ht="22.5" customHeight="1">
      <c r="A1585" s="20">
        <v>1697.0</v>
      </c>
      <c r="B1585" s="20">
        <v>117.0</v>
      </c>
      <c r="C1585" s="20">
        <v>34.0</v>
      </c>
      <c r="D1585" s="20">
        <v>6.0</v>
      </c>
      <c r="E1585" s="20" t="b">
        <v>0</v>
      </c>
      <c r="F1585" s="29"/>
      <c r="G1585" s="19" t="s">
        <v>39</v>
      </c>
    </row>
    <row r="1586" ht="22.5" customHeight="1">
      <c r="A1586" s="20">
        <v>1698.0</v>
      </c>
      <c r="B1586" s="20">
        <v>117.0</v>
      </c>
      <c r="C1586" s="20">
        <v>34.0</v>
      </c>
      <c r="D1586" s="20">
        <v>7.0</v>
      </c>
      <c r="E1586" s="20" t="b">
        <v>0</v>
      </c>
      <c r="F1586" s="29"/>
      <c r="G1586" s="19" t="s">
        <v>39</v>
      </c>
    </row>
    <row r="1587" ht="22.5" customHeight="1">
      <c r="A1587" s="20">
        <v>1699.0</v>
      </c>
      <c r="B1587" s="20">
        <v>117.0</v>
      </c>
      <c r="C1587" s="20">
        <v>34.0</v>
      </c>
      <c r="D1587" s="20">
        <v>8.0</v>
      </c>
      <c r="E1587" s="20" t="b">
        <v>0</v>
      </c>
      <c r="F1587" s="29"/>
      <c r="G1587" s="19" t="s">
        <v>39</v>
      </c>
    </row>
    <row r="1588" ht="22.5" customHeight="1">
      <c r="A1588" s="20">
        <v>1700.0</v>
      </c>
      <c r="B1588" s="20">
        <v>117.0</v>
      </c>
      <c r="C1588" s="20">
        <v>34.0</v>
      </c>
      <c r="D1588" s="20">
        <v>9.0</v>
      </c>
      <c r="E1588" s="20" t="b">
        <v>0</v>
      </c>
      <c r="F1588" s="29"/>
      <c r="G1588" s="19" t="s">
        <v>39</v>
      </c>
    </row>
    <row r="1589" ht="22.5" customHeight="1">
      <c r="A1589" s="20">
        <v>1701.0</v>
      </c>
      <c r="B1589" s="20">
        <v>117.0</v>
      </c>
      <c r="C1589" s="20">
        <v>34.0</v>
      </c>
      <c r="D1589" s="20">
        <v>11.0</v>
      </c>
      <c r="E1589" s="20" t="b">
        <v>0</v>
      </c>
      <c r="F1589" s="29"/>
      <c r="G1589" s="19" t="s">
        <v>39</v>
      </c>
    </row>
    <row r="1590" ht="22.5" customHeight="1">
      <c r="A1590" s="20">
        <v>1702.0</v>
      </c>
      <c r="B1590" s="20">
        <v>117.0</v>
      </c>
      <c r="C1590" s="20">
        <v>34.0</v>
      </c>
      <c r="D1590" s="20">
        <v>12.0</v>
      </c>
      <c r="E1590" s="20" t="b">
        <v>0</v>
      </c>
      <c r="F1590" s="29"/>
      <c r="G1590" s="19" t="s">
        <v>39</v>
      </c>
    </row>
    <row r="1591" ht="22.5" customHeight="1">
      <c r="A1591" s="20">
        <v>1703.0</v>
      </c>
      <c r="B1591" s="20">
        <v>117.0</v>
      </c>
      <c r="C1591" s="20">
        <v>34.0</v>
      </c>
      <c r="D1591" s="20">
        <v>13.0</v>
      </c>
      <c r="E1591" s="20" t="b">
        <v>0</v>
      </c>
      <c r="F1591" s="29"/>
      <c r="G1591" s="19" t="s">
        <v>39</v>
      </c>
    </row>
    <row r="1592" ht="22.5" customHeight="1">
      <c r="A1592" s="20">
        <v>1704.0</v>
      </c>
      <c r="B1592" s="20">
        <v>117.0</v>
      </c>
      <c r="C1592" s="20">
        <v>34.0</v>
      </c>
      <c r="D1592" s="20">
        <v>15.0</v>
      </c>
      <c r="E1592" s="20" t="b">
        <v>0</v>
      </c>
      <c r="F1592" s="29"/>
      <c r="G1592" s="19" t="s">
        <v>39</v>
      </c>
    </row>
    <row r="1593" ht="22.5" customHeight="1">
      <c r="A1593" s="20">
        <v>1705.0</v>
      </c>
      <c r="B1593" s="20">
        <v>117.0</v>
      </c>
      <c r="C1593" s="20">
        <v>34.0</v>
      </c>
      <c r="D1593" s="20">
        <v>16.0</v>
      </c>
      <c r="E1593" s="20" t="b">
        <v>0</v>
      </c>
      <c r="F1593" s="29"/>
      <c r="G1593" s="19" t="s">
        <v>39</v>
      </c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</sheetData>
  <conditionalFormatting sqref="A2:A1806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506</v>
      </c>
      <c r="B1" s="23" t="s">
        <v>341</v>
      </c>
      <c r="C1" s="23" t="s">
        <v>299</v>
      </c>
      <c r="D1" s="23" t="s">
        <v>507</v>
      </c>
      <c r="E1" s="23" t="s">
        <v>33</v>
      </c>
      <c r="F1" s="23" t="s">
        <v>405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347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15" t="s">
        <v>39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15" t="s">
        <v>39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15" t="s">
        <v>39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15" t="s">
        <v>39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15" t="s">
        <v>39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15" t="s">
        <v>39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15" t="s">
        <v>39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15" t="s">
        <v>39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15" t="s">
        <v>39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15" t="s">
        <v>39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15" t="s">
        <v>39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15" t="s">
        <v>39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15" t="s">
        <v>39</v>
      </c>
    </row>
    <row r="37" ht="22.5" customHeight="1">
      <c r="A37" s="20">
        <v>40.0</v>
      </c>
      <c r="B37" s="20">
        <v>34.0</v>
      </c>
      <c r="C37" s="20">
        <v>1.0</v>
      </c>
      <c r="D37" s="20" t="b">
        <v>0</v>
      </c>
      <c r="E37" s="15" t="s">
        <v>39</v>
      </c>
      <c r="F37" s="29"/>
    </row>
    <row r="38" ht="22.5" customHeight="1">
      <c r="A38" s="20">
        <v>41.0</v>
      </c>
      <c r="B38" s="20">
        <v>34.0</v>
      </c>
      <c r="C38" s="20">
        <v>2.0</v>
      </c>
      <c r="D38" s="20" t="b">
        <v>0</v>
      </c>
      <c r="E38" s="15" t="s">
        <v>39</v>
      </c>
      <c r="F38" s="29"/>
    </row>
    <row r="39" ht="22.5" customHeight="1">
      <c r="A39" s="20">
        <v>42.0</v>
      </c>
      <c r="B39" s="20">
        <v>3.0</v>
      </c>
      <c r="C39" s="20">
        <v>8.0</v>
      </c>
      <c r="D39" s="18" t="b">
        <v>1</v>
      </c>
      <c r="E39" s="15" t="s">
        <v>39</v>
      </c>
      <c r="F39" s="29"/>
    </row>
    <row r="40" ht="22.5" customHeight="1">
      <c r="A40" s="20">
        <v>43.0</v>
      </c>
      <c r="B40" s="20">
        <v>4.0</v>
      </c>
      <c r="C40" s="20">
        <v>1.0</v>
      </c>
      <c r="D40" s="18" t="b">
        <v>1</v>
      </c>
      <c r="E40" s="15" t="s">
        <v>39</v>
      </c>
      <c r="F40" s="29"/>
    </row>
    <row r="41" ht="22.5" customHeight="1">
      <c r="A41" s="20">
        <v>44.0</v>
      </c>
      <c r="B41" s="20">
        <v>6.0</v>
      </c>
      <c r="C41" s="20">
        <v>15.0</v>
      </c>
      <c r="D41" s="18" t="b">
        <v>1</v>
      </c>
      <c r="E41" s="15" t="s">
        <v>39</v>
      </c>
      <c r="F41" s="29"/>
    </row>
    <row r="42" ht="22.5" customHeight="1">
      <c r="A42" s="20">
        <v>45.0</v>
      </c>
      <c r="B42" s="18">
        <v>7.0</v>
      </c>
      <c r="C42" s="20">
        <v>5.0</v>
      </c>
      <c r="D42" s="18" t="b">
        <v>1</v>
      </c>
      <c r="E42" s="15" t="s">
        <v>39</v>
      </c>
      <c r="F42" s="29"/>
    </row>
    <row r="43" ht="22.5" customHeight="1">
      <c r="A43" s="20">
        <v>46.0</v>
      </c>
      <c r="B43" s="18">
        <v>7.0</v>
      </c>
      <c r="C43" s="20">
        <v>12.0</v>
      </c>
      <c r="D43" s="18" t="b">
        <v>1</v>
      </c>
      <c r="E43" s="15" t="s">
        <v>39</v>
      </c>
      <c r="F43" s="29"/>
    </row>
    <row r="44" ht="22.5" customHeight="1">
      <c r="A44" s="20">
        <v>47.0</v>
      </c>
      <c r="B44" s="18">
        <v>7.0</v>
      </c>
      <c r="C44" s="20">
        <v>1.0</v>
      </c>
      <c r="D44" s="18" t="b">
        <v>1</v>
      </c>
      <c r="E44" s="15" t="s">
        <v>39</v>
      </c>
      <c r="F44" s="29"/>
    </row>
    <row r="45" ht="22.5" customHeight="1">
      <c r="A45" s="20">
        <v>48.0</v>
      </c>
      <c r="B45" s="18">
        <v>7.0</v>
      </c>
      <c r="C45" s="20">
        <v>4.0</v>
      </c>
      <c r="D45" s="18" t="b">
        <v>1</v>
      </c>
      <c r="E45" s="15" t="s">
        <v>39</v>
      </c>
      <c r="F45" s="29"/>
    </row>
    <row r="46" ht="22.5" customHeight="1">
      <c r="A46" s="20">
        <v>49.0</v>
      </c>
      <c r="B46" s="18">
        <v>7.0</v>
      </c>
      <c r="C46" s="20">
        <v>7.0</v>
      </c>
      <c r="D46" s="18" t="b">
        <v>1</v>
      </c>
      <c r="E46" s="15" t="s">
        <v>39</v>
      </c>
      <c r="F46" s="29"/>
    </row>
    <row r="47" ht="22.5" customHeight="1">
      <c r="A47" s="20">
        <v>50.0</v>
      </c>
      <c r="B47" s="18">
        <v>7.0</v>
      </c>
      <c r="C47" s="20">
        <v>8.0</v>
      </c>
      <c r="D47" s="18" t="b">
        <v>1</v>
      </c>
      <c r="E47" s="15" t="s">
        <v>39</v>
      </c>
      <c r="F47" s="29"/>
    </row>
    <row r="48" ht="22.5" customHeight="1">
      <c r="A48" s="20">
        <v>51.0</v>
      </c>
      <c r="B48" s="18">
        <v>7.0</v>
      </c>
      <c r="C48" s="20">
        <v>6.0</v>
      </c>
      <c r="D48" s="18" t="b">
        <v>1</v>
      </c>
      <c r="E48" s="15" t="s">
        <v>39</v>
      </c>
      <c r="F48" s="29"/>
    </row>
    <row r="49" ht="22.5" customHeight="1">
      <c r="A49" s="20">
        <v>52.0</v>
      </c>
      <c r="B49" s="18">
        <v>8.0</v>
      </c>
      <c r="C49" s="20">
        <v>18.0</v>
      </c>
      <c r="D49" s="18" t="b">
        <v>1</v>
      </c>
      <c r="E49" s="15" t="s">
        <v>39</v>
      </c>
      <c r="F49" s="29"/>
    </row>
    <row r="50" ht="22.5" customHeight="1">
      <c r="A50" s="20">
        <v>53.0</v>
      </c>
      <c r="B50" s="18">
        <v>10.0</v>
      </c>
      <c r="C50" s="20">
        <v>18.0</v>
      </c>
      <c r="D50" s="18" t="b">
        <v>1</v>
      </c>
      <c r="E50" s="15" t="s">
        <v>39</v>
      </c>
      <c r="F50" s="29"/>
    </row>
    <row r="51" ht="22.5" customHeight="1">
      <c r="A51" s="20">
        <v>54.0</v>
      </c>
      <c r="B51" s="18">
        <v>10.0</v>
      </c>
      <c r="C51" s="20">
        <v>8.0</v>
      </c>
      <c r="D51" s="18" t="b">
        <v>1</v>
      </c>
      <c r="E51" s="15" t="s">
        <v>39</v>
      </c>
      <c r="F51" s="29"/>
    </row>
    <row r="52" ht="22.5" customHeight="1">
      <c r="A52" s="20">
        <v>55.0</v>
      </c>
      <c r="B52" s="18">
        <v>12.0</v>
      </c>
      <c r="C52" s="20">
        <v>16.0</v>
      </c>
      <c r="D52" s="18" t="b">
        <v>1</v>
      </c>
      <c r="E52" s="15" t="s">
        <v>39</v>
      </c>
      <c r="F52" s="29"/>
    </row>
    <row r="53" ht="22.5" customHeight="1">
      <c r="A53" s="20">
        <v>56.0</v>
      </c>
      <c r="B53" s="18">
        <v>12.0</v>
      </c>
      <c r="C53" s="20">
        <v>15.0</v>
      </c>
      <c r="D53" s="18" t="b">
        <v>1</v>
      </c>
      <c r="E53" s="15" t="s">
        <v>39</v>
      </c>
      <c r="F53" s="29"/>
    </row>
    <row r="54" ht="22.5" customHeight="1">
      <c r="A54" s="20">
        <v>57.0</v>
      </c>
      <c r="B54" s="18">
        <v>12.0</v>
      </c>
      <c r="C54" s="20">
        <v>9.0</v>
      </c>
      <c r="D54" s="18" t="b">
        <v>1</v>
      </c>
      <c r="E54" s="15" t="s">
        <v>39</v>
      </c>
      <c r="F54" s="29"/>
    </row>
    <row r="55" ht="22.5" customHeight="1">
      <c r="A55" s="20">
        <v>58.0</v>
      </c>
      <c r="B55" s="18">
        <v>12.0</v>
      </c>
      <c r="C55" s="20">
        <v>14.0</v>
      </c>
      <c r="D55" s="18" t="b">
        <v>1</v>
      </c>
      <c r="E55" s="15" t="s">
        <v>39</v>
      </c>
      <c r="F55" s="29"/>
    </row>
    <row r="56" ht="22.5" customHeight="1">
      <c r="A56" s="20">
        <v>59.0</v>
      </c>
      <c r="B56" s="18">
        <v>12.0</v>
      </c>
      <c r="C56" s="20">
        <v>4.0</v>
      </c>
      <c r="D56" s="18" t="b">
        <v>1</v>
      </c>
      <c r="E56" s="15" t="s">
        <v>39</v>
      </c>
      <c r="F56" s="29"/>
    </row>
    <row r="57" ht="22.5" customHeight="1">
      <c r="A57" s="20">
        <v>60.0</v>
      </c>
      <c r="B57" s="18">
        <v>12.0</v>
      </c>
      <c r="C57" s="20">
        <v>8.0</v>
      </c>
      <c r="D57" s="18" t="b">
        <v>1</v>
      </c>
      <c r="E57" s="15" t="s">
        <v>39</v>
      </c>
      <c r="F57" s="29"/>
    </row>
    <row r="58" ht="22.5" customHeight="1">
      <c r="A58" s="20">
        <v>61.0</v>
      </c>
      <c r="B58" s="18">
        <v>12.0</v>
      </c>
      <c r="C58" s="20">
        <v>5.0</v>
      </c>
      <c r="D58" s="18" t="b">
        <v>1</v>
      </c>
      <c r="E58" s="15" t="s">
        <v>39</v>
      </c>
      <c r="F58" s="29"/>
    </row>
    <row r="59" ht="22.5" customHeight="1">
      <c r="A59" s="20">
        <v>62.0</v>
      </c>
      <c r="B59" s="18">
        <v>14.0</v>
      </c>
      <c r="C59" s="20">
        <v>8.0</v>
      </c>
      <c r="D59" s="18" t="b">
        <v>1</v>
      </c>
      <c r="E59" s="15" t="s">
        <v>39</v>
      </c>
      <c r="F59" s="29"/>
    </row>
    <row r="60" ht="22.5" customHeight="1">
      <c r="A60" s="20">
        <v>63.0</v>
      </c>
      <c r="B60" s="18">
        <v>14.0</v>
      </c>
      <c r="C60" s="20">
        <v>9.0</v>
      </c>
      <c r="D60" s="18" t="b">
        <v>1</v>
      </c>
      <c r="E60" s="15" t="s">
        <v>39</v>
      </c>
      <c r="F60" s="29"/>
    </row>
    <row r="61" ht="22.5" customHeight="1">
      <c r="A61" s="20">
        <v>64.0</v>
      </c>
      <c r="B61" s="18">
        <v>14.0</v>
      </c>
      <c r="C61" s="20">
        <v>4.0</v>
      </c>
      <c r="D61" s="18" t="b">
        <v>1</v>
      </c>
      <c r="E61" s="15" t="s">
        <v>39</v>
      </c>
      <c r="F61" s="29"/>
    </row>
    <row r="62" ht="22.5" customHeight="1">
      <c r="A62" s="20">
        <v>65.0</v>
      </c>
      <c r="B62" s="18">
        <v>14.0</v>
      </c>
      <c r="C62" s="20">
        <v>7.0</v>
      </c>
      <c r="D62" s="18" t="b">
        <v>1</v>
      </c>
      <c r="E62" s="15" t="s">
        <v>39</v>
      </c>
      <c r="F62" s="29"/>
    </row>
    <row r="63" ht="22.5" customHeight="1">
      <c r="A63" s="20">
        <v>66.0</v>
      </c>
      <c r="B63" s="20">
        <v>15.0</v>
      </c>
      <c r="C63" s="20">
        <v>13.0</v>
      </c>
      <c r="D63" s="18" t="b">
        <v>1</v>
      </c>
      <c r="E63" s="15" t="s">
        <v>39</v>
      </c>
      <c r="F63" s="29"/>
    </row>
    <row r="64" ht="22.5" customHeight="1">
      <c r="A64" s="20">
        <v>67.0</v>
      </c>
      <c r="B64" s="20">
        <v>18.0</v>
      </c>
      <c r="C64" s="20">
        <v>11.0</v>
      </c>
      <c r="D64" s="18" t="b">
        <v>1</v>
      </c>
      <c r="E64" s="15" t="s">
        <v>39</v>
      </c>
      <c r="F64" s="29"/>
    </row>
    <row r="65" ht="22.5" customHeight="1">
      <c r="A65" s="20">
        <v>68.0</v>
      </c>
      <c r="B65" s="20">
        <v>19.0</v>
      </c>
      <c r="C65" s="20">
        <v>3.0</v>
      </c>
      <c r="D65" s="18" t="b">
        <v>1</v>
      </c>
      <c r="E65" s="15" t="s">
        <v>39</v>
      </c>
      <c r="F65" s="29"/>
    </row>
    <row r="66" ht="22.5" customHeight="1">
      <c r="A66" s="20">
        <v>69.0</v>
      </c>
      <c r="B66" s="20">
        <v>26.0</v>
      </c>
      <c r="C66" s="20">
        <v>18.0</v>
      </c>
      <c r="D66" s="18" t="b">
        <v>1</v>
      </c>
      <c r="E66" s="15" t="s">
        <v>39</v>
      </c>
      <c r="F66" s="29"/>
    </row>
    <row r="67" ht="22.5" customHeight="1">
      <c r="A67" s="20">
        <v>70.0</v>
      </c>
      <c r="B67" s="18">
        <v>27.0</v>
      </c>
      <c r="C67" s="20">
        <v>17.0</v>
      </c>
      <c r="D67" s="18" t="b">
        <v>1</v>
      </c>
      <c r="E67" s="15" t="s">
        <v>39</v>
      </c>
      <c r="F67" s="29"/>
    </row>
    <row r="68" ht="22.5" customHeight="1">
      <c r="A68" s="20">
        <v>71.0</v>
      </c>
      <c r="B68" s="18">
        <v>28.0</v>
      </c>
      <c r="C68" s="20">
        <v>7.0</v>
      </c>
      <c r="D68" s="18" t="b">
        <v>1</v>
      </c>
      <c r="E68" s="15" t="s">
        <v>39</v>
      </c>
      <c r="F68" s="29"/>
    </row>
    <row r="69" ht="22.5" customHeight="1">
      <c r="A69" s="20">
        <v>72.0</v>
      </c>
      <c r="B69" s="18">
        <v>28.0</v>
      </c>
      <c r="C69" s="20">
        <v>2.0</v>
      </c>
      <c r="D69" s="18" t="b">
        <v>1</v>
      </c>
      <c r="E69" s="15" t="s">
        <v>39</v>
      </c>
      <c r="F69" s="29"/>
    </row>
    <row r="70" ht="22.5" customHeight="1">
      <c r="A70" s="20">
        <v>73.0</v>
      </c>
      <c r="B70" s="18">
        <v>28.0</v>
      </c>
      <c r="C70" s="20">
        <v>6.0</v>
      </c>
      <c r="D70" s="18" t="b">
        <v>1</v>
      </c>
      <c r="E70" s="15" t="s">
        <v>39</v>
      </c>
      <c r="F70" s="29"/>
    </row>
    <row r="71" ht="22.5" customHeight="1">
      <c r="A71" s="20">
        <v>74.0</v>
      </c>
      <c r="B71" s="18">
        <v>28.0</v>
      </c>
      <c r="C71" s="20">
        <v>1.0</v>
      </c>
      <c r="D71" s="18" t="b">
        <v>1</v>
      </c>
      <c r="E71" s="15" t="s">
        <v>39</v>
      </c>
      <c r="F71" s="29"/>
    </row>
    <row r="72" ht="22.5" customHeight="1">
      <c r="A72" s="20">
        <v>75.0</v>
      </c>
      <c r="B72" s="18">
        <v>28.0</v>
      </c>
      <c r="C72" s="20">
        <v>9.0</v>
      </c>
      <c r="D72" s="18" t="b">
        <v>1</v>
      </c>
      <c r="E72" s="15" t="s">
        <v>39</v>
      </c>
      <c r="F72" s="29"/>
    </row>
    <row r="73" ht="22.5" customHeight="1">
      <c r="A73" s="20">
        <v>76.0</v>
      </c>
      <c r="B73" s="18">
        <v>28.0</v>
      </c>
      <c r="C73" s="20">
        <v>11.0</v>
      </c>
      <c r="D73" s="18" t="b">
        <v>1</v>
      </c>
      <c r="E73" s="15" t="s">
        <v>39</v>
      </c>
      <c r="F73" s="29"/>
    </row>
    <row r="74" ht="22.5" customHeight="1">
      <c r="A74" s="20">
        <v>77.0</v>
      </c>
      <c r="B74" s="18">
        <v>29.0</v>
      </c>
      <c r="C74" s="20">
        <v>19.0</v>
      </c>
      <c r="D74" s="18" t="b">
        <v>1</v>
      </c>
      <c r="E74" s="15" t="s">
        <v>39</v>
      </c>
      <c r="F74" s="29"/>
    </row>
    <row r="75" ht="22.5" customHeight="1">
      <c r="A75" s="20">
        <v>78.0</v>
      </c>
      <c r="B75" s="18">
        <v>30.0</v>
      </c>
      <c r="C75" s="20">
        <v>11.0</v>
      </c>
      <c r="D75" s="18" t="b">
        <v>1</v>
      </c>
      <c r="E75" s="15" t="s">
        <v>39</v>
      </c>
      <c r="F75" s="29"/>
    </row>
    <row r="76" ht="22.5" customHeight="1">
      <c r="A76" s="20">
        <v>79.0</v>
      </c>
      <c r="B76" s="18">
        <v>30.0</v>
      </c>
      <c r="C76" s="20">
        <v>8.0</v>
      </c>
      <c r="D76" s="18" t="b">
        <v>1</v>
      </c>
      <c r="E76" s="15" t="s">
        <v>39</v>
      </c>
      <c r="F76" s="29"/>
    </row>
    <row r="77" ht="22.5" customHeight="1">
      <c r="A77" s="20">
        <v>80.0</v>
      </c>
      <c r="B77" s="18">
        <v>30.0</v>
      </c>
      <c r="C77" s="20">
        <v>9.0</v>
      </c>
      <c r="D77" s="18" t="b">
        <v>1</v>
      </c>
      <c r="E77" s="15" t="s">
        <v>39</v>
      </c>
      <c r="F77" s="29"/>
    </row>
    <row r="78" ht="22.5" customHeight="1">
      <c r="A78" s="20">
        <v>81.0</v>
      </c>
      <c r="B78" s="18">
        <v>30.0</v>
      </c>
      <c r="C78" s="20">
        <v>7.0</v>
      </c>
      <c r="D78" s="18" t="b">
        <v>1</v>
      </c>
      <c r="E78" s="15" t="s">
        <v>39</v>
      </c>
      <c r="F78" s="29"/>
    </row>
    <row r="79" ht="22.5" customHeight="1">
      <c r="A79" s="20">
        <v>82.0</v>
      </c>
      <c r="B79" s="18">
        <v>30.0</v>
      </c>
      <c r="C79" s="20">
        <v>12.0</v>
      </c>
      <c r="D79" s="18" t="b">
        <v>1</v>
      </c>
      <c r="E79" s="15" t="s">
        <v>39</v>
      </c>
      <c r="F79" s="29"/>
    </row>
    <row r="80" ht="22.5" customHeight="1">
      <c r="A80" s="20">
        <v>84.0</v>
      </c>
      <c r="B80" s="18">
        <v>31.0</v>
      </c>
      <c r="C80" s="20">
        <v>17.0</v>
      </c>
      <c r="D80" s="18" t="b">
        <v>1</v>
      </c>
      <c r="E80" s="15" t="s">
        <v>39</v>
      </c>
      <c r="F80" s="29"/>
    </row>
    <row r="81" ht="22.5" customHeight="1">
      <c r="A81" s="20">
        <v>85.0</v>
      </c>
      <c r="B81" s="18">
        <v>33.0</v>
      </c>
      <c r="C81" s="20">
        <v>13.0</v>
      </c>
      <c r="D81" s="18" t="b">
        <v>1</v>
      </c>
      <c r="E81" s="15" t="s">
        <v>39</v>
      </c>
      <c r="F81" s="29"/>
    </row>
    <row r="82" ht="22.5" customHeight="1">
      <c r="A82" s="20">
        <v>86.0</v>
      </c>
      <c r="B82" s="20">
        <v>34.0</v>
      </c>
      <c r="C82" s="20">
        <v>7.0</v>
      </c>
      <c r="D82" s="20" t="b">
        <v>0</v>
      </c>
      <c r="E82" s="15" t="s">
        <v>39</v>
      </c>
      <c r="F82" s="29"/>
    </row>
    <row r="83" ht="22.5" customHeight="1">
      <c r="A83" s="20">
        <v>87.0</v>
      </c>
      <c r="B83" s="20">
        <v>34.0</v>
      </c>
      <c r="C83" s="20">
        <v>8.0</v>
      </c>
      <c r="D83" s="20" t="b">
        <v>0</v>
      </c>
      <c r="E83" s="15" t="s">
        <v>39</v>
      </c>
      <c r="F83" s="29"/>
    </row>
    <row r="84" ht="22.5" customHeight="1">
      <c r="A84" s="20">
        <v>88.0</v>
      </c>
      <c r="B84" s="20">
        <v>34.0</v>
      </c>
      <c r="C84" s="20">
        <v>11.0</v>
      </c>
      <c r="D84" s="20" t="b">
        <v>0</v>
      </c>
      <c r="E84" s="15" t="s">
        <v>39</v>
      </c>
      <c r="F84" s="29"/>
    </row>
    <row r="85" ht="22.5" customHeight="1">
      <c r="A85" s="20">
        <v>89.0</v>
      </c>
      <c r="B85" s="20">
        <v>34.0</v>
      </c>
      <c r="C85" s="20">
        <v>3.0</v>
      </c>
      <c r="D85" s="20" t="b">
        <v>0</v>
      </c>
      <c r="E85" s="15" t="s">
        <v>39</v>
      </c>
      <c r="F85" s="29"/>
    </row>
    <row r="86" ht="22.5" customHeight="1">
      <c r="A86" s="20">
        <v>90.0</v>
      </c>
      <c r="B86" s="18">
        <v>35.0</v>
      </c>
      <c r="C86" s="20">
        <v>5.0</v>
      </c>
      <c r="D86" s="18" t="b">
        <v>1</v>
      </c>
      <c r="E86" s="15" t="s">
        <v>39</v>
      </c>
      <c r="F86" s="29"/>
    </row>
    <row r="87" ht="22.5" customHeight="1">
      <c r="A87" s="20">
        <v>91.0</v>
      </c>
      <c r="B87" s="18">
        <v>35.0</v>
      </c>
      <c r="C87" s="20">
        <v>4.0</v>
      </c>
      <c r="D87" s="18" t="b">
        <v>1</v>
      </c>
      <c r="E87" s="15" t="s">
        <v>39</v>
      </c>
      <c r="F87" s="29"/>
    </row>
    <row r="88" ht="22.5" customHeight="1">
      <c r="A88" s="20">
        <v>92.0</v>
      </c>
      <c r="B88" s="20">
        <v>49.0</v>
      </c>
      <c r="C88" s="20">
        <v>8.0</v>
      </c>
      <c r="D88" s="20" t="b">
        <v>1</v>
      </c>
      <c r="E88" s="16" t="s">
        <v>39</v>
      </c>
      <c r="F88" s="29"/>
    </row>
    <row r="89" ht="22.5" customHeight="1">
      <c r="A89" s="20">
        <v>93.0</v>
      </c>
      <c r="B89" s="20">
        <v>49.0</v>
      </c>
      <c r="C89" s="20">
        <v>7.0</v>
      </c>
      <c r="D89" s="20" t="b">
        <v>1</v>
      </c>
      <c r="E89" s="16" t="s">
        <v>39</v>
      </c>
      <c r="F89" s="29"/>
    </row>
    <row r="90" ht="22.5" customHeight="1">
      <c r="A90" s="20">
        <v>94.0</v>
      </c>
      <c r="B90" s="20">
        <v>49.0</v>
      </c>
      <c r="C90" s="20">
        <v>2.0</v>
      </c>
      <c r="D90" s="20" t="b">
        <v>1</v>
      </c>
      <c r="E90" s="16" t="s">
        <v>39</v>
      </c>
      <c r="F90" s="29"/>
    </row>
    <row r="91" ht="22.5" customHeight="1">
      <c r="A91" s="20">
        <v>95.0</v>
      </c>
      <c r="B91" s="20">
        <v>49.0</v>
      </c>
      <c r="C91" s="20">
        <v>5.0</v>
      </c>
      <c r="D91" s="20" t="b">
        <v>1</v>
      </c>
      <c r="E91" s="16" t="s">
        <v>39</v>
      </c>
      <c r="F91" s="29"/>
    </row>
    <row r="92" ht="22.5" customHeight="1">
      <c r="A92" s="20">
        <v>96.0</v>
      </c>
      <c r="B92" s="20">
        <v>49.0</v>
      </c>
      <c r="C92" s="20">
        <v>12.0</v>
      </c>
      <c r="D92" s="20" t="b">
        <v>1</v>
      </c>
      <c r="E92" s="16" t="s">
        <v>39</v>
      </c>
      <c r="F92" s="29"/>
    </row>
    <row r="93" ht="22.5" customHeight="1">
      <c r="A93" s="20">
        <v>97.0</v>
      </c>
      <c r="B93" s="20">
        <v>49.0</v>
      </c>
      <c r="C93" s="20">
        <v>11.0</v>
      </c>
      <c r="D93" s="20" t="b">
        <v>1</v>
      </c>
      <c r="E93" s="16" t="s">
        <v>39</v>
      </c>
      <c r="F93" s="29"/>
    </row>
    <row r="94" ht="22.5" customHeight="1">
      <c r="A94" s="20">
        <v>98.0</v>
      </c>
      <c r="B94" s="20">
        <v>45.0</v>
      </c>
      <c r="C94" s="20">
        <v>8.0</v>
      </c>
      <c r="D94" s="20" t="b">
        <v>1</v>
      </c>
      <c r="E94" s="16" t="s">
        <v>39</v>
      </c>
      <c r="F94" s="29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508</v>
      </c>
      <c r="B1" s="6" t="s">
        <v>2</v>
      </c>
      <c r="C1" s="6" t="s">
        <v>399</v>
      </c>
      <c r="D1" s="6" t="s">
        <v>33</v>
      </c>
      <c r="E1" s="6" t="s">
        <v>405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509</v>
      </c>
      <c r="B1" s="23" t="s">
        <v>2</v>
      </c>
      <c r="C1" s="23" t="s">
        <v>510</v>
      </c>
      <c r="D1" s="23" t="s">
        <v>511</v>
      </c>
    </row>
    <row r="2" ht="22.5" customHeight="1">
      <c r="A2" s="18">
        <v>1.0</v>
      </c>
      <c r="B2" s="18">
        <v>1.0</v>
      </c>
      <c r="C2" s="18" t="s">
        <v>512</v>
      </c>
      <c r="D2" s="18" t="s">
        <v>513</v>
      </c>
    </row>
    <row r="3" ht="22.5" customHeight="1">
      <c r="A3" s="18">
        <v>2.0</v>
      </c>
      <c r="B3" s="18">
        <v>1.0</v>
      </c>
      <c r="C3" s="18" t="s">
        <v>514</v>
      </c>
      <c r="D3" s="18" t="s">
        <v>515</v>
      </c>
    </row>
    <row r="4" ht="22.5" customHeight="1">
      <c r="A4" s="18">
        <v>3.0</v>
      </c>
      <c r="B4" s="18">
        <v>1.0</v>
      </c>
      <c r="C4" s="18" t="s">
        <v>516</v>
      </c>
      <c r="D4" s="18" t="s">
        <v>517</v>
      </c>
    </row>
    <row r="5" ht="22.5" customHeight="1">
      <c r="A5" s="18">
        <v>4.0</v>
      </c>
      <c r="B5" s="18">
        <v>1.0</v>
      </c>
      <c r="C5" s="18" t="s">
        <v>518</v>
      </c>
      <c r="D5" s="18" t="s">
        <v>517</v>
      </c>
    </row>
    <row r="6" ht="22.5" customHeight="1">
      <c r="A6" s="18">
        <v>5.0</v>
      </c>
      <c r="B6" s="18">
        <v>1.0</v>
      </c>
      <c r="C6" s="18" t="s">
        <v>35</v>
      </c>
      <c r="D6" s="18" t="s">
        <v>519</v>
      </c>
    </row>
    <row r="7" ht="22.5" customHeight="1">
      <c r="A7" s="18">
        <v>6.0</v>
      </c>
      <c r="B7" s="18">
        <v>1.0</v>
      </c>
      <c r="C7" s="18" t="s">
        <v>34</v>
      </c>
      <c r="D7" s="18" t="s">
        <v>520</v>
      </c>
    </row>
    <row r="8" ht="22.5" customHeight="1">
      <c r="A8" s="18">
        <v>7.0</v>
      </c>
      <c r="B8" s="18">
        <v>2.0</v>
      </c>
      <c r="C8" s="18" t="s">
        <v>521</v>
      </c>
      <c r="D8" s="18" t="s">
        <v>513</v>
      </c>
    </row>
    <row r="9" ht="22.5" customHeight="1">
      <c r="A9" s="18">
        <v>8.0</v>
      </c>
      <c r="B9" s="18">
        <v>2.0</v>
      </c>
      <c r="C9" s="18" t="s">
        <v>40</v>
      </c>
      <c r="D9" s="18" t="s">
        <v>519</v>
      </c>
    </row>
    <row r="10" ht="22.5" customHeight="1">
      <c r="A10" s="18">
        <v>9.0</v>
      </c>
      <c r="B10" s="18">
        <v>2.0</v>
      </c>
      <c r="C10" s="18" t="s">
        <v>522</v>
      </c>
      <c r="D10" s="18" t="s">
        <v>517</v>
      </c>
    </row>
    <row r="11" ht="22.5" customHeight="1">
      <c r="A11" s="18">
        <v>10.0</v>
      </c>
      <c r="B11" s="18">
        <v>2.0</v>
      </c>
      <c r="C11" s="18" t="s">
        <v>523</v>
      </c>
      <c r="D11" s="18" t="s">
        <v>517</v>
      </c>
    </row>
    <row r="12" ht="22.5" customHeight="1">
      <c r="A12" s="18">
        <v>11.0</v>
      </c>
      <c r="B12" s="18">
        <v>2.0</v>
      </c>
      <c r="C12" s="18" t="s">
        <v>524</v>
      </c>
      <c r="D12" s="18" t="s">
        <v>519</v>
      </c>
    </row>
    <row r="13" ht="22.5" customHeight="1">
      <c r="A13" s="18">
        <v>12.0</v>
      </c>
      <c r="B13" s="18">
        <v>3.0</v>
      </c>
      <c r="C13" s="18" t="s">
        <v>525</v>
      </c>
      <c r="D13" s="18" t="s">
        <v>515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519</v>
      </c>
    </row>
    <row r="15" ht="22.5" customHeight="1">
      <c r="A15" s="18">
        <v>14.0</v>
      </c>
      <c r="B15" s="18">
        <v>3.0</v>
      </c>
      <c r="C15" s="18" t="s">
        <v>526</v>
      </c>
      <c r="D15" s="18" t="s">
        <v>513</v>
      </c>
    </row>
    <row r="16" ht="22.5" customHeight="1">
      <c r="A16" s="18">
        <v>15.0</v>
      </c>
      <c r="B16" s="18">
        <v>3.0</v>
      </c>
      <c r="C16" s="18" t="s">
        <v>527</v>
      </c>
      <c r="D16" s="18" t="s">
        <v>517</v>
      </c>
    </row>
    <row r="17" ht="22.5" customHeight="1">
      <c r="A17" s="18">
        <v>16.0</v>
      </c>
      <c r="B17" s="18">
        <v>4.0</v>
      </c>
      <c r="C17" s="18" t="s">
        <v>528</v>
      </c>
      <c r="D17" s="18" t="s">
        <v>513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519</v>
      </c>
    </row>
    <row r="19" ht="22.5" customHeight="1">
      <c r="A19" s="18">
        <v>18.0</v>
      </c>
      <c r="B19" s="18">
        <v>4.0</v>
      </c>
      <c r="C19" s="18" t="s">
        <v>529</v>
      </c>
      <c r="D19" s="18" t="s">
        <v>517</v>
      </c>
    </row>
    <row r="20" ht="22.5" customHeight="1">
      <c r="A20" s="18">
        <v>19.0</v>
      </c>
      <c r="B20" s="18">
        <v>4.0</v>
      </c>
      <c r="C20" s="18" t="s">
        <v>530</v>
      </c>
      <c r="D20" s="18" t="s">
        <v>517</v>
      </c>
    </row>
    <row r="21" ht="22.5" customHeight="1">
      <c r="A21" s="18">
        <v>20.0</v>
      </c>
      <c r="B21" s="18">
        <v>5.0</v>
      </c>
      <c r="C21" s="18" t="s">
        <v>531</v>
      </c>
      <c r="D21" s="18" t="s">
        <v>513</v>
      </c>
    </row>
    <row r="22" ht="22.5" customHeight="1">
      <c r="A22" s="18">
        <v>21.0</v>
      </c>
      <c r="B22" s="18">
        <v>5.0</v>
      </c>
      <c r="C22" s="18" t="s">
        <v>532</v>
      </c>
      <c r="D22" s="18" t="s">
        <v>517</v>
      </c>
    </row>
    <row r="23" ht="22.5" customHeight="1">
      <c r="A23" s="18">
        <v>22.0</v>
      </c>
      <c r="B23" s="18">
        <v>5.0</v>
      </c>
      <c r="C23" s="18" t="s">
        <v>533</v>
      </c>
      <c r="D23" s="18" t="s">
        <v>517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519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513</v>
      </c>
    </row>
    <row r="26" ht="22.5" customHeight="1">
      <c r="A26" s="18">
        <v>25.0</v>
      </c>
      <c r="B26" s="18">
        <v>6.0</v>
      </c>
      <c r="C26" s="18" t="s">
        <v>534</v>
      </c>
      <c r="D26" s="18" t="s">
        <v>519</v>
      </c>
    </row>
    <row r="27" ht="22.5" customHeight="1">
      <c r="A27" s="18">
        <v>26.0</v>
      </c>
      <c r="B27" s="18">
        <v>6.0</v>
      </c>
      <c r="C27" s="18" t="s">
        <v>535</v>
      </c>
      <c r="D27" s="18" t="s">
        <v>517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519</v>
      </c>
    </row>
    <row r="29" ht="22.5" customHeight="1">
      <c r="A29" s="18">
        <v>28.0</v>
      </c>
      <c r="B29" s="18">
        <v>7.0</v>
      </c>
      <c r="C29" s="18" t="s">
        <v>536</v>
      </c>
      <c r="D29" s="18" t="s">
        <v>513</v>
      </c>
    </row>
    <row r="30" ht="22.5" customHeight="1">
      <c r="A30" s="18">
        <v>29.0</v>
      </c>
      <c r="B30" s="18">
        <v>7.0</v>
      </c>
      <c r="C30" s="18" t="s">
        <v>537</v>
      </c>
      <c r="D30" s="18" t="s">
        <v>517</v>
      </c>
    </row>
    <row r="31" ht="22.5" customHeight="1">
      <c r="A31" s="18">
        <v>30.0</v>
      </c>
      <c r="B31" s="18">
        <v>7.0</v>
      </c>
      <c r="C31" s="18" t="s">
        <v>538</v>
      </c>
      <c r="D31" s="18" t="s">
        <v>517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515</v>
      </c>
    </row>
    <row r="33" ht="22.5" customHeight="1">
      <c r="A33" s="18">
        <v>32.0</v>
      </c>
      <c r="B33" s="18">
        <v>8.0</v>
      </c>
      <c r="C33" s="18" t="s">
        <v>539</v>
      </c>
      <c r="D33" s="18" t="s">
        <v>519</v>
      </c>
    </row>
    <row r="34" ht="22.5" customHeight="1">
      <c r="A34" s="18">
        <v>33.0</v>
      </c>
      <c r="B34" s="18">
        <v>8.0</v>
      </c>
      <c r="C34" s="18" t="s">
        <v>540</v>
      </c>
      <c r="D34" s="18" t="s">
        <v>517</v>
      </c>
    </row>
    <row r="35" ht="22.5" customHeight="1">
      <c r="A35" s="18">
        <v>34.0</v>
      </c>
      <c r="B35" s="18">
        <v>8.0</v>
      </c>
      <c r="C35" s="18" t="s">
        <v>541</v>
      </c>
      <c r="D35" s="18" t="s">
        <v>513</v>
      </c>
    </row>
    <row r="36" ht="22.5" customHeight="1">
      <c r="A36" s="18">
        <v>35.0</v>
      </c>
      <c r="B36" s="18">
        <v>9.0</v>
      </c>
      <c r="C36" s="18" t="s">
        <v>542</v>
      </c>
      <c r="D36" s="18" t="s">
        <v>513</v>
      </c>
    </row>
    <row r="37" ht="22.5" customHeight="1">
      <c r="A37" s="18">
        <v>36.0</v>
      </c>
      <c r="B37" s="18">
        <v>9.0</v>
      </c>
      <c r="C37" s="18" t="s">
        <v>543</v>
      </c>
      <c r="D37" s="18" t="s">
        <v>517</v>
      </c>
    </row>
    <row r="38" ht="22.5" customHeight="1">
      <c r="A38" s="18">
        <v>37.0</v>
      </c>
      <c r="B38" s="18">
        <v>9.0</v>
      </c>
      <c r="C38" s="18" t="s">
        <v>544</v>
      </c>
      <c r="D38" s="18" t="s">
        <v>517</v>
      </c>
    </row>
    <row r="39" ht="22.5" customHeight="1">
      <c r="A39" s="18">
        <v>38.0</v>
      </c>
      <c r="B39" s="18">
        <v>9.0</v>
      </c>
      <c r="C39" s="18" t="s">
        <v>545</v>
      </c>
      <c r="D39" s="18" t="s">
        <v>515</v>
      </c>
    </row>
    <row r="40" ht="22.5" customHeight="1">
      <c r="A40" s="18">
        <v>39.0</v>
      </c>
      <c r="B40" s="18">
        <v>10.0</v>
      </c>
      <c r="C40" s="18" t="s">
        <v>546</v>
      </c>
      <c r="D40" s="18" t="s">
        <v>519</v>
      </c>
    </row>
    <row r="41" ht="22.5" customHeight="1">
      <c r="A41" s="18">
        <v>40.0</v>
      </c>
      <c r="B41" s="18">
        <v>10.0</v>
      </c>
      <c r="C41" s="18" t="s">
        <v>547</v>
      </c>
      <c r="D41" s="18" t="s">
        <v>515</v>
      </c>
    </row>
    <row r="42" ht="22.5" customHeight="1">
      <c r="A42" s="18">
        <v>41.0</v>
      </c>
      <c r="B42" s="18">
        <v>10.0</v>
      </c>
      <c r="C42" s="18" t="s">
        <v>548</v>
      </c>
      <c r="D42" s="18" t="s">
        <v>517</v>
      </c>
    </row>
    <row r="43" ht="22.5" customHeight="1">
      <c r="A43" s="18">
        <v>42.0</v>
      </c>
      <c r="B43" s="18">
        <v>10.0</v>
      </c>
      <c r="C43" s="18" t="s">
        <v>549</v>
      </c>
      <c r="D43" s="18" t="s">
        <v>513</v>
      </c>
    </row>
    <row r="44" ht="22.5" customHeight="1">
      <c r="A44" s="18">
        <v>43.0</v>
      </c>
      <c r="B44" s="18">
        <v>11.0</v>
      </c>
      <c r="C44" s="18" t="s">
        <v>550</v>
      </c>
      <c r="D44" s="18" t="s">
        <v>515</v>
      </c>
    </row>
    <row r="45" ht="22.5" customHeight="1">
      <c r="A45" s="18">
        <v>44.0</v>
      </c>
      <c r="B45" s="18">
        <v>11.0</v>
      </c>
      <c r="C45" s="18" t="s">
        <v>551</v>
      </c>
      <c r="D45" s="18" t="s">
        <v>513</v>
      </c>
    </row>
    <row r="46" ht="22.5" customHeight="1">
      <c r="A46" s="18">
        <v>45.0</v>
      </c>
      <c r="B46" s="18">
        <v>11.0</v>
      </c>
      <c r="C46" s="18" t="s">
        <v>552</v>
      </c>
      <c r="D46" s="18" t="s">
        <v>517</v>
      </c>
    </row>
    <row r="47" ht="22.5" customHeight="1">
      <c r="A47" s="18">
        <v>46.0</v>
      </c>
      <c r="B47" s="18">
        <v>11.0</v>
      </c>
      <c r="C47" s="18" t="s">
        <v>553</v>
      </c>
      <c r="D47" s="18" t="s">
        <v>554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519</v>
      </c>
    </row>
    <row r="49" ht="22.5" customHeight="1">
      <c r="A49" s="18">
        <v>48.0</v>
      </c>
      <c r="B49" s="18">
        <v>12.0</v>
      </c>
      <c r="C49" s="18" t="s">
        <v>555</v>
      </c>
      <c r="D49" s="18" t="s">
        <v>515</v>
      </c>
    </row>
    <row r="50" ht="22.5" customHeight="1">
      <c r="A50" s="18">
        <v>49.0</v>
      </c>
      <c r="B50" s="18">
        <v>12.0</v>
      </c>
      <c r="C50" s="18" t="s">
        <v>556</v>
      </c>
      <c r="D50" s="18" t="s">
        <v>519</v>
      </c>
    </row>
    <row r="51" ht="22.5" customHeight="1">
      <c r="A51" s="18">
        <v>50.0</v>
      </c>
      <c r="B51" s="18">
        <v>12.0</v>
      </c>
      <c r="C51" s="18" t="s">
        <v>557</v>
      </c>
      <c r="D51" s="18" t="s">
        <v>513</v>
      </c>
    </row>
    <row r="52" ht="22.5" customHeight="1">
      <c r="A52" s="18">
        <v>51.0</v>
      </c>
      <c r="B52" s="18">
        <v>13.0</v>
      </c>
      <c r="C52" s="18" t="s">
        <v>558</v>
      </c>
      <c r="D52" s="18" t="s">
        <v>513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519</v>
      </c>
    </row>
    <row r="54" ht="22.5" customHeight="1">
      <c r="A54" s="18">
        <v>53.0</v>
      </c>
      <c r="B54" s="18">
        <v>13.0</v>
      </c>
      <c r="C54" s="18" t="s">
        <v>559</v>
      </c>
      <c r="D54" s="18" t="s">
        <v>517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519</v>
      </c>
    </row>
    <row r="56" ht="22.5" customHeight="1">
      <c r="A56" s="18">
        <v>55.0</v>
      </c>
      <c r="B56" s="18">
        <v>14.0</v>
      </c>
      <c r="C56" s="18" t="s">
        <v>560</v>
      </c>
      <c r="D56" s="18" t="s">
        <v>517</v>
      </c>
    </row>
    <row r="57" ht="22.5" customHeight="1">
      <c r="A57" s="18">
        <v>56.0</v>
      </c>
      <c r="B57" s="18">
        <v>14.0</v>
      </c>
      <c r="C57" s="18" t="s">
        <v>561</v>
      </c>
      <c r="D57" s="18" t="s">
        <v>513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519</v>
      </c>
    </row>
    <row r="59" ht="22.5" customHeight="1">
      <c r="A59" s="18">
        <v>58.0</v>
      </c>
      <c r="B59" s="18">
        <v>15.0</v>
      </c>
      <c r="C59" s="18" t="s">
        <v>562</v>
      </c>
      <c r="D59" s="18" t="s">
        <v>517</v>
      </c>
    </row>
    <row r="60" ht="22.5" customHeight="1">
      <c r="A60" s="18">
        <v>59.0</v>
      </c>
      <c r="B60" s="18">
        <v>15.0</v>
      </c>
      <c r="C60" s="18" t="s">
        <v>563</v>
      </c>
      <c r="D60" s="18" t="s">
        <v>513</v>
      </c>
    </row>
    <row r="61" ht="22.5" customHeight="1">
      <c r="A61" s="18">
        <v>60.0</v>
      </c>
      <c r="B61" s="18">
        <v>16.0</v>
      </c>
      <c r="C61" s="18" t="s">
        <v>564</v>
      </c>
      <c r="D61" s="18" t="s">
        <v>515</v>
      </c>
    </row>
    <row r="62" ht="22.5" customHeight="1">
      <c r="A62" s="18">
        <v>61.0</v>
      </c>
      <c r="B62" s="18">
        <v>16.0</v>
      </c>
      <c r="C62" s="18" t="s">
        <v>565</v>
      </c>
      <c r="D62" s="18" t="s">
        <v>513</v>
      </c>
    </row>
    <row r="63" ht="22.5" customHeight="1">
      <c r="A63" s="18">
        <v>62.0</v>
      </c>
      <c r="B63" s="18">
        <v>16.0</v>
      </c>
      <c r="C63" s="18" t="s">
        <v>566</v>
      </c>
      <c r="D63" s="18" t="s">
        <v>517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519</v>
      </c>
    </row>
    <row r="65" ht="22.5" customHeight="1">
      <c r="A65" s="18">
        <v>64.0</v>
      </c>
      <c r="B65" s="18">
        <v>17.0</v>
      </c>
      <c r="C65" s="18" t="s">
        <v>567</v>
      </c>
      <c r="D65" s="18" t="s">
        <v>513</v>
      </c>
    </row>
    <row r="66" ht="22.5" customHeight="1">
      <c r="A66" s="18">
        <v>65.0</v>
      </c>
      <c r="B66" s="18">
        <v>17.0</v>
      </c>
      <c r="C66" s="18" t="s">
        <v>568</v>
      </c>
      <c r="D66" s="18" t="s">
        <v>517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519</v>
      </c>
    </row>
    <row r="68" ht="22.5" customHeight="1">
      <c r="A68" s="18">
        <v>67.0</v>
      </c>
      <c r="B68" s="18">
        <v>18.0</v>
      </c>
      <c r="C68" s="18" t="s">
        <v>569</v>
      </c>
      <c r="D68" s="18" t="s">
        <v>513</v>
      </c>
    </row>
    <row r="69" ht="22.5" customHeight="1">
      <c r="A69" s="18">
        <v>68.0</v>
      </c>
      <c r="B69" s="18">
        <v>18.0</v>
      </c>
      <c r="C69" s="18" t="s">
        <v>570</v>
      </c>
      <c r="D69" s="18" t="s">
        <v>517</v>
      </c>
    </row>
    <row r="70" ht="22.5" customHeight="1">
      <c r="A70" s="18">
        <v>69.0</v>
      </c>
      <c r="B70" s="18">
        <v>19.0</v>
      </c>
      <c r="C70" s="18" t="s">
        <v>571</v>
      </c>
      <c r="D70" s="18" t="s">
        <v>515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519</v>
      </c>
    </row>
    <row r="72" ht="22.5" customHeight="1">
      <c r="A72" s="18">
        <v>71.0</v>
      </c>
      <c r="B72" s="18">
        <v>19.0</v>
      </c>
      <c r="C72" s="18" t="s">
        <v>572</v>
      </c>
      <c r="D72" s="18" t="s">
        <v>519</v>
      </c>
    </row>
    <row r="73" ht="22.5" customHeight="1">
      <c r="A73" s="18">
        <v>72.0</v>
      </c>
      <c r="B73" s="18">
        <v>19.0</v>
      </c>
      <c r="C73" s="18" t="s">
        <v>573</v>
      </c>
      <c r="D73" s="18" t="s">
        <v>517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519</v>
      </c>
    </row>
    <row r="75" ht="22.5" customHeight="1">
      <c r="A75" s="18">
        <v>74.0</v>
      </c>
      <c r="B75" s="18">
        <v>20.0</v>
      </c>
      <c r="C75" s="18" t="s">
        <v>574</v>
      </c>
      <c r="D75" s="18" t="s">
        <v>517</v>
      </c>
    </row>
    <row r="76" ht="22.5" customHeight="1">
      <c r="A76" s="18">
        <v>75.0</v>
      </c>
      <c r="B76" s="18">
        <v>20.0</v>
      </c>
      <c r="C76" s="18" t="s">
        <v>575</v>
      </c>
      <c r="D76" s="18" t="s">
        <v>513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519</v>
      </c>
    </row>
    <row r="78" ht="22.5" customHeight="1">
      <c r="A78" s="18">
        <v>77.0</v>
      </c>
      <c r="B78" s="18">
        <v>21.0</v>
      </c>
      <c r="C78" s="18" t="s">
        <v>576</v>
      </c>
      <c r="D78" s="18" t="s">
        <v>513</v>
      </c>
    </row>
    <row r="79" ht="22.5" customHeight="1">
      <c r="A79" s="18">
        <v>78.0</v>
      </c>
      <c r="B79" s="18">
        <v>22.0</v>
      </c>
      <c r="C79" s="18" t="s">
        <v>577</v>
      </c>
      <c r="D79" s="18" t="s">
        <v>515</v>
      </c>
    </row>
    <row r="80" ht="22.5" customHeight="1">
      <c r="A80" s="18">
        <v>79.0</v>
      </c>
      <c r="B80" s="18">
        <v>22.0</v>
      </c>
      <c r="C80" s="18" t="s">
        <v>578</v>
      </c>
      <c r="D80" s="18" t="s">
        <v>517</v>
      </c>
    </row>
    <row r="81" ht="22.5" customHeight="1">
      <c r="A81" s="18">
        <v>80.0</v>
      </c>
      <c r="B81" s="18">
        <v>22.0</v>
      </c>
      <c r="C81" s="18" t="s">
        <v>579</v>
      </c>
      <c r="D81" s="18" t="s">
        <v>513</v>
      </c>
    </row>
    <row r="82" ht="22.5" customHeight="1">
      <c r="A82" s="18">
        <v>81.0</v>
      </c>
      <c r="B82" s="18">
        <v>23.0</v>
      </c>
      <c r="C82" s="18" t="s">
        <v>580</v>
      </c>
      <c r="D82" s="18" t="s">
        <v>513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519</v>
      </c>
    </row>
    <row r="84" ht="22.5" customHeight="1">
      <c r="A84" s="18">
        <v>83.0</v>
      </c>
      <c r="B84" s="18">
        <v>23.0</v>
      </c>
      <c r="C84" s="18" t="s">
        <v>581</v>
      </c>
      <c r="D84" s="18" t="s">
        <v>554</v>
      </c>
    </row>
    <row r="85" ht="22.5" customHeight="1">
      <c r="A85" s="18">
        <v>84.0</v>
      </c>
      <c r="B85" s="18">
        <v>24.0</v>
      </c>
      <c r="C85" s="18" t="s">
        <v>582</v>
      </c>
      <c r="D85" s="18" t="s">
        <v>513</v>
      </c>
    </row>
    <row r="86" ht="22.5" customHeight="1">
      <c r="A86" s="18">
        <v>85.0</v>
      </c>
      <c r="B86" s="18">
        <v>24.0</v>
      </c>
      <c r="C86" s="18" t="s">
        <v>583</v>
      </c>
      <c r="D86" s="18" t="s">
        <v>515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519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519</v>
      </c>
    </row>
    <row r="89" ht="22.5" customHeight="1">
      <c r="A89" s="18">
        <v>88.0</v>
      </c>
      <c r="B89" s="18">
        <v>25.0</v>
      </c>
      <c r="C89" s="18" t="s">
        <v>584</v>
      </c>
      <c r="D89" s="18" t="s">
        <v>517</v>
      </c>
    </row>
    <row r="90" ht="22.5" customHeight="1">
      <c r="A90" s="18">
        <v>89.0</v>
      </c>
      <c r="B90" s="18">
        <v>25.0</v>
      </c>
      <c r="C90" s="18" t="s">
        <v>585</v>
      </c>
      <c r="D90" s="18" t="s">
        <v>513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513</v>
      </c>
    </row>
    <row r="92" ht="22.5" customHeight="1">
      <c r="A92" s="18">
        <v>91.0</v>
      </c>
      <c r="B92" s="18">
        <v>26.0</v>
      </c>
      <c r="C92" s="18" t="s">
        <v>540</v>
      </c>
      <c r="D92" s="18" t="s">
        <v>519</v>
      </c>
    </row>
    <row r="93" ht="22.5" customHeight="1">
      <c r="A93" s="18">
        <v>92.0</v>
      </c>
      <c r="B93" s="18">
        <v>26.0</v>
      </c>
      <c r="C93" s="18" t="s">
        <v>586</v>
      </c>
      <c r="D93" s="18" t="s">
        <v>517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519</v>
      </c>
    </row>
    <row r="95" ht="22.5" customHeight="1">
      <c r="A95" s="18">
        <v>94.0</v>
      </c>
      <c r="B95" s="18">
        <v>27.0</v>
      </c>
      <c r="C95" s="18" t="s">
        <v>587</v>
      </c>
      <c r="D95" s="18" t="s">
        <v>588</v>
      </c>
    </row>
    <row r="96" ht="22.5" customHeight="1">
      <c r="A96" s="18">
        <v>95.0</v>
      </c>
      <c r="B96" s="18">
        <v>27.0</v>
      </c>
      <c r="C96" s="18" t="s">
        <v>589</v>
      </c>
      <c r="D96" s="18" t="s">
        <v>517</v>
      </c>
    </row>
    <row r="97" ht="22.5" customHeight="1">
      <c r="A97" s="18">
        <v>96.0</v>
      </c>
      <c r="B97" s="18">
        <v>27.0</v>
      </c>
      <c r="C97" s="18" t="s">
        <v>590</v>
      </c>
      <c r="D97" s="18" t="s">
        <v>513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519</v>
      </c>
    </row>
    <row r="99" ht="22.5" customHeight="1">
      <c r="A99" s="18">
        <v>98.0</v>
      </c>
      <c r="B99" s="18">
        <v>28.0</v>
      </c>
      <c r="C99" s="18" t="s">
        <v>591</v>
      </c>
      <c r="D99" s="18" t="s">
        <v>513</v>
      </c>
    </row>
    <row r="100" ht="22.5" customHeight="1">
      <c r="A100" s="18">
        <v>99.0</v>
      </c>
      <c r="B100" s="18">
        <v>28.0</v>
      </c>
      <c r="C100" s="18" t="s">
        <v>592</v>
      </c>
      <c r="D100" s="18" t="s">
        <v>554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519</v>
      </c>
    </row>
    <row r="102" ht="22.5" customHeight="1">
      <c r="A102" s="18">
        <v>101.0</v>
      </c>
      <c r="B102" s="18">
        <v>29.0</v>
      </c>
      <c r="C102" s="18" t="s">
        <v>593</v>
      </c>
      <c r="D102" s="18" t="s">
        <v>513</v>
      </c>
    </row>
    <row r="103" ht="22.5" customHeight="1">
      <c r="A103" s="18">
        <v>102.0</v>
      </c>
      <c r="B103" s="18">
        <v>29.0</v>
      </c>
      <c r="C103" s="18" t="s">
        <v>594</v>
      </c>
      <c r="D103" s="18" t="s">
        <v>517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519</v>
      </c>
    </row>
    <row r="105" ht="22.5" customHeight="1">
      <c r="A105" s="18">
        <v>104.0</v>
      </c>
      <c r="B105" s="18">
        <v>30.0</v>
      </c>
      <c r="C105" s="18" t="s">
        <v>595</v>
      </c>
      <c r="D105" s="18" t="s">
        <v>517</v>
      </c>
    </row>
    <row r="106" ht="22.5" customHeight="1">
      <c r="A106" s="18">
        <v>105.0</v>
      </c>
      <c r="B106" s="18">
        <v>30.0</v>
      </c>
      <c r="C106" s="18" t="s">
        <v>596</v>
      </c>
      <c r="D106" s="18" t="s">
        <v>513</v>
      </c>
    </row>
    <row r="107" ht="22.5" customHeight="1">
      <c r="A107" s="18">
        <v>106.0</v>
      </c>
      <c r="B107" s="18">
        <v>31.0</v>
      </c>
      <c r="C107" s="18" t="s">
        <v>597</v>
      </c>
      <c r="D107" s="18" t="s">
        <v>513</v>
      </c>
    </row>
    <row r="108" ht="22.5" customHeight="1">
      <c r="A108" s="18">
        <v>107.0</v>
      </c>
      <c r="B108" s="18">
        <v>31.0</v>
      </c>
      <c r="C108" s="18" t="s">
        <v>598</v>
      </c>
      <c r="D108" s="18" t="s">
        <v>517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519</v>
      </c>
    </row>
    <row r="110" ht="22.5" customHeight="1">
      <c r="A110" s="18">
        <v>109.0</v>
      </c>
      <c r="B110" s="18">
        <v>32.0</v>
      </c>
      <c r="C110" s="18" t="s">
        <v>599</v>
      </c>
      <c r="D110" s="18" t="s">
        <v>588</v>
      </c>
    </row>
    <row r="111" ht="22.5" customHeight="1">
      <c r="A111" s="18">
        <v>110.0</v>
      </c>
      <c r="B111" s="18">
        <v>32.0</v>
      </c>
      <c r="C111" s="18" t="s">
        <v>600</v>
      </c>
      <c r="D111" s="18" t="s">
        <v>513</v>
      </c>
    </row>
    <row r="112" ht="22.5" customHeight="1">
      <c r="A112" s="18">
        <v>111.0</v>
      </c>
      <c r="B112" s="18">
        <v>32.0</v>
      </c>
      <c r="C112" s="18" t="s">
        <v>601</v>
      </c>
      <c r="D112" s="18" t="s">
        <v>517</v>
      </c>
    </row>
    <row r="113" ht="22.5" customHeight="1">
      <c r="A113" s="18">
        <v>112.0</v>
      </c>
      <c r="B113" s="18">
        <v>33.0</v>
      </c>
      <c r="C113" s="18" t="s">
        <v>602</v>
      </c>
      <c r="D113" s="18" t="s">
        <v>513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519</v>
      </c>
    </row>
    <row r="115" ht="22.5" customHeight="1">
      <c r="A115" s="18">
        <v>114.0</v>
      </c>
      <c r="B115" s="18">
        <v>33.0</v>
      </c>
      <c r="C115" s="18" t="s">
        <v>603</v>
      </c>
      <c r="D115" s="18" t="s">
        <v>517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519</v>
      </c>
    </row>
    <row r="117" ht="22.5" customHeight="1">
      <c r="A117" s="18">
        <v>116.0</v>
      </c>
      <c r="B117" s="18">
        <v>34.0</v>
      </c>
      <c r="C117" s="18" t="s">
        <v>604</v>
      </c>
      <c r="D117" s="18" t="s">
        <v>517</v>
      </c>
    </row>
    <row r="118" ht="22.5" customHeight="1">
      <c r="A118" s="18">
        <v>117.0</v>
      </c>
      <c r="B118" s="18">
        <v>34.0</v>
      </c>
      <c r="C118" s="18" t="s">
        <v>605</v>
      </c>
      <c r="D118" s="18" t="s">
        <v>513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519</v>
      </c>
    </row>
    <row r="120" ht="22.5" customHeight="1">
      <c r="A120" s="18">
        <v>119.0</v>
      </c>
      <c r="B120" s="18">
        <v>35.0</v>
      </c>
      <c r="C120" s="18" t="s">
        <v>606</v>
      </c>
      <c r="D120" s="18" t="s">
        <v>513</v>
      </c>
    </row>
    <row r="121" ht="22.5" customHeight="1">
      <c r="A121" s="18">
        <v>120.0</v>
      </c>
      <c r="B121" s="18">
        <v>35.0</v>
      </c>
      <c r="C121" s="18" t="s">
        <v>607</v>
      </c>
      <c r="D121" s="18" t="s">
        <v>554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519</v>
      </c>
    </row>
    <row r="123" ht="22.5" customHeight="1">
      <c r="A123" s="18">
        <v>122.0</v>
      </c>
      <c r="B123" s="18">
        <v>36.0</v>
      </c>
      <c r="C123" s="18" t="s">
        <v>608</v>
      </c>
      <c r="D123" s="18" t="s">
        <v>517</v>
      </c>
    </row>
    <row r="124" ht="22.5" customHeight="1">
      <c r="A124" s="18">
        <v>123.0</v>
      </c>
      <c r="B124" s="18">
        <v>36.0</v>
      </c>
      <c r="C124" s="18" t="s">
        <v>609</v>
      </c>
      <c r="D124" s="18" t="s">
        <v>513</v>
      </c>
    </row>
    <row r="125" ht="22.5" customHeight="1">
      <c r="A125" s="18">
        <v>124.0</v>
      </c>
      <c r="B125" s="18">
        <v>37.0</v>
      </c>
      <c r="C125" s="18" t="s">
        <v>610</v>
      </c>
      <c r="D125" s="18" t="s">
        <v>515</v>
      </c>
    </row>
    <row r="126" ht="22.5" customHeight="1">
      <c r="A126" s="18">
        <v>125.0</v>
      </c>
      <c r="B126" s="18">
        <v>37.0</v>
      </c>
      <c r="C126" s="18" t="s">
        <v>611</v>
      </c>
      <c r="D126" s="18" t="s">
        <v>513</v>
      </c>
    </row>
    <row r="127" ht="22.5" customHeight="1">
      <c r="A127" s="18">
        <v>126.0</v>
      </c>
      <c r="B127" s="18">
        <v>37.0</v>
      </c>
      <c r="C127" s="18" t="s">
        <v>612</v>
      </c>
      <c r="D127" s="18" t="s">
        <v>517</v>
      </c>
    </row>
    <row r="128" ht="22.5" customHeight="1">
      <c r="A128" s="18">
        <v>127.0</v>
      </c>
      <c r="B128" s="18">
        <v>38.0</v>
      </c>
      <c r="C128" s="18" t="s">
        <v>613</v>
      </c>
      <c r="D128" s="18" t="s">
        <v>515</v>
      </c>
    </row>
    <row r="129" ht="22.5" customHeight="1">
      <c r="A129" s="18">
        <v>128.0</v>
      </c>
      <c r="B129" s="18">
        <v>38.0</v>
      </c>
      <c r="C129" s="18" t="s">
        <v>614</v>
      </c>
      <c r="D129" s="18" t="s">
        <v>513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519</v>
      </c>
    </row>
    <row r="131" ht="22.5" customHeight="1">
      <c r="A131" s="18">
        <v>130.0</v>
      </c>
      <c r="B131" s="18">
        <v>39.0</v>
      </c>
      <c r="C131" s="18" t="s">
        <v>615</v>
      </c>
      <c r="D131" s="18" t="s">
        <v>515</v>
      </c>
    </row>
    <row r="132" ht="22.5" customHeight="1">
      <c r="A132" s="18">
        <v>131.0</v>
      </c>
      <c r="B132" s="18">
        <v>39.0</v>
      </c>
      <c r="C132" s="18" t="s">
        <v>616</v>
      </c>
      <c r="D132" s="18" t="s">
        <v>517</v>
      </c>
    </row>
    <row r="133" ht="22.5" customHeight="1">
      <c r="A133" s="18">
        <v>132.0</v>
      </c>
      <c r="B133" s="18">
        <v>39.0</v>
      </c>
      <c r="C133" s="18" t="s">
        <v>617</v>
      </c>
      <c r="D133" s="18" t="s">
        <v>513</v>
      </c>
    </row>
    <row r="134" ht="22.5" customHeight="1">
      <c r="A134" s="18">
        <v>133.0</v>
      </c>
      <c r="B134" s="18">
        <v>40.0</v>
      </c>
      <c r="C134" s="18" t="s">
        <v>618</v>
      </c>
      <c r="D134" s="18" t="s">
        <v>515</v>
      </c>
    </row>
    <row r="135" ht="22.5" customHeight="1">
      <c r="A135" s="18">
        <v>134.0</v>
      </c>
      <c r="B135" s="18">
        <v>40.0</v>
      </c>
      <c r="C135" s="18" t="s">
        <v>619</v>
      </c>
      <c r="D135" s="18" t="s">
        <v>513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519</v>
      </c>
    </row>
    <row r="137" ht="22.5" customHeight="1">
      <c r="A137" s="18">
        <v>136.0</v>
      </c>
      <c r="B137" s="18">
        <v>41.0</v>
      </c>
      <c r="C137" s="18" t="s">
        <v>620</v>
      </c>
      <c r="D137" s="18" t="s">
        <v>513</v>
      </c>
    </row>
    <row r="138" ht="22.5" customHeight="1">
      <c r="A138" s="18">
        <v>137.0</v>
      </c>
      <c r="B138" s="18">
        <v>41.0</v>
      </c>
      <c r="C138" s="18" t="s">
        <v>621</v>
      </c>
      <c r="D138" s="18" t="s">
        <v>517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519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519</v>
      </c>
    </row>
    <row r="141" ht="22.5" customHeight="1">
      <c r="A141" s="18">
        <v>140.0</v>
      </c>
      <c r="B141" s="18">
        <v>42.0</v>
      </c>
      <c r="C141" s="18" t="s">
        <v>622</v>
      </c>
      <c r="D141" s="18" t="s">
        <v>515</v>
      </c>
    </row>
    <row r="142" ht="22.5" customHeight="1">
      <c r="A142" s="18">
        <v>141.0</v>
      </c>
      <c r="B142" s="18">
        <v>42.0</v>
      </c>
      <c r="C142" s="18" t="s">
        <v>623</v>
      </c>
      <c r="D142" s="18" t="s">
        <v>517</v>
      </c>
    </row>
    <row r="143" ht="22.5" customHeight="1">
      <c r="A143" s="18">
        <v>142.0</v>
      </c>
      <c r="B143" s="18">
        <v>43.0</v>
      </c>
      <c r="C143" s="18" t="s">
        <v>624</v>
      </c>
      <c r="D143" s="18" t="s">
        <v>515</v>
      </c>
    </row>
    <row r="144" ht="22.5" customHeight="1">
      <c r="A144" s="18">
        <v>143.0</v>
      </c>
      <c r="B144" s="18">
        <v>43.0</v>
      </c>
      <c r="C144" s="18" t="s">
        <v>625</v>
      </c>
      <c r="D144" s="18" t="s">
        <v>513</v>
      </c>
    </row>
    <row r="145" ht="22.5" customHeight="1">
      <c r="A145" s="18">
        <v>144.0</v>
      </c>
      <c r="B145" s="18">
        <v>43.0</v>
      </c>
      <c r="C145" s="18" t="s">
        <v>626</v>
      </c>
      <c r="D145" s="18" t="s">
        <v>517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513</v>
      </c>
    </row>
    <row r="147" ht="22.5" customHeight="1">
      <c r="A147" s="18">
        <v>146.0</v>
      </c>
      <c r="B147" s="18">
        <v>44.0</v>
      </c>
      <c r="C147" s="18" t="s">
        <v>627</v>
      </c>
      <c r="D147" s="18" t="s">
        <v>519</v>
      </c>
    </row>
    <row r="148" ht="22.5" customHeight="1">
      <c r="A148" s="18">
        <v>147.0</v>
      </c>
      <c r="B148" s="18">
        <v>44.0</v>
      </c>
      <c r="C148" s="18" t="s">
        <v>628</v>
      </c>
      <c r="D148" s="18" t="s">
        <v>517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519</v>
      </c>
    </row>
    <row r="150" ht="22.5" customHeight="1">
      <c r="A150" s="18">
        <v>149.0</v>
      </c>
      <c r="B150" s="18">
        <v>45.0</v>
      </c>
      <c r="C150" s="18" t="s">
        <v>629</v>
      </c>
      <c r="D150" s="18" t="s">
        <v>513</v>
      </c>
    </row>
    <row r="151" ht="22.5" customHeight="1">
      <c r="A151" s="18">
        <v>150.0</v>
      </c>
      <c r="B151" s="18">
        <v>45.0</v>
      </c>
      <c r="C151" s="18" t="s">
        <v>630</v>
      </c>
      <c r="D151" s="18" t="s">
        <v>517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519</v>
      </c>
    </row>
    <row r="153" ht="22.5" customHeight="1">
      <c r="A153" s="18">
        <v>152.0</v>
      </c>
      <c r="B153" s="18">
        <v>46.0</v>
      </c>
      <c r="C153" s="18" t="s">
        <v>631</v>
      </c>
      <c r="D153" s="18" t="s">
        <v>517</v>
      </c>
    </row>
    <row r="154" ht="22.5" customHeight="1">
      <c r="A154" s="18">
        <v>153.0</v>
      </c>
      <c r="B154" s="18">
        <v>46.0</v>
      </c>
      <c r="C154" s="18" t="s">
        <v>632</v>
      </c>
      <c r="D154" s="18" t="s">
        <v>515</v>
      </c>
    </row>
    <row r="155" ht="22.5" customHeight="1">
      <c r="A155" s="18">
        <v>154.0</v>
      </c>
      <c r="B155" s="18">
        <v>47.0</v>
      </c>
      <c r="C155" s="18" t="s">
        <v>633</v>
      </c>
      <c r="D155" s="18" t="s">
        <v>515</v>
      </c>
    </row>
    <row r="156" ht="22.5" customHeight="1">
      <c r="A156" s="18">
        <v>155.0</v>
      </c>
      <c r="B156" s="18">
        <v>47.0</v>
      </c>
      <c r="C156" s="18" t="s">
        <v>634</v>
      </c>
      <c r="D156" s="18" t="s">
        <v>513</v>
      </c>
    </row>
    <row r="157" ht="22.5" customHeight="1">
      <c r="A157" s="18">
        <v>156.0</v>
      </c>
      <c r="B157" s="18">
        <v>47.0</v>
      </c>
      <c r="C157" s="18" t="s">
        <v>635</v>
      </c>
      <c r="D157" s="18" t="s">
        <v>519</v>
      </c>
    </row>
    <row r="158" ht="22.5" customHeight="1">
      <c r="A158" s="18">
        <v>157.0</v>
      </c>
      <c r="B158" s="18">
        <v>48.0</v>
      </c>
      <c r="C158" s="18" t="s">
        <v>636</v>
      </c>
      <c r="D158" s="18" t="s">
        <v>515</v>
      </c>
    </row>
    <row r="159" ht="22.5" customHeight="1">
      <c r="A159" s="18">
        <v>158.0</v>
      </c>
      <c r="B159" s="18">
        <v>48.0</v>
      </c>
      <c r="C159" s="18" t="s">
        <v>637</v>
      </c>
      <c r="D159" s="18" t="s">
        <v>519</v>
      </c>
    </row>
    <row r="160" ht="22.5" customHeight="1">
      <c r="A160" s="18">
        <v>159.0</v>
      </c>
      <c r="B160" s="18">
        <v>48.0</v>
      </c>
      <c r="C160" s="18" t="s">
        <v>638</v>
      </c>
      <c r="D160" s="18" t="s">
        <v>517</v>
      </c>
    </row>
    <row r="161" ht="22.5" customHeight="1">
      <c r="A161" s="18">
        <v>160.0</v>
      </c>
      <c r="B161" s="18">
        <v>49.0</v>
      </c>
      <c r="C161" s="18" t="s">
        <v>639</v>
      </c>
      <c r="D161" s="18" t="s">
        <v>515</v>
      </c>
    </row>
    <row r="162" ht="22.5" customHeight="1">
      <c r="A162" s="18">
        <v>161.0</v>
      </c>
      <c r="B162" s="18">
        <v>49.0</v>
      </c>
      <c r="C162" s="18" t="s">
        <v>640</v>
      </c>
      <c r="D162" s="18" t="s">
        <v>517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519</v>
      </c>
    </row>
    <row r="164" ht="22.5" customHeight="1">
      <c r="A164" s="18">
        <v>163.0</v>
      </c>
      <c r="B164" s="18">
        <v>50.0</v>
      </c>
      <c r="C164" s="18" t="s">
        <v>641</v>
      </c>
      <c r="D164" s="18" t="s">
        <v>515</v>
      </c>
    </row>
    <row r="165" ht="22.5" customHeight="1">
      <c r="A165" s="18">
        <v>164.0</v>
      </c>
      <c r="B165" s="18">
        <v>50.0</v>
      </c>
      <c r="C165" s="18" t="s">
        <v>642</v>
      </c>
      <c r="D165" s="18" t="s">
        <v>513</v>
      </c>
    </row>
    <row r="166" ht="22.5" customHeight="1">
      <c r="A166" s="18">
        <v>165.0</v>
      </c>
      <c r="B166" s="18">
        <v>50.0</v>
      </c>
      <c r="C166" s="18" t="s">
        <v>643</v>
      </c>
      <c r="D166" s="18" t="s">
        <v>519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519</v>
      </c>
    </row>
    <row r="168" ht="22.5" customHeight="1">
      <c r="A168" s="18">
        <v>167.0</v>
      </c>
      <c r="B168" s="18">
        <v>51.0</v>
      </c>
      <c r="C168" s="18" t="s">
        <v>644</v>
      </c>
      <c r="D168" s="18" t="s">
        <v>515</v>
      </c>
    </row>
    <row r="169" ht="22.5" customHeight="1">
      <c r="A169" s="18">
        <v>168.0</v>
      </c>
      <c r="B169" s="18">
        <v>51.0</v>
      </c>
      <c r="C169" s="18" t="s">
        <v>645</v>
      </c>
      <c r="D169" s="18" t="s">
        <v>513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519</v>
      </c>
    </row>
    <row r="171" ht="22.5" customHeight="1">
      <c r="A171" s="18">
        <v>170.0</v>
      </c>
      <c r="B171" s="18">
        <v>52.0</v>
      </c>
      <c r="C171" s="18" t="s">
        <v>646</v>
      </c>
      <c r="D171" s="18" t="s">
        <v>513</v>
      </c>
    </row>
    <row r="172" ht="22.5" customHeight="1">
      <c r="A172" s="18">
        <v>171.0</v>
      </c>
      <c r="B172" s="18">
        <v>52.0</v>
      </c>
      <c r="C172" s="18" t="s">
        <v>647</v>
      </c>
      <c r="D172" s="18" t="s">
        <v>515</v>
      </c>
    </row>
    <row r="173" ht="22.5" customHeight="1">
      <c r="A173" s="18">
        <v>172.0</v>
      </c>
      <c r="B173" s="18">
        <v>53.0</v>
      </c>
      <c r="C173" s="18" t="s">
        <v>648</v>
      </c>
      <c r="D173" s="18" t="s">
        <v>515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519</v>
      </c>
    </row>
    <row r="175" ht="22.5" customHeight="1">
      <c r="A175" s="18">
        <v>174.0</v>
      </c>
      <c r="B175" s="18">
        <v>53.0</v>
      </c>
      <c r="C175" s="18" t="s">
        <v>649</v>
      </c>
      <c r="D175" s="18" t="s">
        <v>517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519</v>
      </c>
    </row>
    <row r="177" ht="22.5" customHeight="1">
      <c r="A177" s="18">
        <v>176.0</v>
      </c>
      <c r="B177" s="18">
        <v>54.0</v>
      </c>
      <c r="C177" s="18" t="s">
        <v>650</v>
      </c>
      <c r="D177" s="18" t="s">
        <v>517</v>
      </c>
    </row>
    <row r="178" ht="22.5" customHeight="1">
      <c r="A178" s="18">
        <v>177.0</v>
      </c>
      <c r="B178" s="18">
        <v>54.0</v>
      </c>
      <c r="C178" s="18" t="s">
        <v>651</v>
      </c>
      <c r="D178" s="18" t="s">
        <v>515</v>
      </c>
    </row>
    <row r="179" ht="22.5" customHeight="1">
      <c r="A179" s="18">
        <v>178.0</v>
      </c>
      <c r="B179" s="18">
        <v>55.0</v>
      </c>
      <c r="C179" s="18" t="s">
        <v>652</v>
      </c>
      <c r="D179" s="18" t="s">
        <v>515</v>
      </c>
    </row>
    <row r="180" ht="22.5" customHeight="1">
      <c r="A180" s="18">
        <v>179.0</v>
      </c>
      <c r="B180" s="18">
        <v>55.0</v>
      </c>
      <c r="C180" s="18" t="s">
        <v>653</v>
      </c>
      <c r="D180" s="18" t="s">
        <v>517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519</v>
      </c>
    </row>
    <row r="182" ht="22.5" customHeight="1">
      <c r="A182" s="18">
        <v>181.0</v>
      </c>
      <c r="B182" s="18">
        <v>56.0</v>
      </c>
      <c r="C182" s="18" t="s">
        <v>654</v>
      </c>
      <c r="D182" s="18" t="s">
        <v>513</v>
      </c>
    </row>
    <row r="183" ht="22.5" customHeight="1">
      <c r="A183" s="18">
        <v>182.0</v>
      </c>
      <c r="B183" s="18">
        <v>56.0</v>
      </c>
      <c r="C183" s="18" t="s">
        <v>655</v>
      </c>
      <c r="D183" s="18" t="s">
        <v>517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519</v>
      </c>
    </row>
    <row r="185" ht="22.5" customHeight="1">
      <c r="A185" s="18">
        <v>184.0</v>
      </c>
      <c r="B185" s="18">
        <v>57.0</v>
      </c>
      <c r="C185" s="18" t="s">
        <v>656</v>
      </c>
      <c r="D185" s="18" t="s">
        <v>515</v>
      </c>
    </row>
    <row r="186" ht="22.5" customHeight="1">
      <c r="A186" s="18">
        <v>185.0</v>
      </c>
      <c r="B186" s="18">
        <v>57.0</v>
      </c>
      <c r="C186" s="18" t="s">
        <v>657</v>
      </c>
      <c r="D186" s="18" t="s">
        <v>513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519</v>
      </c>
    </row>
    <row r="188" ht="22.5" customHeight="1">
      <c r="A188" s="18">
        <v>187.0</v>
      </c>
      <c r="B188" s="18">
        <v>58.0</v>
      </c>
      <c r="C188" s="18" t="s">
        <v>658</v>
      </c>
      <c r="D188" s="18" t="s">
        <v>515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519</v>
      </c>
    </row>
    <row r="190" ht="22.5" customHeight="1">
      <c r="A190" s="18">
        <v>189.0</v>
      </c>
      <c r="B190" s="18">
        <v>58.0</v>
      </c>
      <c r="C190" s="18" t="s">
        <v>659</v>
      </c>
      <c r="D190" s="18" t="s">
        <v>517</v>
      </c>
    </row>
    <row r="191" ht="22.5" customHeight="1">
      <c r="A191" s="18">
        <v>190.0</v>
      </c>
      <c r="B191" s="18">
        <v>59.0</v>
      </c>
      <c r="C191" s="18" t="s">
        <v>660</v>
      </c>
      <c r="D191" s="18" t="s">
        <v>515</v>
      </c>
    </row>
    <row r="192" ht="22.5" customHeight="1">
      <c r="A192" s="18">
        <v>191.0</v>
      </c>
      <c r="B192" s="18">
        <v>59.0</v>
      </c>
      <c r="C192" s="18" t="s">
        <v>661</v>
      </c>
      <c r="D192" s="18" t="s">
        <v>513</v>
      </c>
    </row>
    <row r="193" ht="22.5" customHeight="1">
      <c r="A193" s="18">
        <v>192.0</v>
      </c>
      <c r="B193" s="18">
        <v>59.0</v>
      </c>
      <c r="C193" s="18" t="s">
        <v>662</v>
      </c>
      <c r="D193" s="18" t="s">
        <v>519</v>
      </c>
    </row>
    <row r="194" ht="22.5" customHeight="1">
      <c r="A194" s="18">
        <v>193.0</v>
      </c>
      <c r="B194" s="18">
        <v>60.0</v>
      </c>
      <c r="C194" s="18" t="s">
        <v>663</v>
      </c>
      <c r="D194" s="18" t="s">
        <v>515</v>
      </c>
    </row>
    <row r="195" ht="22.5" customHeight="1">
      <c r="A195" s="18">
        <v>194.0</v>
      </c>
      <c r="B195" s="18">
        <v>60.0</v>
      </c>
      <c r="C195" s="18" t="s">
        <v>664</v>
      </c>
      <c r="D195" s="18" t="s">
        <v>517</v>
      </c>
    </row>
    <row r="196" ht="22.5" customHeight="1">
      <c r="A196" s="18">
        <v>195.0</v>
      </c>
      <c r="B196" s="18">
        <v>60.0</v>
      </c>
      <c r="C196" s="18" t="s">
        <v>665</v>
      </c>
      <c r="D196" s="18" t="s">
        <v>519</v>
      </c>
    </row>
    <row r="197" ht="22.5" customHeight="1">
      <c r="A197" s="18">
        <v>196.0</v>
      </c>
      <c r="B197" s="18">
        <v>61.0</v>
      </c>
      <c r="C197" s="18" t="s">
        <v>666</v>
      </c>
      <c r="D197" s="18" t="s">
        <v>515</v>
      </c>
    </row>
    <row r="198" ht="22.5" customHeight="1">
      <c r="A198" s="18">
        <v>197.0</v>
      </c>
      <c r="B198" s="18">
        <v>61.0</v>
      </c>
      <c r="C198" s="18" t="s">
        <v>667</v>
      </c>
      <c r="D198" s="18" t="s">
        <v>513</v>
      </c>
    </row>
    <row r="199" ht="22.5" customHeight="1">
      <c r="A199" s="18">
        <v>198.0</v>
      </c>
      <c r="B199" s="18">
        <v>61.0</v>
      </c>
      <c r="C199" s="18" t="s">
        <v>668</v>
      </c>
      <c r="D199" s="18" t="s">
        <v>517</v>
      </c>
    </row>
    <row r="200" ht="22.5" customHeight="1">
      <c r="A200" s="18">
        <v>199.0</v>
      </c>
      <c r="B200" s="18">
        <v>62.0</v>
      </c>
      <c r="C200" s="18" t="s">
        <v>669</v>
      </c>
      <c r="D200" s="18" t="s">
        <v>513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519</v>
      </c>
    </row>
    <row r="202" ht="22.5" customHeight="1">
      <c r="A202" s="18">
        <v>201.0</v>
      </c>
      <c r="B202" s="18">
        <v>62.0</v>
      </c>
      <c r="C202" s="18" t="s">
        <v>670</v>
      </c>
      <c r="D202" s="18" t="s">
        <v>517</v>
      </c>
    </row>
    <row r="203" ht="22.5" customHeight="1">
      <c r="A203" s="18">
        <v>202.0</v>
      </c>
      <c r="B203" s="18">
        <v>63.0</v>
      </c>
      <c r="C203" s="18" t="s">
        <v>671</v>
      </c>
      <c r="D203" s="18" t="s">
        <v>588</v>
      </c>
    </row>
    <row r="204" ht="22.5" customHeight="1">
      <c r="A204" s="18">
        <v>203.0</v>
      </c>
      <c r="B204" s="18">
        <v>63.0</v>
      </c>
      <c r="C204" s="18" t="s">
        <v>672</v>
      </c>
      <c r="D204" s="18" t="s">
        <v>517</v>
      </c>
    </row>
    <row r="205" ht="22.5" customHeight="1">
      <c r="A205" s="18">
        <v>204.0</v>
      </c>
      <c r="B205" s="18">
        <v>63.0</v>
      </c>
      <c r="C205" s="18" t="s">
        <v>673</v>
      </c>
      <c r="D205" s="18" t="s">
        <v>519</v>
      </c>
    </row>
    <row r="206" ht="22.5" customHeight="1">
      <c r="A206" s="18">
        <v>205.0</v>
      </c>
      <c r="B206" s="18">
        <v>64.0</v>
      </c>
      <c r="C206" s="18" t="s">
        <v>178</v>
      </c>
      <c r="D206" s="18" t="s">
        <v>519</v>
      </c>
    </row>
    <row r="207" ht="22.5" customHeight="1">
      <c r="A207" s="18">
        <v>206.0</v>
      </c>
      <c r="B207" s="18">
        <v>64.0</v>
      </c>
      <c r="C207" s="18" t="s">
        <v>674</v>
      </c>
      <c r="D207" s="18" t="s">
        <v>517</v>
      </c>
    </row>
    <row r="208" ht="22.5" customHeight="1">
      <c r="A208" s="18">
        <v>207.0</v>
      </c>
      <c r="B208" s="18">
        <v>64.0</v>
      </c>
      <c r="C208" s="18" t="s">
        <v>675</v>
      </c>
      <c r="D208" s="18" t="s">
        <v>515</v>
      </c>
    </row>
    <row r="209" ht="22.5" customHeight="1">
      <c r="A209" s="18">
        <v>208.0</v>
      </c>
      <c r="B209" s="18">
        <v>65.0</v>
      </c>
      <c r="C209" s="18" t="s">
        <v>180</v>
      </c>
      <c r="D209" s="18" t="s">
        <v>519</v>
      </c>
    </row>
    <row r="210" ht="22.5" customHeight="1">
      <c r="A210" s="18">
        <v>209.0</v>
      </c>
      <c r="B210" s="18">
        <v>65.0</v>
      </c>
      <c r="C210" s="18" t="s">
        <v>578</v>
      </c>
      <c r="D210" s="18" t="s">
        <v>513</v>
      </c>
    </row>
    <row r="211" ht="22.5" customHeight="1">
      <c r="A211" s="18">
        <v>210.0</v>
      </c>
      <c r="B211" s="18">
        <v>65.0</v>
      </c>
      <c r="C211" s="18" t="s">
        <v>676</v>
      </c>
      <c r="D211" s="18" t="s">
        <v>517</v>
      </c>
    </row>
    <row r="212" ht="22.5" customHeight="1">
      <c r="A212" s="18">
        <v>211.0</v>
      </c>
      <c r="B212" s="18">
        <v>66.0</v>
      </c>
      <c r="C212" s="18" t="s">
        <v>677</v>
      </c>
      <c r="D212" s="18" t="s">
        <v>513</v>
      </c>
    </row>
    <row r="213" ht="22.5" customHeight="1">
      <c r="A213" s="18">
        <v>212.0</v>
      </c>
      <c r="B213" s="18">
        <v>66.0</v>
      </c>
      <c r="C213" s="18" t="s">
        <v>678</v>
      </c>
      <c r="D213" s="18" t="s">
        <v>517</v>
      </c>
    </row>
    <row r="214" ht="22.5" customHeight="1">
      <c r="A214" s="18">
        <v>213.0</v>
      </c>
      <c r="B214" s="18">
        <v>66.0</v>
      </c>
      <c r="C214" s="18" t="s">
        <v>679</v>
      </c>
      <c r="D214" s="18" t="s">
        <v>519</v>
      </c>
    </row>
    <row r="215" ht="22.5" customHeight="1">
      <c r="A215" s="18">
        <v>214.0</v>
      </c>
      <c r="B215" s="18">
        <v>67.0</v>
      </c>
      <c r="C215" s="18" t="s">
        <v>680</v>
      </c>
      <c r="D215" s="18" t="s">
        <v>513</v>
      </c>
    </row>
    <row r="216" ht="22.5" customHeight="1">
      <c r="A216" s="18">
        <v>215.0</v>
      </c>
      <c r="B216" s="18">
        <v>67.0</v>
      </c>
      <c r="C216" s="18" t="s">
        <v>681</v>
      </c>
      <c r="D216" s="18" t="s">
        <v>517</v>
      </c>
    </row>
    <row r="217" ht="22.5" customHeight="1">
      <c r="A217" s="18">
        <v>216.0</v>
      </c>
      <c r="B217" s="18">
        <v>67.0</v>
      </c>
      <c r="C217" s="18" t="s">
        <v>682</v>
      </c>
      <c r="D217" s="18" t="s">
        <v>683</v>
      </c>
    </row>
    <row r="218" ht="22.5" customHeight="1">
      <c r="A218" s="18">
        <v>217.0</v>
      </c>
      <c r="B218" s="18">
        <v>68.0</v>
      </c>
      <c r="C218" s="18" t="s">
        <v>186</v>
      </c>
      <c r="D218" s="18" t="s">
        <v>519</v>
      </c>
    </row>
    <row r="219" ht="22.5" customHeight="1">
      <c r="A219" s="18">
        <v>218.0</v>
      </c>
      <c r="B219" s="18">
        <v>68.0</v>
      </c>
      <c r="C219" s="18" t="s">
        <v>527</v>
      </c>
      <c r="D219" s="18" t="s">
        <v>513</v>
      </c>
    </row>
    <row r="220" ht="22.5" customHeight="1">
      <c r="A220" s="18">
        <v>219.0</v>
      </c>
      <c r="B220" s="18">
        <v>68.0</v>
      </c>
      <c r="C220" s="18" t="s">
        <v>684</v>
      </c>
      <c r="D220" s="18" t="s">
        <v>517</v>
      </c>
    </row>
    <row r="221" ht="22.5" customHeight="1">
      <c r="A221" s="18">
        <v>220.0</v>
      </c>
      <c r="B221" s="18">
        <v>69.0</v>
      </c>
      <c r="C221" s="18" t="s">
        <v>685</v>
      </c>
      <c r="D221" s="18" t="s">
        <v>513</v>
      </c>
    </row>
    <row r="222" ht="22.5" customHeight="1">
      <c r="A222" s="18">
        <v>221.0</v>
      </c>
      <c r="B222" s="18">
        <v>69.0</v>
      </c>
      <c r="C222" s="18" t="s">
        <v>188</v>
      </c>
      <c r="D222" s="18" t="s">
        <v>520</v>
      </c>
    </row>
    <row r="223" ht="22.5" customHeight="1">
      <c r="A223" s="18">
        <v>222.0</v>
      </c>
      <c r="B223" s="18">
        <v>69.0</v>
      </c>
      <c r="C223" s="18" t="s">
        <v>686</v>
      </c>
      <c r="D223" s="18" t="s">
        <v>519</v>
      </c>
    </row>
    <row r="224" ht="22.5" customHeight="1">
      <c r="A224" s="18">
        <v>223.0</v>
      </c>
      <c r="B224" s="18">
        <v>70.0</v>
      </c>
      <c r="C224" s="18" t="s">
        <v>190</v>
      </c>
      <c r="D224" s="18" t="s">
        <v>519</v>
      </c>
    </row>
    <row r="225" ht="22.5" customHeight="1">
      <c r="A225" s="18">
        <v>224.0</v>
      </c>
      <c r="B225" s="18">
        <v>70.0</v>
      </c>
      <c r="C225" s="18" t="s">
        <v>687</v>
      </c>
      <c r="D225" s="18" t="s">
        <v>517</v>
      </c>
    </row>
    <row r="226" ht="22.5" customHeight="1">
      <c r="A226" s="18">
        <v>225.0</v>
      </c>
      <c r="B226" s="18">
        <v>70.0</v>
      </c>
      <c r="C226" s="18" t="s">
        <v>688</v>
      </c>
      <c r="D226" s="18" t="s">
        <v>513</v>
      </c>
    </row>
    <row r="227" ht="22.5" customHeight="1">
      <c r="A227" s="18">
        <v>226.0</v>
      </c>
      <c r="B227" s="18">
        <v>71.0</v>
      </c>
      <c r="C227" s="18" t="s">
        <v>689</v>
      </c>
      <c r="D227" s="18" t="s">
        <v>513</v>
      </c>
    </row>
    <row r="228" ht="22.5" customHeight="1">
      <c r="A228" s="18">
        <v>227.0</v>
      </c>
      <c r="B228" s="18">
        <v>71.0</v>
      </c>
      <c r="C228" s="18" t="s">
        <v>690</v>
      </c>
      <c r="D228" s="18" t="s">
        <v>517</v>
      </c>
    </row>
    <row r="229" ht="22.5" customHeight="1">
      <c r="A229" s="18">
        <v>228.0</v>
      </c>
      <c r="B229" s="18">
        <v>71.0</v>
      </c>
      <c r="C229" s="18" t="s">
        <v>192</v>
      </c>
      <c r="D229" s="18" t="s">
        <v>519</v>
      </c>
    </row>
    <row r="230" ht="22.5" customHeight="1">
      <c r="A230" s="18">
        <v>229.0</v>
      </c>
      <c r="B230" s="18">
        <v>72.0</v>
      </c>
      <c r="C230" s="18" t="s">
        <v>691</v>
      </c>
      <c r="D230" s="18" t="s">
        <v>515</v>
      </c>
    </row>
    <row r="231" ht="22.5" customHeight="1">
      <c r="A231" s="18">
        <v>230.0</v>
      </c>
      <c r="B231" s="18">
        <v>72.0</v>
      </c>
      <c r="C231" s="18" t="s">
        <v>194</v>
      </c>
      <c r="D231" s="18" t="s">
        <v>519</v>
      </c>
    </row>
    <row r="232" ht="22.5" customHeight="1">
      <c r="A232" s="18">
        <v>231.0</v>
      </c>
      <c r="B232" s="18">
        <v>72.0</v>
      </c>
      <c r="C232" s="18" t="s">
        <v>692</v>
      </c>
      <c r="D232" s="18" t="s">
        <v>517</v>
      </c>
    </row>
    <row r="233" ht="22.5" customHeight="1">
      <c r="A233" s="18">
        <v>232.0</v>
      </c>
      <c r="B233" s="18">
        <v>73.0</v>
      </c>
      <c r="C233" s="18" t="s">
        <v>693</v>
      </c>
      <c r="D233" s="18" t="s">
        <v>515</v>
      </c>
    </row>
    <row r="234" ht="22.5" customHeight="1">
      <c r="A234" s="18">
        <v>233.0</v>
      </c>
      <c r="B234" s="18">
        <v>73.0</v>
      </c>
      <c r="C234" s="18" t="s">
        <v>694</v>
      </c>
      <c r="D234" s="18" t="s">
        <v>513</v>
      </c>
    </row>
    <row r="235" ht="22.5" customHeight="1">
      <c r="A235" s="18">
        <v>234.0</v>
      </c>
      <c r="B235" s="18">
        <v>73.0</v>
      </c>
      <c r="C235" s="18" t="s">
        <v>197</v>
      </c>
      <c r="D235" s="18" t="s">
        <v>519</v>
      </c>
    </row>
    <row r="236" ht="22.5" customHeight="1">
      <c r="A236" s="18">
        <v>235.0</v>
      </c>
      <c r="B236" s="18">
        <v>74.0</v>
      </c>
      <c r="C236" s="18" t="s">
        <v>199</v>
      </c>
      <c r="D236" s="18" t="s">
        <v>519</v>
      </c>
    </row>
    <row r="237" ht="22.5" customHeight="1">
      <c r="A237" s="18">
        <v>236.0</v>
      </c>
      <c r="B237" s="18">
        <v>74.0</v>
      </c>
      <c r="C237" s="18" t="s">
        <v>695</v>
      </c>
      <c r="D237" s="18" t="s">
        <v>513</v>
      </c>
    </row>
    <row r="238" ht="22.5" customHeight="1">
      <c r="A238" s="18">
        <v>237.0</v>
      </c>
      <c r="B238" s="18">
        <v>74.0</v>
      </c>
      <c r="C238" s="18" t="s">
        <v>696</v>
      </c>
      <c r="D238" s="18" t="s">
        <v>515</v>
      </c>
    </row>
    <row r="239" ht="22.5" customHeight="1">
      <c r="A239" s="18">
        <v>238.0</v>
      </c>
      <c r="B239" s="18">
        <v>75.0</v>
      </c>
      <c r="C239" s="18" t="s">
        <v>697</v>
      </c>
      <c r="D239" s="18" t="s">
        <v>519</v>
      </c>
    </row>
    <row r="240" ht="22.5" customHeight="1">
      <c r="A240" s="18">
        <v>239.0</v>
      </c>
      <c r="B240" s="18">
        <v>75.0</v>
      </c>
      <c r="C240" s="18" t="s">
        <v>698</v>
      </c>
      <c r="D240" s="18" t="s">
        <v>513</v>
      </c>
    </row>
    <row r="241" ht="22.5" customHeight="1">
      <c r="A241" s="18">
        <v>240.0</v>
      </c>
      <c r="B241" s="18">
        <v>75.0</v>
      </c>
      <c r="C241" s="18" t="s">
        <v>699</v>
      </c>
      <c r="D241" s="18" t="s">
        <v>517</v>
      </c>
    </row>
    <row r="242" ht="22.5" customHeight="1">
      <c r="A242" s="18">
        <v>241.0</v>
      </c>
      <c r="B242" s="18">
        <v>76.0</v>
      </c>
      <c r="C242" s="18" t="s">
        <v>700</v>
      </c>
      <c r="D242" s="18" t="s">
        <v>513</v>
      </c>
    </row>
    <row r="243" ht="22.5" customHeight="1">
      <c r="A243" s="18">
        <v>242.0</v>
      </c>
      <c r="B243" s="18">
        <v>76.0</v>
      </c>
      <c r="C243" s="18" t="s">
        <v>204</v>
      </c>
      <c r="D243" s="18" t="s">
        <v>519</v>
      </c>
    </row>
    <row r="244" ht="22.5" customHeight="1">
      <c r="A244" s="18">
        <v>243.0</v>
      </c>
      <c r="B244" s="18">
        <v>76.0</v>
      </c>
      <c r="C244" s="18" t="s">
        <v>701</v>
      </c>
      <c r="D244" s="18" t="s">
        <v>517</v>
      </c>
    </row>
    <row r="245" ht="22.5" customHeight="1">
      <c r="A245" s="18">
        <v>244.0</v>
      </c>
      <c r="B245" s="18">
        <v>77.0</v>
      </c>
      <c r="C245" s="18" t="s">
        <v>206</v>
      </c>
      <c r="D245" s="18" t="s">
        <v>519</v>
      </c>
    </row>
    <row r="246" ht="22.5" customHeight="1">
      <c r="A246" s="18">
        <v>245.0</v>
      </c>
      <c r="B246" s="18">
        <v>77.0</v>
      </c>
      <c r="C246" s="18" t="s">
        <v>702</v>
      </c>
      <c r="D246" s="18" t="s">
        <v>513</v>
      </c>
    </row>
    <row r="247" ht="22.5" customHeight="1">
      <c r="A247" s="18">
        <v>246.0</v>
      </c>
      <c r="B247" s="18">
        <v>77.0</v>
      </c>
      <c r="C247" s="18" t="s">
        <v>703</v>
      </c>
      <c r="D247" s="18" t="s">
        <v>517</v>
      </c>
    </row>
    <row r="248" ht="22.5" customHeight="1">
      <c r="A248" s="18">
        <v>247.0</v>
      </c>
      <c r="B248" s="18">
        <v>78.0</v>
      </c>
      <c r="C248" s="18" t="s">
        <v>704</v>
      </c>
      <c r="D248" s="18" t="s">
        <v>513</v>
      </c>
    </row>
    <row r="249" ht="22.5" customHeight="1">
      <c r="A249" s="18">
        <v>248.0</v>
      </c>
      <c r="B249" s="18">
        <v>78.0</v>
      </c>
      <c r="C249" s="18" t="s">
        <v>208</v>
      </c>
      <c r="D249" s="18" t="s">
        <v>519</v>
      </c>
    </row>
    <row r="250" ht="22.5" customHeight="1">
      <c r="A250" s="18">
        <v>249.0</v>
      </c>
      <c r="B250" s="18">
        <v>78.0</v>
      </c>
      <c r="C250" s="18" t="s">
        <v>705</v>
      </c>
      <c r="D250" s="18" t="s">
        <v>517</v>
      </c>
    </row>
    <row r="251" ht="22.5" customHeight="1">
      <c r="A251" s="18">
        <v>250.0</v>
      </c>
      <c r="B251" s="18">
        <v>79.0</v>
      </c>
      <c r="C251" s="18" t="s">
        <v>210</v>
      </c>
      <c r="D251" s="18" t="s">
        <v>519</v>
      </c>
    </row>
    <row r="252" ht="22.5" customHeight="1">
      <c r="A252" s="18">
        <v>251.0</v>
      </c>
      <c r="B252" s="18">
        <v>79.0</v>
      </c>
      <c r="C252" s="18" t="s">
        <v>684</v>
      </c>
      <c r="D252" s="18" t="s">
        <v>513</v>
      </c>
    </row>
    <row r="253" ht="22.5" customHeight="1">
      <c r="A253" s="18">
        <v>252.0</v>
      </c>
      <c r="B253" s="18">
        <v>79.0</v>
      </c>
      <c r="C253" s="18" t="s">
        <v>575</v>
      </c>
      <c r="D253" s="18" t="s">
        <v>517</v>
      </c>
    </row>
    <row r="254" ht="22.5" customHeight="1">
      <c r="A254" s="18">
        <v>253.0</v>
      </c>
      <c r="B254" s="18">
        <v>80.0</v>
      </c>
      <c r="C254" s="18" t="s">
        <v>212</v>
      </c>
      <c r="D254" s="18" t="s">
        <v>519</v>
      </c>
    </row>
    <row r="255" ht="22.5" customHeight="1">
      <c r="A255" s="18">
        <v>254.0</v>
      </c>
      <c r="B255" s="18">
        <v>80.0</v>
      </c>
      <c r="C255" s="18" t="s">
        <v>706</v>
      </c>
      <c r="D255" s="18" t="s">
        <v>588</v>
      </c>
    </row>
    <row r="256" ht="22.5" customHeight="1">
      <c r="A256" s="18">
        <v>255.0</v>
      </c>
      <c r="B256" s="18">
        <v>80.0</v>
      </c>
      <c r="C256" s="18" t="s">
        <v>707</v>
      </c>
      <c r="D256" s="18" t="s">
        <v>517</v>
      </c>
    </row>
    <row r="257" ht="22.5" customHeight="1">
      <c r="A257" s="18">
        <v>256.0</v>
      </c>
      <c r="B257" s="18">
        <v>81.0</v>
      </c>
      <c r="C257" s="18" t="s">
        <v>708</v>
      </c>
      <c r="D257" s="18" t="s">
        <v>515</v>
      </c>
    </row>
    <row r="258" ht="22.5" customHeight="1">
      <c r="A258" s="18">
        <v>257.0</v>
      </c>
      <c r="B258" s="18">
        <v>81.0</v>
      </c>
      <c r="C258" s="18" t="s">
        <v>214</v>
      </c>
      <c r="D258" s="18" t="s">
        <v>519</v>
      </c>
    </row>
    <row r="259" ht="22.5" customHeight="1">
      <c r="A259" s="18">
        <v>258.0</v>
      </c>
      <c r="B259" s="18">
        <v>81.0</v>
      </c>
      <c r="C259" s="18" t="s">
        <v>709</v>
      </c>
      <c r="D259" s="18" t="s">
        <v>513</v>
      </c>
    </row>
    <row r="260" ht="22.5" customHeight="1">
      <c r="A260" s="18">
        <v>259.0</v>
      </c>
      <c r="B260" s="18">
        <v>82.0</v>
      </c>
      <c r="C260" s="18" t="s">
        <v>216</v>
      </c>
      <c r="D260" s="18" t="s">
        <v>519</v>
      </c>
    </row>
    <row r="261" ht="22.5" customHeight="1">
      <c r="A261" s="18">
        <v>260.0</v>
      </c>
      <c r="B261" s="18">
        <v>82.0</v>
      </c>
      <c r="C261" s="18" t="s">
        <v>710</v>
      </c>
      <c r="D261" s="18" t="s">
        <v>513</v>
      </c>
    </row>
    <row r="262" ht="22.5" customHeight="1">
      <c r="A262" s="18">
        <v>261.0</v>
      </c>
      <c r="B262" s="18">
        <v>82.0</v>
      </c>
      <c r="C262" s="18" t="s">
        <v>711</v>
      </c>
      <c r="D262" s="18" t="s">
        <v>517</v>
      </c>
    </row>
    <row r="263" ht="22.5" customHeight="1">
      <c r="A263" s="18">
        <v>262.0</v>
      </c>
      <c r="B263" s="18">
        <v>83.0</v>
      </c>
      <c r="C263" s="18" t="s">
        <v>219</v>
      </c>
      <c r="D263" s="18" t="s">
        <v>519</v>
      </c>
    </row>
    <row r="264" ht="22.5" customHeight="1">
      <c r="A264" s="18">
        <v>263.0</v>
      </c>
      <c r="B264" s="18">
        <v>83.0</v>
      </c>
      <c r="C264" s="18" t="s">
        <v>712</v>
      </c>
      <c r="D264" s="18" t="s">
        <v>513</v>
      </c>
    </row>
    <row r="265" ht="22.5" customHeight="1">
      <c r="A265" s="18">
        <v>264.0</v>
      </c>
      <c r="B265" s="18">
        <v>83.0</v>
      </c>
      <c r="C265" s="18" t="s">
        <v>713</v>
      </c>
      <c r="D265" s="18" t="s">
        <v>517</v>
      </c>
    </row>
    <row r="266" ht="22.5" customHeight="1">
      <c r="A266" s="18">
        <v>265.0</v>
      </c>
      <c r="B266" s="18">
        <v>84.0</v>
      </c>
      <c r="C266" s="18" t="s">
        <v>714</v>
      </c>
      <c r="D266" s="18" t="s">
        <v>515</v>
      </c>
    </row>
    <row r="267" ht="22.5" customHeight="1">
      <c r="A267" s="18">
        <v>266.0</v>
      </c>
      <c r="B267" s="18">
        <v>84.0</v>
      </c>
      <c r="C267" s="18" t="s">
        <v>221</v>
      </c>
      <c r="D267" s="18" t="s">
        <v>519</v>
      </c>
    </row>
    <row r="268" ht="22.5" customHeight="1">
      <c r="A268" s="18">
        <v>267.0</v>
      </c>
      <c r="B268" s="18">
        <v>84.0</v>
      </c>
      <c r="C268" s="18" t="s">
        <v>715</v>
      </c>
      <c r="D268" s="18" t="s">
        <v>513</v>
      </c>
    </row>
    <row r="269" ht="22.5" customHeight="1">
      <c r="A269" s="18">
        <v>268.0</v>
      </c>
      <c r="B269" s="18">
        <v>85.0</v>
      </c>
      <c r="C269" s="18" t="s">
        <v>223</v>
      </c>
      <c r="D269" s="18" t="s">
        <v>519</v>
      </c>
    </row>
    <row r="270" ht="22.5" customHeight="1">
      <c r="A270" s="18">
        <v>269.0</v>
      </c>
      <c r="B270" s="18">
        <v>85.0</v>
      </c>
      <c r="C270" s="18" t="s">
        <v>716</v>
      </c>
      <c r="D270" s="18" t="s">
        <v>513</v>
      </c>
    </row>
    <row r="271" ht="22.5" customHeight="1">
      <c r="A271" s="18">
        <v>270.0</v>
      </c>
      <c r="B271" s="18">
        <v>85.0</v>
      </c>
      <c r="C271" s="18" t="s">
        <v>717</v>
      </c>
      <c r="D271" s="18" t="s">
        <v>517</v>
      </c>
    </row>
    <row r="272" ht="22.5" customHeight="1">
      <c r="A272" s="18">
        <v>271.0</v>
      </c>
      <c r="B272" s="18">
        <v>86.0</v>
      </c>
      <c r="C272" s="18" t="s">
        <v>226</v>
      </c>
      <c r="D272" s="18" t="s">
        <v>519</v>
      </c>
    </row>
    <row r="273" ht="22.5" customHeight="1">
      <c r="A273" s="18">
        <v>272.0</v>
      </c>
      <c r="B273" s="18">
        <v>86.0</v>
      </c>
      <c r="C273" s="18" t="s">
        <v>718</v>
      </c>
      <c r="D273" s="18" t="s">
        <v>513</v>
      </c>
    </row>
    <row r="274" ht="22.5" customHeight="1">
      <c r="A274" s="18">
        <v>273.0</v>
      </c>
      <c r="B274" s="18">
        <v>86.0</v>
      </c>
      <c r="C274" s="18" t="s">
        <v>719</v>
      </c>
      <c r="D274" s="18" t="s">
        <v>517</v>
      </c>
    </row>
    <row r="275" ht="22.5" customHeight="1">
      <c r="A275" s="18">
        <v>274.0</v>
      </c>
      <c r="B275" s="18">
        <v>87.0</v>
      </c>
      <c r="C275" s="18" t="s">
        <v>720</v>
      </c>
      <c r="D275" s="18" t="s">
        <v>520</v>
      </c>
    </row>
    <row r="276" ht="22.5" customHeight="1">
      <c r="A276" s="18">
        <v>275.0</v>
      </c>
      <c r="B276" s="18">
        <v>87.0</v>
      </c>
      <c r="C276" s="18" t="s">
        <v>228</v>
      </c>
      <c r="D276" s="18" t="s">
        <v>519</v>
      </c>
    </row>
    <row r="277" ht="22.5" customHeight="1">
      <c r="A277" s="18">
        <v>276.0</v>
      </c>
      <c r="B277" s="18">
        <v>87.0</v>
      </c>
      <c r="C277" s="18" t="s">
        <v>721</v>
      </c>
      <c r="D277" s="18" t="s">
        <v>517</v>
      </c>
    </row>
    <row r="278" ht="22.5" customHeight="1">
      <c r="A278" s="18">
        <v>277.0</v>
      </c>
      <c r="B278" s="18">
        <v>88.0</v>
      </c>
      <c r="C278" s="18" t="s">
        <v>722</v>
      </c>
      <c r="D278" s="18" t="s">
        <v>515</v>
      </c>
    </row>
    <row r="279" ht="22.5" customHeight="1">
      <c r="A279" s="18">
        <v>278.0</v>
      </c>
      <c r="B279" s="18">
        <v>88.0</v>
      </c>
      <c r="C279" s="18" t="s">
        <v>723</v>
      </c>
      <c r="D279" s="18" t="s">
        <v>513</v>
      </c>
    </row>
    <row r="280" ht="22.5" customHeight="1">
      <c r="A280" s="18">
        <v>279.0</v>
      </c>
      <c r="B280" s="18">
        <v>88.0</v>
      </c>
      <c r="C280" s="18" t="s">
        <v>230</v>
      </c>
      <c r="D280" s="18" t="s">
        <v>519</v>
      </c>
    </row>
    <row r="281" ht="22.5" customHeight="1">
      <c r="A281" s="18">
        <v>280.0</v>
      </c>
      <c r="B281" s="18">
        <v>89.0</v>
      </c>
      <c r="C281" s="18" t="s">
        <v>724</v>
      </c>
      <c r="D281" s="18" t="s">
        <v>515</v>
      </c>
    </row>
    <row r="282" ht="22.5" customHeight="1">
      <c r="A282" s="18">
        <v>281.0</v>
      </c>
      <c r="B282" s="18">
        <v>89.0</v>
      </c>
      <c r="C282" s="18" t="s">
        <v>232</v>
      </c>
      <c r="D282" s="18" t="s">
        <v>519</v>
      </c>
    </row>
    <row r="283" ht="22.5" customHeight="1">
      <c r="A283" s="18">
        <v>282.0</v>
      </c>
      <c r="B283" s="18">
        <v>89.0</v>
      </c>
      <c r="C283" s="18" t="s">
        <v>725</v>
      </c>
      <c r="D283" s="18" t="s">
        <v>513</v>
      </c>
    </row>
    <row r="284" ht="22.5" customHeight="1">
      <c r="A284" s="18">
        <v>283.0</v>
      </c>
      <c r="B284" s="18">
        <v>90.0</v>
      </c>
      <c r="C284" s="18" t="s">
        <v>726</v>
      </c>
      <c r="D284" s="18" t="s">
        <v>513</v>
      </c>
    </row>
    <row r="285" ht="22.5" customHeight="1">
      <c r="A285" s="18">
        <v>284.0</v>
      </c>
      <c r="B285" s="18">
        <v>90.0</v>
      </c>
      <c r="C285" s="18" t="s">
        <v>727</v>
      </c>
      <c r="D285" s="18" t="s">
        <v>517</v>
      </c>
    </row>
    <row r="286" ht="22.5" customHeight="1">
      <c r="A286" s="18">
        <v>285.0</v>
      </c>
      <c r="B286" s="18">
        <v>90.0</v>
      </c>
      <c r="C286" s="18" t="s">
        <v>233</v>
      </c>
      <c r="D286" s="18" t="s">
        <v>519</v>
      </c>
    </row>
    <row r="287" ht="22.5" customHeight="1">
      <c r="A287" s="18">
        <v>286.0</v>
      </c>
      <c r="B287" s="18">
        <v>91.0</v>
      </c>
      <c r="C287" s="18" t="s">
        <v>234</v>
      </c>
      <c r="D287" s="18" t="s">
        <v>515</v>
      </c>
    </row>
    <row r="288" ht="22.5" customHeight="1">
      <c r="A288" s="18">
        <v>287.0</v>
      </c>
      <c r="B288" s="18">
        <v>91.0</v>
      </c>
      <c r="C288" s="18" t="s">
        <v>235</v>
      </c>
      <c r="D288" s="18" t="s">
        <v>519</v>
      </c>
    </row>
    <row r="289" ht="22.5" customHeight="1">
      <c r="A289" s="18">
        <v>288.0</v>
      </c>
      <c r="B289" s="18">
        <v>91.0</v>
      </c>
      <c r="C289" s="18" t="s">
        <v>728</v>
      </c>
      <c r="D289" s="18" t="s">
        <v>517</v>
      </c>
    </row>
    <row r="290" ht="22.5" customHeight="1">
      <c r="A290" s="18">
        <v>289.0</v>
      </c>
      <c r="B290" s="18">
        <v>92.0</v>
      </c>
      <c r="C290" s="18" t="s">
        <v>236</v>
      </c>
      <c r="D290" s="18" t="s">
        <v>515</v>
      </c>
    </row>
    <row r="291" ht="22.5" customHeight="1">
      <c r="A291" s="18">
        <v>290.0</v>
      </c>
      <c r="B291" s="18">
        <v>92.0</v>
      </c>
      <c r="C291" s="18" t="s">
        <v>237</v>
      </c>
      <c r="D291" s="18" t="s">
        <v>519</v>
      </c>
    </row>
    <row r="292" ht="22.5" customHeight="1">
      <c r="A292" s="18">
        <v>291.0</v>
      </c>
      <c r="B292" s="18">
        <v>92.0</v>
      </c>
      <c r="C292" s="18" t="s">
        <v>729</v>
      </c>
      <c r="D292" s="18" t="s">
        <v>517</v>
      </c>
    </row>
    <row r="293" ht="22.5" customHeight="1">
      <c r="A293" s="18">
        <v>292.0</v>
      </c>
      <c r="B293" s="18">
        <v>93.0</v>
      </c>
      <c r="C293" s="18" t="s">
        <v>730</v>
      </c>
      <c r="D293" s="18" t="s">
        <v>513</v>
      </c>
    </row>
    <row r="294" ht="22.5" customHeight="1">
      <c r="A294" s="18">
        <v>293.0</v>
      </c>
      <c r="B294" s="18">
        <v>93.0</v>
      </c>
      <c r="C294" s="18" t="s">
        <v>239</v>
      </c>
      <c r="D294" s="18" t="s">
        <v>519</v>
      </c>
    </row>
    <row r="295" ht="22.5" customHeight="1">
      <c r="A295" s="18">
        <v>294.0</v>
      </c>
      <c r="B295" s="18">
        <v>93.0</v>
      </c>
      <c r="C295" s="18" t="s">
        <v>731</v>
      </c>
      <c r="D295" s="18" t="s">
        <v>554</v>
      </c>
    </row>
    <row r="296" ht="22.5" customHeight="1">
      <c r="A296" s="18">
        <v>295.0</v>
      </c>
      <c r="B296" s="18">
        <v>94.0</v>
      </c>
      <c r="C296" s="18" t="s">
        <v>242</v>
      </c>
      <c r="D296" s="18" t="s">
        <v>515</v>
      </c>
    </row>
    <row r="297" ht="22.5" customHeight="1">
      <c r="A297" s="18">
        <v>296.0</v>
      </c>
      <c r="B297" s="18">
        <v>94.0</v>
      </c>
      <c r="C297" s="18" t="s">
        <v>243</v>
      </c>
      <c r="D297" s="18" t="s">
        <v>519</v>
      </c>
    </row>
    <row r="298" ht="22.5" customHeight="1">
      <c r="A298" s="18">
        <v>297.0</v>
      </c>
      <c r="B298" s="18">
        <v>94.0</v>
      </c>
      <c r="C298" s="18" t="s">
        <v>732</v>
      </c>
      <c r="D298" s="18" t="s">
        <v>513</v>
      </c>
    </row>
    <row r="299" ht="22.5" customHeight="1">
      <c r="A299" s="18">
        <v>298.0</v>
      </c>
      <c r="B299" s="18">
        <v>95.0</v>
      </c>
      <c r="C299" s="18" t="s">
        <v>244</v>
      </c>
      <c r="D299" s="18" t="s">
        <v>515</v>
      </c>
    </row>
    <row r="300" ht="22.5" customHeight="1">
      <c r="A300" s="18">
        <v>299.0</v>
      </c>
      <c r="B300" s="18">
        <v>95.0</v>
      </c>
      <c r="C300" s="18" t="s">
        <v>733</v>
      </c>
      <c r="D300" s="18" t="s">
        <v>513</v>
      </c>
    </row>
    <row r="301" ht="22.5" customHeight="1">
      <c r="A301" s="18">
        <v>300.0</v>
      </c>
      <c r="B301" s="18">
        <v>95.0</v>
      </c>
      <c r="C301" s="18" t="s">
        <v>734</v>
      </c>
      <c r="D301" s="18" t="s">
        <v>519</v>
      </c>
    </row>
    <row r="302" ht="22.5" customHeight="1">
      <c r="A302" s="18">
        <v>301.0</v>
      </c>
      <c r="B302" s="18">
        <v>96.0</v>
      </c>
      <c r="C302" s="18" t="s">
        <v>246</v>
      </c>
      <c r="D302" s="18" t="s">
        <v>515</v>
      </c>
    </row>
    <row r="303" ht="22.5" customHeight="1">
      <c r="A303" s="18">
        <v>302.0</v>
      </c>
      <c r="B303" s="18">
        <v>96.0</v>
      </c>
      <c r="C303" s="18" t="s">
        <v>735</v>
      </c>
      <c r="D303" s="18" t="s">
        <v>736</v>
      </c>
    </row>
    <row r="304" ht="22.5" customHeight="1">
      <c r="A304" s="18">
        <v>303.0</v>
      </c>
      <c r="B304" s="18">
        <v>96.0</v>
      </c>
      <c r="C304" s="18" t="s">
        <v>737</v>
      </c>
      <c r="D304" s="18" t="s">
        <v>517</v>
      </c>
    </row>
    <row r="305" ht="22.5" customHeight="1">
      <c r="A305" s="18">
        <v>304.0</v>
      </c>
      <c r="B305" s="18">
        <v>97.0</v>
      </c>
      <c r="C305" s="18" t="s">
        <v>249</v>
      </c>
      <c r="D305" s="18" t="s">
        <v>515</v>
      </c>
    </row>
    <row r="306" ht="22.5" customHeight="1">
      <c r="A306" s="18">
        <v>305.0</v>
      </c>
      <c r="B306" s="18">
        <v>97.0</v>
      </c>
      <c r="C306" s="18" t="s">
        <v>250</v>
      </c>
      <c r="D306" s="18" t="s">
        <v>519</v>
      </c>
    </row>
    <row r="307" ht="22.5" customHeight="1">
      <c r="A307" s="18">
        <v>306.0</v>
      </c>
      <c r="B307" s="18">
        <v>97.0</v>
      </c>
      <c r="C307" s="18" t="s">
        <v>738</v>
      </c>
      <c r="D307" s="18" t="s">
        <v>513</v>
      </c>
    </row>
    <row r="308" ht="22.5" customHeight="1">
      <c r="A308" s="18">
        <v>307.0</v>
      </c>
      <c r="B308" s="18">
        <v>98.0</v>
      </c>
      <c r="C308" s="18" t="s">
        <v>251</v>
      </c>
      <c r="D308" s="18" t="s">
        <v>515</v>
      </c>
    </row>
    <row r="309" ht="22.5" customHeight="1">
      <c r="A309" s="18">
        <v>308.0</v>
      </c>
      <c r="B309" s="18">
        <v>98.0</v>
      </c>
      <c r="C309" s="18" t="s">
        <v>252</v>
      </c>
      <c r="D309" s="18" t="s">
        <v>519</v>
      </c>
    </row>
    <row r="310" ht="22.5" customHeight="1">
      <c r="A310" s="18">
        <v>309.0</v>
      </c>
      <c r="B310" s="18">
        <v>98.0</v>
      </c>
      <c r="C310" s="18" t="s">
        <v>739</v>
      </c>
      <c r="D310" s="18" t="s">
        <v>513</v>
      </c>
    </row>
    <row r="311" ht="22.5" customHeight="1">
      <c r="A311" s="18">
        <v>310.0</v>
      </c>
      <c r="B311" s="18">
        <v>99.0</v>
      </c>
      <c r="C311" s="18" t="s">
        <v>253</v>
      </c>
      <c r="D311" s="18" t="s">
        <v>515</v>
      </c>
    </row>
    <row r="312" ht="22.5" customHeight="1">
      <c r="A312" s="18">
        <v>311.0</v>
      </c>
      <c r="B312" s="18">
        <v>99.0</v>
      </c>
      <c r="C312" s="18" t="s">
        <v>254</v>
      </c>
      <c r="D312" s="18" t="s">
        <v>519</v>
      </c>
    </row>
    <row r="313" ht="22.5" customHeight="1">
      <c r="A313" s="18">
        <v>312.0</v>
      </c>
      <c r="B313" s="18">
        <v>99.0</v>
      </c>
      <c r="C313" s="18" t="s">
        <v>740</v>
      </c>
      <c r="D313" s="18" t="s">
        <v>513</v>
      </c>
    </row>
    <row r="314" ht="22.5" customHeight="1">
      <c r="A314" s="18">
        <v>313.0</v>
      </c>
      <c r="B314" s="18">
        <v>100.0</v>
      </c>
      <c r="C314" s="18" t="s">
        <v>256</v>
      </c>
      <c r="D314" s="18" t="s">
        <v>515</v>
      </c>
    </row>
    <row r="315" ht="22.5" customHeight="1">
      <c r="A315" s="18">
        <v>314.0</v>
      </c>
      <c r="B315" s="18">
        <v>100.0</v>
      </c>
      <c r="C315" s="18" t="s">
        <v>257</v>
      </c>
      <c r="D315" s="18" t="s">
        <v>519</v>
      </c>
    </row>
    <row r="316" ht="22.5" customHeight="1">
      <c r="A316" s="18">
        <v>315.0</v>
      </c>
      <c r="B316" s="18">
        <v>100.0</v>
      </c>
      <c r="C316" s="18" t="s">
        <v>741</v>
      </c>
      <c r="D316" s="18" t="s">
        <v>513</v>
      </c>
    </row>
    <row r="317" ht="22.5" customHeight="1">
      <c r="A317" s="18">
        <v>316.0</v>
      </c>
      <c r="B317" s="18">
        <v>101.0</v>
      </c>
      <c r="C317" s="18" t="s">
        <v>259</v>
      </c>
      <c r="D317" s="18" t="s">
        <v>515</v>
      </c>
    </row>
    <row r="318" ht="22.5" customHeight="1">
      <c r="A318" s="18">
        <v>317.0</v>
      </c>
      <c r="B318" s="18">
        <v>101.0</v>
      </c>
      <c r="C318" s="18" t="s">
        <v>260</v>
      </c>
      <c r="D318" s="18" t="s">
        <v>519</v>
      </c>
    </row>
    <row r="319" ht="22.5" customHeight="1">
      <c r="A319" s="18">
        <v>318.0</v>
      </c>
      <c r="B319" s="18">
        <v>101.0</v>
      </c>
      <c r="C319" s="18" t="s">
        <v>742</v>
      </c>
      <c r="D319" s="18" t="s">
        <v>517</v>
      </c>
    </row>
    <row r="320" ht="22.5" customHeight="1">
      <c r="A320" s="18">
        <v>319.0</v>
      </c>
      <c r="B320" s="18">
        <v>102.0</v>
      </c>
      <c r="C320" s="18" t="s">
        <v>262</v>
      </c>
      <c r="D320" s="18" t="s">
        <v>515</v>
      </c>
    </row>
    <row r="321" ht="22.5" customHeight="1">
      <c r="A321" s="18">
        <v>320.0</v>
      </c>
      <c r="B321" s="18">
        <v>102.0</v>
      </c>
      <c r="C321" s="18" t="s">
        <v>263</v>
      </c>
      <c r="D321" s="18" t="s">
        <v>519</v>
      </c>
    </row>
    <row r="322" ht="22.5" customHeight="1">
      <c r="A322" s="18">
        <v>321.0</v>
      </c>
      <c r="B322" s="18">
        <v>102.0</v>
      </c>
      <c r="C322" s="18" t="s">
        <v>743</v>
      </c>
      <c r="D322" s="18" t="s">
        <v>513</v>
      </c>
    </row>
    <row r="323" ht="22.5" customHeight="1">
      <c r="A323" s="18">
        <v>322.0</v>
      </c>
      <c r="B323" s="18">
        <v>103.0</v>
      </c>
      <c r="C323" s="18" t="s">
        <v>744</v>
      </c>
      <c r="D323" s="18" t="s">
        <v>519</v>
      </c>
    </row>
    <row r="324" ht="22.5" customHeight="1">
      <c r="A324" s="18">
        <v>323.0</v>
      </c>
      <c r="B324" s="18">
        <v>103.0</v>
      </c>
      <c r="C324" s="18" t="s">
        <v>745</v>
      </c>
      <c r="D324" s="18" t="s">
        <v>513</v>
      </c>
    </row>
    <row r="325" ht="22.5" customHeight="1">
      <c r="A325" s="18">
        <v>324.0</v>
      </c>
      <c r="B325" s="18">
        <v>103.0</v>
      </c>
      <c r="C325" s="18" t="s">
        <v>746</v>
      </c>
      <c r="D325" s="18" t="s">
        <v>515</v>
      </c>
    </row>
    <row r="326" ht="22.5" customHeight="1">
      <c r="A326" s="18">
        <v>325.0</v>
      </c>
      <c r="B326" s="18">
        <v>104.0</v>
      </c>
      <c r="C326" s="18" t="s">
        <v>747</v>
      </c>
      <c r="D326" s="18" t="s">
        <v>515</v>
      </c>
    </row>
    <row r="327" ht="22.5" customHeight="1">
      <c r="A327" s="18">
        <v>326.0</v>
      </c>
      <c r="B327" s="18">
        <v>104.0</v>
      </c>
      <c r="C327" s="18" t="s">
        <v>748</v>
      </c>
      <c r="D327" s="18" t="s">
        <v>515</v>
      </c>
    </row>
    <row r="328" ht="22.5" customHeight="1">
      <c r="A328" s="18">
        <v>327.0</v>
      </c>
      <c r="B328" s="18">
        <v>104.0</v>
      </c>
      <c r="C328" s="18" t="s">
        <v>749</v>
      </c>
      <c r="D328" s="18" t="s">
        <v>519</v>
      </c>
    </row>
    <row r="329" ht="22.5" customHeight="1">
      <c r="A329" s="18">
        <v>328.0</v>
      </c>
      <c r="B329" s="18">
        <v>105.0</v>
      </c>
      <c r="C329" s="18" t="s">
        <v>269</v>
      </c>
      <c r="D329" s="18" t="s">
        <v>515</v>
      </c>
    </row>
    <row r="330" ht="22.5" customHeight="1">
      <c r="A330" s="18">
        <v>329.0</v>
      </c>
      <c r="B330" s="18">
        <v>105.0</v>
      </c>
      <c r="C330" s="18" t="s">
        <v>270</v>
      </c>
      <c r="D330" s="18" t="s">
        <v>519</v>
      </c>
    </row>
    <row r="331" ht="22.5" customHeight="1">
      <c r="A331" s="18">
        <v>330.0</v>
      </c>
      <c r="B331" s="18">
        <v>105.0</v>
      </c>
      <c r="C331" s="18" t="s">
        <v>750</v>
      </c>
      <c r="D331" s="18" t="s">
        <v>513</v>
      </c>
    </row>
    <row r="332" ht="22.5" customHeight="1">
      <c r="A332" s="18">
        <v>331.0</v>
      </c>
      <c r="B332" s="18">
        <v>106.0</v>
      </c>
      <c r="C332" s="18" t="s">
        <v>271</v>
      </c>
      <c r="D332" s="18" t="s">
        <v>515</v>
      </c>
    </row>
    <row r="333" ht="22.5" customHeight="1">
      <c r="A333" s="18">
        <v>332.0</v>
      </c>
      <c r="B333" s="18">
        <v>106.0</v>
      </c>
      <c r="C333" s="18" t="s">
        <v>751</v>
      </c>
      <c r="D333" s="18" t="s">
        <v>517</v>
      </c>
    </row>
    <row r="334" ht="22.5" customHeight="1">
      <c r="A334" s="18">
        <v>333.0</v>
      </c>
      <c r="B334" s="18">
        <v>106.0</v>
      </c>
      <c r="C334" s="18" t="s">
        <v>272</v>
      </c>
      <c r="D334" s="18" t="s">
        <v>519</v>
      </c>
    </row>
    <row r="335" ht="22.5" customHeight="1">
      <c r="A335" s="18">
        <v>334.0</v>
      </c>
      <c r="B335" s="18">
        <v>107.0</v>
      </c>
      <c r="C335" s="18" t="s">
        <v>273</v>
      </c>
      <c r="D335" s="18" t="s">
        <v>515</v>
      </c>
    </row>
    <row r="336" ht="22.5" customHeight="1">
      <c r="A336" s="18">
        <v>335.0</v>
      </c>
      <c r="B336" s="18">
        <v>107.0</v>
      </c>
      <c r="C336" s="18" t="s">
        <v>752</v>
      </c>
      <c r="D336" s="18" t="s">
        <v>517</v>
      </c>
    </row>
    <row r="337" ht="22.5" customHeight="1">
      <c r="A337" s="18">
        <v>336.0</v>
      </c>
      <c r="B337" s="18">
        <v>107.0</v>
      </c>
      <c r="C337" s="18" t="s">
        <v>274</v>
      </c>
      <c r="D337" s="18" t="s">
        <v>519</v>
      </c>
    </row>
    <row r="338" ht="22.5" customHeight="1">
      <c r="A338" s="18">
        <v>337.0</v>
      </c>
      <c r="B338" s="18">
        <v>108.0</v>
      </c>
      <c r="C338" s="18" t="s">
        <v>275</v>
      </c>
      <c r="D338" s="18" t="s">
        <v>515</v>
      </c>
    </row>
    <row r="339" ht="22.5" customHeight="1">
      <c r="A339" s="18">
        <v>338.0</v>
      </c>
      <c r="B339" s="18">
        <v>108.0</v>
      </c>
      <c r="C339" s="18" t="s">
        <v>753</v>
      </c>
      <c r="D339" s="18" t="s">
        <v>513</v>
      </c>
    </row>
    <row r="340" ht="22.5" customHeight="1">
      <c r="A340" s="18">
        <v>339.0</v>
      </c>
      <c r="B340" s="18">
        <v>108.0</v>
      </c>
      <c r="C340" s="18" t="s">
        <v>276</v>
      </c>
      <c r="D340" s="18" t="s">
        <v>519</v>
      </c>
    </row>
    <row r="341" ht="22.5" customHeight="1">
      <c r="A341" s="18">
        <v>340.0</v>
      </c>
      <c r="B341" s="18">
        <v>109.0</v>
      </c>
      <c r="C341" s="18" t="s">
        <v>278</v>
      </c>
      <c r="D341" s="18" t="s">
        <v>519</v>
      </c>
    </row>
    <row r="342" ht="22.5" customHeight="1">
      <c r="A342" s="18">
        <v>341.0</v>
      </c>
      <c r="B342" s="18">
        <v>109.0</v>
      </c>
      <c r="C342" s="18" t="s">
        <v>754</v>
      </c>
      <c r="D342" s="18" t="s">
        <v>515</v>
      </c>
    </row>
    <row r="343" ht="22.5" customHeight="1">
      <c r="A343" s="18">
        <v>342.0</v>
      </c>
      <c r="B343" s="18">
        <v>109.0</v>
      </c>
      <c r="C343" s="18" t="s">
        <v>755</v>
      </c>
      <c r="D343" s="18" t="s">
        <v>554</v>
      </c>
    </row>
    <row r="344" ht="22.5" customHeight="1">
      <c r="A344" s="18">
        <v>343.0</v>
      </c>
      <c r="B344" s="18">
        <v>110.0</v>
      </c>
      <c r="C344" s="18" t="s">
        <v>282</v>
      </c>
      <c r="D344" s="18" t="s">
        <v>519</v>
      </c>
    </row>
    <row r="345" ht="22.5" customHeight="1">
      <c r="A345" s="18">
        <v>344.0</v>
      </c>
      <c r="B345" s="18">
        <v>110.0</v>
      </c>
      <c r="C345" s="18" t="s">
        <v>756</v>
      </c>
      <c r="D345" s="18" t="s">
        <v>515</v>
      </c>
    </row>
    <row r="346" ht="22.5" customHeight="1">
      <c r="A346" s="18">
        <v>345.0</v>
      </c>
      <c r="B346" s="18">
        <v>110.0</v>
      </c>
      <c r="C346" s="18" t="s">
        <v>757</v>
      </c>
      <c r="D346" s="18" t="s">
        <v>554</v>
      </c>
    </row>
    <row r="347" ht="22.5" customHeight="1">
      <c r="A347" s="18">
        <v>346.0</v>
      </c>
      <c r="B347" s="18">
        <v>111.0</v>
      </c>
      <c r="C347" s="18" t="s">
        <v>758</v>
      </c>
      <c r="D347" s="18" t="s">
        <v>519</v>
      </c>
    </row>
    <row r="348" ht="22.5" customHeight="1">
      <c r="A348" s="18">
        <v>347.0</v>
      </c>
      <c r="B348" s="18">
        <v>111.0</v>
      </c>
      <c r="C348" s="18" t="s">
        <v>759</v>
      </c>
      <c r="D348" s="18" t="s">
        <v>588</v>
      </c>
    </row>
    <row r="349" ht="22.5" customHeight="1">
      <c r="A349" s="18">
        <v>348.0</v>
      </c>
      <c r="B349" s="18">
        <v>111.0</v>
      </c>
      <c r="C349" s="18" t="s">
        <v>760</v>
      </c>
      <c r="D349" s="18" t="s">
        <v>517</v>
      </c>
    </row>
    <row r="350" ht="22.5" customHeight="1">
      <c r="A350" s="20">
        <v>349.0</v>
      </c>
      <c r="B350" s="20">
        <v>115.0</v>
      </c>
      <c r="C350" s="20" t="s">
        <v>761</v>
      </c>
      <c r="D350" s="20" t="s">
        <v>736</v>
      </c>
    </row>
    <row r="351" ht="22.5" customHeight="1">
      <c r="A351" s="20">
        <v>350.0</v>
      </c>
      <c r="B351" s="20">
        <v>115.0</v>
      </c>
      <c r="C351" s="20" t="s">
        <v>762</v>
      </c>
      <c r="D351" s="20" t="s">
        <v>736</v>
      </c>
    </row>
    <row r="352" ht="22.5" customHeight="1">
      <c r="A352" s="20">
        <v>351.0</v>
      </c>
      <c r="B352" s="20">
        <v>114.0</v>
      </c>
      <c r="C352" s="20" t="s">
        <v>763</v>
      </c>
      <c r="D352" s="20" t="s">
        <v>554</v>
      </c>
    </row>
    <row r="353" ht="22.5" customHeight="1">
      <c r="A353" s="20">
        <v>352.0</v>
      </c>
      <c r="B353" s="20">
        <v>114.0</v>
      </c>
      <c r="C353" s="20" t="s">
        <v>764</v>
      </c>
      <c r="D353" s="20" t="s">
        <v>554</v>
      </c>
    </row>
    <row r="354" ht="22.5" customHeight="1">
      <c r="A354" s="20">
        <v>353.0</v>
      </c>
      <c r="B354" s="20">
        <v>114.0</v>
      </c>
      <c r="C354" s="20" t="s">
        <v>765</v>
      </c>
      <c r="D354" s="20" t="s">
        <v>519</v>
      </c>
    </row>
    <row r="355" ht="22.5" customHeight="1">
      <c r="A355" s="20">
        <v>354.0</v>
      </c>
      <c r="B355" s="20">
        <v>113.0</v>
      </c>
      <c r="C355" s="20" t="s">
        <v>766</v>
      </c>
      <c r="D355" s="20" t="s">
        <v>736</v>
      </c>
    </row>
    <row r="356" ht="22.5" customHeight="1">
      <c r="A356" s="20">
        <v>355.0</v>
      </c>
      <c r="B356" s="20">
        <v>113.0</v>
      </c>
      <c r="C356" s="20" t="s">
        <v>767</v>
      </c>
      <c r="D356" s="20" t="s">
        <v>736</v>
      </c>
    </row>
    <row r="357" ht="22.5" customHeight="1">
      <c r="A357" s="20">
        <v>356.0</v>
      </c>
      <c r="B357" s="20">
        <v>113.0</v>
      </c>
      <c r="C357" s="20" t="s">
        <v>768</v>
      </c>
      <c r="D357" s="20" t="s">
        <v>519</v>
      </c>
    </row>
    <row r="358" ht="22.5" customHeight="1">
      <c r="A358" s="20">
        <v>357.0</v>
      </c>
      <c r="B358" s="20">
        <v>112.0</v>
      </c>
      <c r="C358" s="20" t="s">
        <v>769</v>
      </c>
      <c r="D358" s="20" t="s">
        <v>519</v>
      </c>
    </row>
    <row r="359" ht="22.5" customHeight="1">
      <c r="A359" s="20">
        <v>358.0</v>
      </c>
      <c r="B359" s="20">
        <v>112.0</v>
      </c>
      <c r="C359" s="20" t="s">
        <v>285</v>
      </c>
      <c r="D359" s="20" t="s">
        <v>736</v>
      </c>
    </row>
    <row r="360" ht="22.5" customHeight="1">
      <c r="A360" s="20">
        <v>359.0</v>
      </c>
      <c r="B360" s="20">
        <v>112.0</v>
      </c>
      <c r="C360" s="20" t="s">
        <v>770</v>
      </c>
      <c r="D360" s="20" t="s">
        <v>736</v>
      </c>
    </row>
    <row r="361" ht="22.5" customHeight="1">
      <c r="A361" s="20">
        <v>360.0</v>
      </c>
      <c r="B361" s="20">
        <v>3.0</v>
      </c>
      <c r="C361" s="20" t="s">
        <v>771</v>
      </c>
      <c r="D361" s="20" t="s">
        <v>515</v>
      </c>
    </row>
    <row r="362" ht="22.5" customHeight="1">
      <c r="A362" s="20">
        <v>361.0</v>
      </c>
      <c r="B362" s="20">
        <v>116.0</v>
      </c>
      <c r="C362" s="20" t="s">
        <v>772</v>
      </c>
      <c r="D362" s="20" t="s">
        <v>554</v>
      </c>
    </row>
    <row r="363" ht="22.5" customHeight="1">
      <c r="A363" s="20">
        <v>362.0</v>
      </c>
      <c r="B363" s="20">
        <v>116.0</v>
      </c>
      <c r="C363" s="20" t="s">
        <v>773</v>
      </c>
      <c r="D363" s="20" t="s">
        <v>736</v>
      </c>
    </row>
    <row r="364" ht="22.5" customHeight="1">
      <c r="A364" s="20">
        <v>363.0</v>
      </c>
      <c r="B364" s="20">
        <v>116.0</v>
      </c>
      <c r="C364" s="20" t="s">
        <v>774</v>
      </c>
      <c r="D364" s="20" t="s">
        <v>554</v>
      </c>
    </row>
    <row r="365" ht="22.5" customHeight="1">
      <c r="A365" s="20">
        <v>364.0</v>
      </c>
      <c r="B365" s="20">
        <v>116.0</v>
      </c>
      <c r="C365" s="20" t="s">
        <v>775</v>
      </c>
      <c r="D365" s="20" t="s">
        <v>554</v>
      </c>
    </row>
    <row r="366" ht="22.5" customHeight="1">
      <c r="A366" s="20">
        <v>365.0</v>
      </c>
      <c r="B366" s="20">
        <v>117.0</v>
      </c>
      <c r="C366" s="20" t="s">
        <v>294</v>
      </c>
      <c r="D366" s="20" t="s">
        <v>736</v>
      </c>
    </row>
    <row r="367" ht="22.5" customHeight="1">
      <c r="A367" s="20">
        <v>366.0</v>
      </c>
      <c r="B367" s="20">
        <v>117.0</v>
      </c>
      <c r="C367" s="20" t="s">
        <v>776</v>
      </c>
      <c r="D367" s="20" t="s">
        <v>588</v>
      </c>
    </row>
    <row r="368" ht="22.5" customHeight="1">
      <c r="A368" s="20">
        <v>367.0</v>
      </c>
      <c r="B368" s="20">
        <v>117.0</v>
      </c>
      <c r="C368" s="20" t="s">
        <v>777</v>
      </c>
      <c r="D368" s="20" t="s">
        <v>554</v>
      </c>
    </row>
    <row r="369" ht="22.5" customHeight="1">
      <c r="A369" s="20">
        <v>368.0</v>
      </c>
      <c r="B369" s="20">
        <v>118.0</v>
      </c>
      <c r="C369" s="20" t="s">
        <v>778</v>
      </c>
      <c r="D369" s="20" t="s">
        <v>554</v>
      </c>
    </row>
    <row r="370" ht="22.5" customHeight="1">
      <c r="A370" s="20">
        <v>369.0</v>
      </c>
      <c r="B370" s="20">
        <v>118.0</v>
      </c>
      <c r="C370" s="20" t="s">
        <v>779</v>
      </c>
      <c r="D370" s="20" t="s">
        <v>519</v>
      </c>
    </row>
    <row r="371" ht="22.5" customHeight="1">
      <c r="A371" s="20">
        <v>370.0</v>
      </c>
      <c r="B371" s="20">
        <v>118.0</v>
      </c>
      <c r="C371" s="20" t="s">
        <v>780</v>
      </c>
      <c r="D371" s="20" t="s">
        <v>519</v>
      </c>
    </row>
    <row r="372" ht="22.5" customHeight="1">
      <c r="A372" s="20">
        <v>371.0</v>
      </c>
      <c r="B372" s="20">
        <v>118.0</v>
      </c>
      <c r="C372" s="20" t="s">
        <v>781</v>
      </c>
      <c r="D372" s="20" t="s">
        <v>519</v>
      </c>
    </row>
    <row r="373" ht="22.5" customHeight="1">
      <c r="A373" s="20">
        <v>372.0</v>
      </c>
      <c r="B373" s="20">
        <v>118.0</v>
      </c>
      <c r="C373" s="20" t="s">
        <v>782</v>
      </c>
      <c r="D373" s="20" t="s">
        <v>519</v>
      </c>
    </row>
    <row r="374" ht="22.5" customHeight="1">
      <c r="A374" s="20">
        <v>373.0</v>
      </c>
      <c r="B374" s="20">
        <v>118.0</v>
      </c>
      <c r="C374" s="20" t="s">
        <v>783</v>
      </c>
      <c r="D374" s="20" t="s">
        <v>519</v>
      </c>
    </row>
    <row r="375" ht="22.5" customHeight="1">
      <c r="A375" s="20">
        <v>374.0</v>
      </c>
      <c r="B375" s="20">
        <v>118.0</v>
      </c>
      <c r="C375" s="20" t="s">
        <v>784</v>
      </c>
      <c r="D375" s="20" t="s">
        <v>519</v>
      </c>
    </row>
    <row r="376" ht="22.5" customHeight="1">
      <c r="A376" s="20">
        <v>375.0</v>
      </c>
      <c r="B376" s="20">
        <v>118.0</v>
      </c>
      <c r="C376" s="20" t="s">
        <v>785</v>
      </c>
      <c r="D376" s="20" t="s">
        <v>519</v>
      </c>
    </row>
    <row r="377" ht="22.5" customHeight="1">
      <c r="A377" s="20">
        <v>376.0</v>
      </c>
      <c r="B377" s="20">
        <v>118.0</v>
      </c>
      <c r="C377" s="20" t="s">
        <v>786</v>
      </c>
      <c r="D377" s="20" t="s">
        <v>519</v>
      </c>
    </row>
    <row r="378" ht="22.5" customHeight="1">
      <c r="A378" s="20">
        <v>377.0</v>
      </c>
      <c r="B378" s="20">
        <v>118.0</v>
      </c>
      <c r="C378" s="20" t="s">
        <v>787</v>
      </c>
      <c r="D378" s="20" t="s">
        <v>519</v>
      </c>
    </row>
    <row r="379" ht="22.5" customHeight="1">
      <c r="A379" s="20">
        <v>378.0</v>
      </c>
      <c r="B379" s="18">
        <v>59.0</v>
      </c>
      <c r="C379" s="20" t="s">
        <v>788</v>
      </c>
      <c r="D379" s="20" t="s">
        <v>736</v>
      </c>
    </row>
    <row r="380" ht="22.5" customHeight="1">
      <c r="A380" s="20">
        <v>379.0</v>
      </c>
      <c r="B380" s="18">
        <v>59.0</v>
      </c>
      <c r="C380" s="20" t="s">
        <v>789</v>
      </c>
      <c r="D380" s="20" t="s">
        <v>588</v>
      </c>
    </row>
    <row r="381" ht="22.5" customHeight="1">
      <c r="A381" s="20">
        <v>380.0</v>
      </c>
      <c r="B381" s="18">
        <v>60.0</v>
      </c>
      <c r="C381" s="20" t="s">
        <v>788</v>
      </c>
      <c r="D381" s="20" t="s">
        <v>736</v>
      </c>
    </row>
    <row r="382" ht="22.5" customHeight="1">
      <c r="A382" s="20">
        <v>381.0</v>
      </c>
      <c r="B382" s="20">
        <v>60.0</v>
      </c>
      <c r="C382" s="20" t="s">
        <v>789</v>
      </c>
      <c r="D382" s="20" t="s">
        <v>588</v>
      </c>
    </row>
    <row r="383" ht="22.5" customHeight="1">
      <c r="A383" s="20">
        <v>382.0</v>
      </c>
      <c r="B383" s="20">
        <v>33.0</v>
      </c>
      <c r="C383" s="20" t="s">
        <v>790</v>
      </c>
      <c r="D383" s="20" t="s">
        <v>515</v>
      </c>
    </row>
    <row r="384" ht="22.5" customHeight="1">
      <c r="A384" s="20">
        <v>383.0</v>
      </c>
      <c r="B384" s="20">
        <v>33.0</v>
      </c>
      <c r="C384" s="20" t="s">
        <v>791</v>
      </c>
      <c r="D384" s="20" t="s">
        <v>792</v>
      </c>
    </row>
    <row r="385" ht="22.5" customHeight="1">
      <c r="A385" s="20">
        <v>384.0</v>
      </c>
      <c r="B385" s="20">
        <v>33.0</v>
      </c>
      <c r="C385" s="20" t="s">
        <v>793</v>
      </c>
      <c r="D385" s="20" t="s">
        <v>515</v>
      </c>
    </row>
    <row r="386" ht="22.5" customHeight="1">
      <c r="A386" s="20">
        <v>385.0</v>
      </c>
      <c r="B386" s="20">
        <v>33.0</v>
      </c>
      <c r="C386" s="20" t="s">
        <v>794</v>
      </c>
      <c r="D386" s="20" t="s">
        <v>792</v>
      </c>
    </row>
    <row r="387" ht="22.5" customHeight="1">
      <c r="A387" s="20">
        <v>386.0</v>
      </c>
      <c r="B387" s="20">
        <v>33.0</v>
      </c>
      <c r="C387" s="20" t="s">
        <v>795</v>
      </c>
      <c r="D387" s="20" t="s">
        <v>515</v>
      </c>
    </row>
    <row r="388" ht="22.5" customHeight="1">
      <c r="A388" s="20">
        <v>387.0</v>
      </c>
      <c r="B388" s="20">
        <v>33.0</v>
      </c>
      <c r="C388" s="20" t="s">
        <v>796</v>
      </c>
      <c r="D388" s="20" t="s">
        <v>792</v>
      </c>
    </row>
    <row r="389" ht="22.5" customHeight="1">
      <c r="A389" s="20">
        <v>388.0</v>
      </c>
      <c r="B389" s="20">
        <v>33.0</v>
      </c>
      <c r="C389" s="20" t="s">
        <v>797</v>
      </c>
      <c r="D389" s="20" t="s">
        <v>515</v>
      </c>
    </row>
    <row r="390" ht="22.5" customHeight="1">
      <c r="A390" s="20">
        <v>389.0</v>
      </c>
      <c r="B390" s="20">
        <v>33.0</v>
      </c>
      <c r="C390" s="20" t="s">
        <v>798</v>
      </c>
      <c r="D390" s="20" t="s">
        <v>792</v>
      </c>
    </row>
    <row r="391" ht="22.5" customHeight="1">
      <c r="A391" s="20">
        <v>390.0</v>
      </c>
      <c r="B391" s="20">
        <v>119.0</v>
      </c>
      <c r="C391" s="20" t="s">
        <v>799</v>
      </c>
      <c r="D391" s="20" t="s">
        <v>515</v>
      </c>
    </row>
    <row r="392" ht="22.5" customHeight="1">
      <c r="A392" s="20">
        <v>391.0</v>
      </c>
      <c r="B392" s="20">
        <v>119.0</v>
      </c>
      <c r="C392" s="20" t="s">
        <v>800</v>
      </c>
      <c r="D392" s="20" t="s">
        <v>515</v>
      </c>
    </row>
    <row r="393" ht="22.5" customHeight="1">
      <c r="A393" s="20">
        <v>392.0</v>
      </c>
      <c r="B393" s="20">
        <v>119.0</v>
      </c>
      <c r="C393" s="20" t="s">
        <v>801</v>
      </c>
      <c r="D393" s="20" t="s">
        <v>515</v>
      </c>
    </row>
    <row r="394" ht="22.5" customHeight="1">
      <c r="A394" s="20">
        <v>393.0</v>
      </c>
      <c r="B394" s="20">
        <v>119.0</v>
      </c>
      <c r="C394" s="20" t="s">
        <v>802</v>
      </c>
      <c r="D394" s="20" t="s">
        <v>736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803</v>
      </c>
      <c r="B1" s="6" t="s">
        <v>2</v>
      </c>
      <c r="C1" s="6" t="s">
        <v>804</v>
      </c>
      <c r="D1" s="6" t="s">
        <v>805</v>
      </c>
      <c r="E1" s="6" t="s">
        <v>806</v>
      </c>
      <c r="F1" s="6" t="s">
        <v>807</v>
      </c>
      <c r="G1" s="6" t="s">
        <v>33</v>
      </c>
    </row>
  </sheetData>
  <drawing r:id="rId1"/>
</worksheet>
</file>